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 2025" sheetId="1" r:id="rId4"/>
    <sheet state="visible" name="BOLETAS 2025" sheetId="2" r:id="rId5"/>
    <sheet state="visible" name="PROVEEDORES CREDITO" sheetId="3" r:id="rId6"/>
    <sheet state="hidden" name="LISTA PROVEEDORES" sheetId="4" r:id="rId7"/>
    <sheet state="hidden" name="DATOS" sheetId="5" r:id="rId8"/>
  </sheets>
  <definedNames>
    <definedName hidden="1" localSheetId="0" name="_xlnm._FilterDatabase">'COMPRAS 2025'!$A$5:$P$165</definedName>
    <definedName hidden="1" localSheetId="1" name="_xlnm._FilterDatabase">'BOLETAS 2025'!$A$1:$M$279</definedName>
    <definedName hidden="1" localSheetId="2" name="_xlnm._FilterDatabase">'PROVEEDORES CREDITO'!$A$4:$I$13</definedName>
  </definedNames>
  <calcPr/>
  <extLst>
    <ext uri="GoogleSheetsCustomDataVersion2">
      <go:sheetsCustomData xmlns:go="http://customooxmlschemas.google.com/" r:id="rId9" roundtripDataChecksum="6c4fJhK9Q/OBfURS2sLNLn3m8ozRw3ceClLiGcWol00="/>
    </ext>
  </extLst>
</workbook>
</file>

<file path=xl/sharedStrings.xml><?xml version="1.0" encoding="utf-8"?>
<sst xmlns="http://schemas.openxmlformats.org/spreadsheetml/2006/main" count="2869" uniqueCount="330">
  <si>
    <t>CÓDIGO:</t>
  </si>
  <si>
    <t>PE-LC-01</t>
  </si>
  <si>
    <t>LIBRO DE COMPRAS 2025</t>
  </si>
  <si>
    <t>VERSIÓN:</t>
  </si>
  <si>
    <t>FECHA:</t>
  </si>
  <si>
    <t>ALERTA</t>
  </si>
  <si>
    <t>DOCUMENTO</t>
  </si>
  <si>
    <t>EMPRESA</t>
  </si>
  <si>
    <t>FECHA VENCIMIENTO</t>
  </si>
  <si>
    <t>FECHA EMISION</t>
  </si>
  <si>
    <t>N° MES</t>
  </si>
  <si>
    <t>N° FOLIO</t>
  </si>
  <si>
    <t>RUT</t>
  </si>
  <si>
    <t>RAZON SOCIAL</t>
  </si>
  <si>
    <t>NETO</t>
  </si>
  <si>
    <t>IVA</t>
  </si>
  <si>
    <t>MONTO TOTAL</t>
  </si>
  <si>
    <t>ESTADO</t>
  </si>
  <si>
    <t>METODO DE PAGO</t>
  </si>
  <si>
    <t>CENTRO DE COSTOS</t>
  </si>
  <si>
    <t>DESCRIPCION</t>
  </si>
  <si>
    <t>FACTURA</t>
  </si>
  <si>
    <t>PET EXOTIC LTDA</t>
  </si>
  <si>
    <t>83382700-6</t>
  </si>
  <si>
    <t>COMERCIAL ECCSA SA</t>
  </si>
  <si>
    <t>PAGADO</t>
  </si>
  <si>
    <t>DEBITO</t>
  </si>
  <si>
    <t>Mercancia - Proveedores</t>
  </si>
  <si>
    <t>76080982-9</t>
  </si>
  <si>
    <t>DIPROVET DISTRIBUIDORA DE PRODUCTOS VETERINARIOS SPA</t>
  </si>
  <si>
    <t>CREDITO</t>
  </si>
  <si>
    <t>76979850-1</t>
  </si>
  <si>
    <t xml:space="preserve">FABRICA DE BANDEJAS LIMITADA </t>
  </si>
  <si>
    <t>9538683-0</t>
  </si>
  <si>
    <t>CLAUDIO ARANCIBIA DONOSO</t>
  </si>
  <si>
    <t>EFECTIVO</t>
  </si>
  <si>
    <t>16774813-9</t>
  </si>
  <si>
    <t>JOSE IGNACIO MORENO URRA</t>
  </si>
  <si>
    <t>BOLETA</t>
  </si>
  <si>
    <t>80478200-1</t>
  </si>
  <si>
    <t>ILOP SA</t>
  </si>
  <si>
    <t>76199127-2</t>
  </si>
  <si>
    <t xml:space="preserve">COMERCIAL LEGUER S.A </t>
  </si>
  <si>
    <t>76143373-3</t>
  </si>
  <si>
    <t>IMPORTADORA BIOCARE LTDA</t>
  </si>
  <si>
    <t>76533504-3</t>
  </si>
  <si>
    <t xml:space="preserve">CONSULTORES Y SERVICIOS INFORMATICOS SRT SPA </t>
  </si>
  <si>
    <t>96756430-3</t>
  </si>
  <si>
    <t>CHILEXPRESS S.A.</t>
  </si>
  <si>
    <t>PET EXOTIC SPA</t>
  </si>
  <si>
    <t>76839842-9</t>
  </si>
  <si>
    <t>COMERCIALIZADORA MGASES SPA</t>
  </si>
  <si>
    <t>76134946-5</t>
  </si>
  <si>
    <t>SUPERMERCADO LIDER</t>
  </si>
  <si>
    <t>76080292-1</t>
  </si>
  <si>
    <t>COMERCIAL QUINTEL LIMITADA</t>
  </si>
  <si>
    <t>Gastos de Oficina</t>
  </si>
  <si>
    <t>TRASFERENCIA</t>
  </si>
  <si>
    <t>81201000-K</t>
  </si>
  <si>
    <t>CENCOSUD RETAIL SA</t>
  </si>
  <si>
    <t>76218200-9</t>
  </si>
  <si>
    <t>DYKONOS CIA LIMITADA</t>
  </si>
  <si>
    <t>76046685-9</t>
  </si>
  <si>
    <t>DATAMEDICA S.P.A</t>
  </si>
  <si>
    <t>76936850-7</t>
  </si>
  <si>
    <t>ANIMAL CARE - ACWS S.A</t>
  </si>
  <si>
    <t>NOTA DE CREDITO</t>
  </si>
  <si>
    <t>RONALD RENE MIGUEL DIAZ ROJAS</t>
  </si>
  <si>
    <t>GRANJA AGRICOLA Y GANADERA LAURA ROSA LIMITADA</t>
  </si>
  <si>
    <t>DATAMEDICA S.P.A.</t>
  </si>
  <si>
    <t>60503000-9</t>
  </si>
  <si>
    <t>EMPRESA CORREOS DE CHILE</t>
  </si>
  <si>
    <t>76296220-9</t>
  </si>
  <si>
    <t>COMERCIAL EXPRESS DEL PACIFICO LIMITADA</t>
  </si>
  <si>
    <t xml:space="preserve">MERCADO LIBRE LTD </t>
  </si>
  <si>
    <t>81643200-6</t>
  </si>
  <si>
    <t xml:space="preserve">COOPERATIVA AGRICOLA LECHERA STGO. </t>
  </si>
  <si>
    <t>76613670-2</t>
  </si>
  <si>
    <t>IMPORTADORA COMERCIALIZADORA Y DISTRIBUIDORA ROYAL CANIN CHILE LIMITADA</t>
  </si>
  <si>
    <t>TRANSFERENCIA</t>
  </si>
  <si>
    <t>90703000-8</t>
  </si>
  <si>
    <t>NESTLE Chile S.A.</t>
  </si>
  <si>
    <t>76416389-3</t>
  </si>
  <si>
    <t>HALLMARK S.A.</t>
  </si>
  <si>
    <t>PROTONER</t>
  </si>
  <si>
    <t>76080982-10</t>
  </si>
  <si>
    <t>PENDIENTE</t>
  </si>
  <si>
    <t>TOTALES</t>
  </si>
  <si>
    <t>PRESUPUESTO COMPRA MENSUAL</t>
  </si>
  <si>
    <t>Diferencia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</si>
  <si>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</si>
  <si>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</si>
  <si>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</si>
  <si>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</si>
  <si>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</si>
  <si>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</si>
  <si>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</si>
  <si>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</si>
  <si>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SEPTIMEBRE</t>
  </si>
  <si>
    <t>OCTUBRE</t>
  </si>
  <si>
    <t>NOVIEMBRE</t>
  </si>
  <si>
    <t>DICIEMBRE</t>
  </si>
  <si>
    <t>Registro Boletas 2025</t>
  </si>
  <si>
    <t>77178050-4</t>
  </si>
  <si>
    <t>COPEC</t>
  </si>
  <si>
    <t>Combustible</t>
  </si>
  <si>
    <t>76587994-9</t>
  </si>
  <si>
    <t>76358760-6</t>
  </si>
  <si>
    <t>INVERSIONES ENEX S.A</t>
  </si>
  <si>
    <t>77669674-9</t>
  </si>
  <si>
    <t>94625000-7</t>
  </si>
  <si>
    <t>76567598-7</t>
  </si>
  <si>
    <t>76109030-5</t>
  </si>
  <si>
    <t>88192900-7</t>
  </si>
  <si>
    <t>FedEx</t>
  </si>
  <si>
    <t>Fedex</t>
  </si>
  <si>
    <t>Farmacia del doctor SIMI</t>
  </si>
  <si>
    <t>FAGASE S.A</t>
  </si>
  <si>
    <t>INVERSIONES GASTRONOMICAS CHINAM PAS SPA</t>
  </si>
  <si>
    <t>COMERCIALIZADORA D Y E SPA</t>
  </si>
  <si>
    <t>HUERTO SUR</t>
  </si>
  <si>
    <t>81201000K</t>
  </si>
  <si>
    <t>CENCOSUD RETAIL S.A</t>
  </si>
  <si>
    <t xml:space="preserve">FARMACIAS CRUZ VERDE </t>
  </si>
  <si>
    <t>7553843k</t>
  </si>
  <si>
    <t xml:space="preserve">GENOVEVA DEL CARMEN </t>
  </si>
  <si>
    <t>CENCOSUD SHOPPING S.A</t>
  </si>
  <si>
    <t>CRUZ VERDE</t>
  </si>
  <si>
    <t>EASY RETAIL SA</t>
  </si>
  <si>
    <t>ARANCIBIA CERRAJERO SPA</t>
  </si>
  <si>
    <t xml:space="preserve">VIRGILIO FERNANDO POLANCO </t>
  </si>
  <si>
    <t>PUERTO PET</t>
  </si>
  <si>
    <t>LUCKY STAR XIE LTDA</t>
  </si>
  <si>
    <t xml:space="preserve">VICINAY HENRIQUEZ </t>
  </si>
  <si>
    <t>PUNTO MOVIL A Y M SPA</t>
  </si>
  <si>
    <t>RAMIIREZ Y AVILES</t>
  </si>
  <si>
    <t>VERDULERIA LOS CATUERROS</t>
  </si>
  <si>
    <t>ISABEL BRITO</t>
  </si>
  <si>
    <t>MUNICIPALIDAD VALPARAISO</t>
  </si>
  <si>
    <t>HERMANOS PINTO</t>
  </si>
  <si>
    <t>INSPIRA KIDS SPA</t>
  </si>
  <si>
    <t>KIOSCLUB AMERICAM</t>
  </si>
  <si>
    <t>LOS MAGNIFICOS 2</t>
  </si>
  <si>
    <t>COM E IMP LUCKY STAR XIE LTDA</t>
  </si>
  <si>
    <t>BEFOODS LTD</t>
  </si>
  <si>
    <t>SABA</t>
  </si>
  <si>
    <t>LUCKY STAR XIE</t>
  </si>
  <si>
    <t>I MPORTACIONES TENG DA  SPA</t>
  </si>
  <si>
    <t xml:space="preserve">CKICKEN </t>
  </si>
  <si>
    <t>FADA MALL CHINO</t>
  </si>
  <si>
    <t xml:space="preserve">CANTABRIA </t>
  </si>
  <si>
    <t>JOSI ACUNA</t>
  </si>
  <si>
    <t>59111330-5</t>
  </si>
  <si>
    <t>FARMACIAS DE SIMILARES CHILE SA</t>
  </si>
  <si>
    <t>GIOIA SPA</t>
  </si>
  <si>
    <t>FELSE</t>
  </si>
  <si>
    <t>MARKT</t>
  </si>
  <si>
    <t>SADU</t>
  </si>
  <si>
    <t>LAS VEGAS LTD</t>
  </si>
  <si>
    <t>TEREZA PEREZ</t>
  </si>
  <si>
    <t>DONGFANG</t>
  </si>
  <si>
    <t>DONDE LA TIA SPA</t>
  </si>
  <si>
    <t>COMERCIALIZADORA DYE SPA</t>
  </si>
  <si>
    <t>15009948k</t>
  </si>
  <si>
    <t>ENEL</t>
  </si>
  <si>
    <t xml:space="preserve">comercial C.W </t>
  </si>
  <si>
    <t>76271468K</t>
  </si>
  <si>
    <t>PRESSBURG</t>
  </si>
  <si>
    <t>INV GIORGIO GRANDI</t>
  </si>
  <si>
    <t>BAR FARE WELI</t>
  </si>
  <si>
    <t>INVERSIONES GIORGIO JULIAN GRANDI CORRO EIRL</t>
  </si>
  <si>
    <t>BEFOODS</t>
  </si>
  <si>
    <t>ROCAVI</t>
  </si>
  <si>
    <t>STARBUCKS COFFE CHILE S.A.</t>
  </si>
  <si>
    <t>PANDA WORK</t>
  </si>
  <si>
    <t>DONDE TOMAS SPA</t>
  </si>
  <si>
    <t>QUINTA COSTA SPA</t>
  </si>
  <si>
    <t>COMERCIALIZADORA ROBERTO IBANEZ</t>
  </si>
  <si>
    <t xml:space="preserve">CHILEEXPRESS </t>
  </si>
  <si>
    <t xml:space="preserve">BAHIA MASCOTAS </t>
  </si>
  <si>
    <t>MASKOTAS SPA</t>
  </si>
  <si>
    <t>CENTRO UNICO</t>
  </si>
  <si>
    <t>PANADERIA FABRIZZIO</t>
  </si>
  <si>
    <t>donde tomas spa</t>
  </si>
  <si>
    <t>CANTABRIA</t>
  </si>
  <si>
    <t>CAPRI II</t>
  </si>
  <si>
    <t>81201000k</t>
  </si>
  <si>
    <t xml:space="preserve">CENCOSUD </t>
  </si>
  <si>
    <t>ADMINISTRADORA DE VENTAS AL DETALLE</t>
  </si>
  <si>
    <t>GASTRONOMIA BORUSSIA</t>
  </si>
  <si>
    <t>DRD SPA</t>
  </si>
  <si>
    <t>MARISA VALERIA CRIGNOLA GERINI</t>
  </si>
  <si>
    <t>ENEX</t>
  </si>
  <si>
    <t>ESMAX</t>
  </si>
  <si>
    <t>TENGA DA</t>
  </si>
  <si>
    <t>SHANGHAI</t>
  </si>
  <si>
    <t>FRANTIN TIENDITA SPA</t>
  </si>
  <si>
    <t>IMPORTADORA Y EXPORTADORA UNO SEIS OCHO LIMITADA</t>
  </si>
  <si>
    <t>CENCOSUD RETAIL S.A.</t>
  </si>
  <si>
    <t xml:space="preserve">STARBUCKS </t>
  </si>
  <si>
    <t>COMERCIAL SILVA LTDA</t>
  </si>
  <si>
    <t>IMPORYADORA Y EXPORTADORA UNO SEIS OCHO LIMITADA</t>
  </si>
  <si>
    <t>BAHIA MASCOTA</t>
  </si>
  <si>
    <t>C0PEC</t>
  </si>
  <si>
    <t>PATRICIA EVELYN MARTINEZ MORENO</t>
  </si>
  <si>
    <t>VACCO LIMITADA</t>
  </si>
  <si>
    <t>IMPORTADORA ZUZU</t>
  </si>
  <si>
    <t>CENCOSUD</t>
  </si>
  <si>
    <t>LA CAMPEZANA</t>
  </si>
  <si>
    <t>IMPORTADORA ZUZU LTD</t>
  </si>
  <si>
    <t>TEMPURA</t>
  </si>
  <si>
    <t>FAGASES</t>
  </si>
  <si>
    <t>13544958K</t>
  </si>
  <si>
    <t>ALVARO PALOMINO</t>
  </si>
  <si>
    <t>STARBUCKS</t>
  </si>
  <si>
    <t>GED SPA</t>
  </si>
  <si>
    <t>FEDEX</t>
  </si>
  <si>
    <t>MAM COMBUSTIBLE</t>
  </si>
  <si>
    <t>FARMACIA CRUZ VERDE</t>
  </si>
  <si>
    <t>OXXO</t>
  </si>
  <si>
    <t>RED VIAL</t>
  </si>
  <si>
    <t>MALL ARAUCO</t>
  </si>
  <si>
    <t>SIETEMA SPA</t>
  </si>
  <si>
    <t>812010000K</t>
  </si>
  <si>
    <t>MUNICIPALIDAD DE VALPARAISO</t>
  </si>
  <si>
    <t>limpieza de local</t>
  </si>
  <si>
    <t>HAM YCIA LTD</t>
  </si>
  <si>
    <t>INVERSIONES HENRIQUE P SPA</t>
  </si>
  <si>
    <t>KIOSCLUB AMERICAN SUPERMARKET SPA</t>
  </si>
  <si>
    <t>BOMBEROS VIÑA DEL MAR</t>
  </si>
  <si>
    <t>VETERINARIA DOCTORES MENE</t>
  </si>
  <si>
    <t>BATH&amp;BODY WORKS</t>
  </si>
  <si>
    <t>TOTAL COMPRA MENSUAL</t>
  </si>
  <si>
    <t>PROVEEDORES CREDITO</t>
  </si>
  <si>
    <t>PROVEEDOR</t>
  </si>
  <si>
    <t xml:space="preserve">RUT </t>
  </si>
  <si>
    <t>MONTO CREDITO</t>
  </si>
  <si>
    <t>MONTO UTILIZADO</t>
  </si>
  <si>
    <t>MONTO DISPONIBLE</t>
  </si>
  <si>
    <t>COMENTARIOS</t>
  </si>
  <si>
    <t>PROVEEDORES</t>
  </si>
  <si>
    <t>-</t>
  </si>
  <si>
    <t>CALS</t>
  </si>
  <si>
    <t>$1.000.000 (30 DIAS) LTDA / $1.000.000 (30 DIAS) SPA</t>
  </si>
  <si>
    <t>NO HAY CREDITO / SOLO CONTADO</t>
  </si>
  <si>
    <t>EQUIVET</t>
  </si>
  <si>
    <t>$1.000.000 (60 DIAS) SPA / LTDA</t>
  </si>
  <si>
    <t>ANIMAL CARE</t>
  </si>
  <si>
    <t>$1.000.000 (30 DIAS) SPA</t>
  </si>
  <si>
    <t>PENDIENTE AGREGAR LTDA</t>
  </si>
  <si>
    <t>P&amp;P</t>
  </si>
  <si>
    <t>76501918-4</t>
  </si>
  <si>
    <t>POBLETE Y POBLETE LIMITADA</t>
  </si>
  <si>
    <t>DIPROVET</t>
  </si>
  <si>
    <t>$1.500.000 (30 DIAS) LTDA</t>
  </si>
  <si>
    <t>LEGUER</t>
  </si>
  <si>
    <t>$3.000.000 (30 DIAS) LTDA</t>
  </si>
  <si>
    <t>DYKONOS</t>
  </si>
  <si>
    <t>$500.000 (30 DIAS) LTDA</t>
  </si>
  <si>
    <t>CLINICAL MARKET</t>
  </si>
  <si>
    <t>76111113-2</t>
  </si>
  <si>
    <t>CLINICAL MARKET S.A.</t>
  </si>
  <si>
    <t>$1.000.000 (15 DIAS) LTDA</t>
  </si>
  <si>
    <t>77147998-7</t>
  </si>
  <si>
    <t>77034255- 4</t>
  </si>
  <si>
    <t>QUINTAVET SPA</t>
  </si>
  <si>
    <t>11635852-2</t>
  </si>
  <si>
    <t>PAOLA DEBORAH STACK LARA</t>
  </si>
  <si>
    <t>76157270-9</t>
  </si>
  <si>
    <t>SOCIEDAD COMERCIAL AQUAMUNDO LIMITADA</t>
  </si>
  <si>
    <t>CANVA</t>
  </si>
  <si>
    <t>96806980-2</t>
  </si>
  <si>
    <t>ENTEL PCS TELECOMUNICACIONES SA</t>
  </si>
  <si>
    <t>6778799-4</t>
  </si>
  <si>
    <t>ROBERTO ENRIQUE APLAS</t>
  </si>
  <si>
    <t>76568660-1</t>
  </si>
  <si>
    <t>76166859-5</t>
  </si>
  <si>
    <t>MARCELO PAVEZ ESTACIONES DE SERVICIO EIRL</t>
  </si>
  <si>
    <t>76067231-9</t>
  </si>
  <si>
    <t>ASESORIAS E INVERSIONES ALFA CORP SPA</t>
  </si>
  <si>
    <t>96689310-9</t>
  </si>
  <si>
    <t>TRANSBANK SA</t>
  </si>
  <si>
    <t>77169540-K</t>
  </si>
  <si>
    <t>BORQUEZ Y MOYA LIMITADA</t>
  </si>
  <si>
    <t>77367003-K</t>
  </si>
  <si>
    <t>VETERINARIA DIEGO YAÑEZ SPA</t>
  </si>
  <si>
    <t>77190692-3</t>
  </si>
  <si>
    <t>SANTANDER GETNET CHILE SA</t>
  </si>
  <si>
    <t>77356172-9</t>
  </si>
  <si>
    <t>DIAGNOSTICO VETERINARIO CHILE SPA</t>
  </si>
  <si>
    <t>76462805-5</t>
  </si>
  <si>
    <t>COMERCIALIZADORA RYA SA</t>
  </si>
  <si>
    <t>76432810-8</t>
  </si>
  <si>
    <t>BENEDICTO BUSTOS Y COMPANIA LIMITADA</t>
  </si>
  <si>
    <t>86172000-4</t>
  </si>
  <si>
    <t>RAMIREZ Y SANCHEZ LIMITADA</t>
  </si>
  <si>
    <t>76187337-7</t>
  </si>
  <si>
    <t>COMERCIAL 3OR SPA</t>
  </si>
  <si>
    <t>76866022-0</t>
  </si>
  <si>
    <t>INSGRANEL SPA</t>
  </si>
  <si>
    <t>89862200-2</t>
  </si>
  <si>
    <t>LATAM AIRLINES GROUP S.A.</t>
  </si>
  <si>
    <t>96928180-5</t>
  </si>
  <si>
    <t>EMPRESA NACIONAL DE CERTIFICACION ELECTRONICA SA</t>
  </si>
  <si>
    <t>78749100-6</t>
  </si>
  <si>
    <t>PROVENSUR LTDA</t>
  </si>
  <si>
    <t>76169003-5</t>
  </si>
  <si>
    <t>YAPO.CL SPA</t>
  </si>
  <si>
    <t>79608920-2</t>
  </si>
  <si>
    <t>COMERCIALIZADORA Y DISTRIBUIDORA DE PRODUCTOS VETERINARIOS Y AGROPECUARIOS LIMITADA</t>
  </si>
  <si>
    <t>Comisiones</t>
  </si>
  <si>
    <t>Remuneraciones</t>
  </si>
  <si>
    <t>Honorarios Profesionales</t>
  </si>
  <si>
    <t>Servicios Contables</t>
  </si>
  <si>
    <t>Publicidad y Marketing</t>
  </si>
  <si>
    <t>Arriendo y Gastos Comunes</t>
  </si>
  <si>
    <t>Servicio Electricidad</t>
  </si>
  <si>
    <t>Servicio Agua</t>
  </si>
  <si>
    <t>Servicio Telefonía</t>
  </si>
  <si>
    <t>Servicio Internet</t>
  </si>
  <si>
    <t>Gastos Notariales</t>
  </si>
  <si>
    <t>Gastos Sistema (Software)</t>
  </si>
  <si>
    <t>Servicios Profesionales Externos</t>
  </si>
  <si>
    <t>Mantención y Reparación</t>
  </si>
  <si>
    <t>IVA No Recuperable</t>
  </si>
  <si>
    <t>Convenios TGR</t>
  </si>
  <si>
    <t>Comisión Transbank</t>
  </si>
  <si>
    <t>Imposiciones Previred</t>
  </si>
  <si>
    <t>Reajuste UTM</t>
  </si>
  <si>
    <t>Coutas Creditos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</si>
</sst>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/M/YYYY"/>
    <numFmt numFmtId="166" formatCode="_-&quot;$&quot;* #,##0_-;\-&quot;$&quot;* #,##0_-;_-&quot;$&quot;* &quot;-&quot;??_-;_-@"/>
    <numFmt numFmtId="167" formatCode="_ [$$-340A]* #,##0_ ;_ [$$-340A]* \-#,##0_ ;_ [$$-340A]* &quot;-&quot;??_ ;_ @_ "/>
    <numFmt numFmtId="168" formatCode="[$$-80A]#,##0"/>
    <numFmt numFmtId="169" formatCode="&quot;$ &quot;#,##0"/>
    <numFmt numFmtId="170" formatCode="_-&quot;$&quot;* #,##0.00_-;\-&quot;$&quot;* #,##0.00_-;_-&quot;$&quot;* &quot;-&quot;??_-;_-@"/>
    <numFmt numFmtId="171" formatCode="_-[$$-80A]* #,##0.00_-;\-[$$-80A]* #,##0.00_-;_-[$$-80A]* &quot;-&quot;??_-;_-@"/>
    <numFmt numFmtId="172" formatCode="d-m-yyyy"/>
    <numFmt numFmtId="173" formatCode="_ &quot;$&quot;* #,##0_ ;_ &quot;$&quot;* \-#,##0_ ;_ &quot;$&quot;* &quot;-&quot;_ ;_ @_ "/>
    <numFmt numFmtId="174" formatCode="_-[$$-409]* #,##0.0000_ ;_-[$$-409]* \-#,##0.0000\ ;_-[$$-409]* &quot;-&quot;??_ ;_-@_ "/>
  </numFmts>
  <fonts count="29">
    <font>
      <sz val="11.0"/>
      <color theme="1"/>
      <name val="Arial"/>
      <scheme val="minor"/>
    </font>
    <font>
      <b/>
      <sz val="24.0"/>
      <color theme="1"/>
      <name val="Calibri"/>
    </font>
    <font>
      <b/>
      <sz val="18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1.0"/>
      <color rgb="FF385623"/>
      <name val="Calibri"/>
    </font>
    <font>
      <sz val="11.0"/>
      <color rgb="FF000000"/>
      <name val="Calibri"/>
    </font>
    <font>
      <sz val="11.0"/>
      <color rgb="FF00B050"/>
      <name val="Calibri"/>
    </font>
    <font>
      <color theme="1"/>
      <name val="Arial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b/>
      <sz val="12.0"/>
      <color rgb="FF385623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sz val="11.0"/>
      <color rgb="FFD9E2F3"/>
      <name val="Calibri"/>
    </font>
    <font>
      <b/>
      <sz val="11.0"/>
      <color rgb="FFFFFFFF"/>
      <name val="Calibri"/>
    </font>
    <font>
      <b/>
      <sz val="24.0"/>
      <color rgb="FFFF0000"/>
      <name val="Calibri"/>
    </font>
    <font>
      <b/>
      <sz val="20.0"/>
      <color theme="1"/>
      <name val="Calibri"/>
    </font>
    <font>
      <b/>
      <sz val="12.0"/>
      <color theme="1"/>
      <name val="Arial"/>
    </font>
    <font>
      <b/>
      <sz val="12.0"/>
      <color theme="0"/>
      <name val="Calibri"/>
    </font>
    <font>
      <b/>
      <sz val="12.0"/>
      <color rgb="FFFF0000"/>
      <name val="Calibri"/>
    </font>
    <font>
      <b/>
      <sz val="12.0"/>
      <color rgb="FF00CC99"/>
      <name val="Calibri"/>
    </font>
    <font>
      <sz val="11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CC99"/>
        <bgColor rgb="FF00CC99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008080"/>
        <bgColor rgb="FF00808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D9FFF5"/>
        <bgColor rgb="FFD9FFF5"/>
      </patternFill>
    </fill>
  </fills>
  <borders count="30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  <border>
      <lef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000000"/>
      </top>
      <bottom/>
    </border>
    <border>
      <top style="medium">
        <color rgb="FF000000"/>
      </top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10" xfId="0" applyAlignment="1" applyBorder="1" applyFont="1" applyNumberFormat="1">
      <alignment horizontal="left" vertical="center"/>
    </xf>
    <xf borderId="2" fillId="2" fontId="1" numFmtId="164" xfId="0" applyAlignment="1" applyBorder="1" applyFont="1" applyNumberFormat="1">
      <alignment horizontal="left" vertical="center"/>
    </xf>
    <xf borderId="2" fillId="2" fontId="1" numFmtId="1" xfId="0" applyAlignment="1" applyBorder="1" applyFont="1" applyNumberFormat="1">
      <alignment horizontal="left" vertical="center"/>
    </xf>
    <xf borderId="2" fillId="2" fontId="2" numFmtId="0" xfId="0" applyAlignment="1" applyBorder="1" applyFont="1">
      <alignment shrinkToFit="0" vertical="center" wrapText="1"/>
    </xf>
    <xf borderId="2" fillId="2" fontId="3" numFmtId="0" xfId="0" applyBorder="1" applyFont="1"/>
    <xf borderId="3" fillId="2" fontId="3" numFmtId="0" xfId="0" applyBorder="1" applyFont="1"/>
    <xf borderId="4" fillId="2" fontId="4" numFmtId="49" xfId="0" applyAlignment="1" applyBorder="1" applyFont="1" applyNumberFormat="1">
      <alignment horizontal="right" vertical="center"/>
    </xf>
    <xf borderId="4" fillId="2" fontId="5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left" vertical="center"/>
    </xf>
    <xf borderId="3" fillId="2" fontId="1" numFmtId="164" xfId="0" applyAlignment="1" applyBorder="1" applyFont="1" applyNumberFormat="1">
      <alignment horizontal="left" vertical="center"/>
    </xf>
    <xf borderId="3" fillId="2" fontId="1" numFmtId="1" xfId="0" applyAlignment="1" applyBorder="1" applyFont="1" applyNumberFormat="1">
      <alignment horizontal="left" vertical="center"/>
    </xf>
    <xf borderId="3" fillId="2" fontId="6" numFmtId="0" xfId="0" applyAlignment="1" applyBorder="1" applyFont="1">
      <alignment horizontal="center" vertical="center"/>
    </xf>
    <xf borderId="6" fillId="2" fontId="4" numFmtId="49" xfId="0" applyAlignment="1" applyBorder="1" applyFont="1" applyNumberFormat="1">
      <alignment horizontal="right" vertical="center"/>
    </xf>
    <xf borderId="6" fillId="2" fontId="4" numFmtId="165" xfId="0" applyAlignment="1" applyBorder="1" applyFont="1" applyNumberFormat="1">
      <alignment horizontal="left" vertical="center"/>
    </xf>
    <xf borderId="7" fillId="3" fontId="7" numFmtId="0" xfId="0" applyAlignment="1" applyBorder="1" applyFill="1" applyFont="1">
      <alignment horizontal="center" shrinkToFit="0" vertical="center" wrapText="1"/>
    </xf>
    <xf borderId="8" fillId="3" fontId="7" numFmtId="49" xfId="0" applyAlignment="1" applyBorder="1" applyFont="1" applyNumberFormat="1">
      <alignment horizontal="center" shrinkToFit="0" vertical="center" wrapText="1"/>
    </xf>
    <xf borderId="8" fillId="3" fontId="7" numFmtId="164" xfId="0" applyAlignment="1" applyBorder="1" applyFont="1" applyNumberFormat="1">
      <alignment horizontal="center" shrinkToFit="0" vertical="center" wrapText="1"/>
    </xf>
    <xf borderId="8" fillId="3" fontId="7" numFmtId="1" xfId="0" applyAlignment="1" applyBorder="1" applyFont="1" applyNumberForma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7" numFmtId="166" xfId="0" applyAlignment="1" applyBorder="1" applyFont="1" applyNumberForma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10" fillId="3" fontId="8" numFmtId="49" xfId="0" applyAlignment="1" applyBorder="1" applyFont="1" applyNumberFormat="1">
      <alignment horizontal="center" shrinkToFit="0" vertical="center" wrapText="1"/>
    </xf>
    <xf borderId="10" fillId="3" fontId="7" numFmtId="49" xfId="0" applyAlignment="1" applyBorder="1" applyFont="1" applyNumberForma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1" fillId="2" fontId="7" numFmtId="49" xfId="0" applyAlignment="1" applyBorder="1" applyFont="1" applyNumberFormat="1">
      <alignment horizontal="center" shrinkToFit="0" vertical="center" wrapText="1"/>
    </xf>
    <xf borderId="11" fillId="2" fontId="7" numFmtId="164" xfId="0" applyAlignment="1" applyBorder="1" applyFont="1" applyNumberFormat="1">
      <alignment horizontal="center" shrinkToFit="0" vertical="center" wrapText="1"/>
    </xf>
    <xf borderId="11" fillId="2" fontId="7" numFmtId="1" xfId="0" applyAlignment="1" applyBorder="1" applyFont="1" applyNumberFormat="1">
      <alignment horizontal="center" shrinkToFit="0" vertical="center" wrapText="1"/>
    </xf>
    <xf borderId="11" fillId="2" fontId="7" numFmtId="166" xfId="0" applyAlignment="1" applyBorder="1" applyFont="1" applyNumberForma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1" fillId="2" fontId="8" numFmtId="49" xfId="0" applyAlignment="1" applyBorder="1" applyFont="1" applyNumberFormat="1">
      <alignment horizontal="center" shrinkToFit="0" vertical="center" wrapText="1"/>
    </xf>
    <xf borderId="4" fillId="3" fontId="5" numFmtId="1" xfId="0" applyAlignment="1" applyBorder="1" applyFont="1" applyNumberFormat="1">
      <alignment vertical="top"/>
    </xf>
    <xf borderId="4" fillId="3" fontId="9" numFmtId="49" xfId="0" applyAlignment="1" applyBorder="1" applyFont="1" applyNumberFormat="1">
      <alignment vertical="top"/>
    </xf>
    <xf borderId="4" fillId="3" fontId="10" numFmtId="164" xfId="0" applyAlignment="1" applyBorder="1" applyFont="1" applyNumberFormat="1">
      <alignment horizontal="left" readingOrder="0" vertical="top"/>
    </xf>
    <xf borderId="4" fillId="3" fontId="10" numFmtId="1" xfId="0" applyAlignment="1" applyBorder="1" applyFont="1" applyNumberFormat="1">
      <alignment horizontal="left" vertical="top"/>
    </xf>
    <xf borderId="4" fillId="3" fontId="10" numFmtId="0" xfId="0" applyAlignment="1" applyBorder="1" applyFont="1">
      <alignment horizontal="left" readingOrder="0" vertical="top"/>
    </xf>
    <xf borderId="4" fillId="3" fontId="10" numFmtId="167" xfId="0" applyAlignment="1" applyBorder="1" applyFont="1" applyNumberFormat="1">
      <alignment horizontal="left" readingOrder="0" vertical="top"/>
    </xf>
    <xf borderId="4" fillId="3" fontId="10" numFmtId="167" xfId="0" applyAlignment="1" applyBorder="1" applyFont="1" applyNumberFormat="1">
      <alignment horizontal="left" vertical="top"/>
    </xf>
    <xf borderId="4" fillId="3" fontId="11" numFmtId="49" xfId="0" applyAlignment="1" applyBorder="1" applyFont="1" applyNumberFormat="1">
      <alignment readingOrder="0"/>
    </xf>
    <xf borderId="4" fillId="3" fontId="10" numFmtId="49" xfId="0" applyAlignment="1" applyBorder="1" applyFont="1" applyNumberFormat="1">
      <alignment readingOrder="0" vertical="top"/>
    </xf>
    <xf borderId="4" fillId="3" fontId="5" numFmtId="49" xfId="0" applyBorder="1" applyFont="1" applyNumberFormat="1"/>
    <xf borderId="4" fillId="3" fontId="10" numFmtId="168" xfId="0" applyAlignment="1" applyBorder="1" applyFont="1" applyNumberFormat="1">
      <alignment horizontal="left" vertical="top"/>
    </xf>
    <xf borderId="0" fillId="3" fontId="12" numFmtId="0" xfId="0" applyFont="1"/>
    <xf borderId="4" fillId="4" fontId="5" numFmtId="1" xfId="0" applyAlignment="1" applyBorder="1" applyFill="1" applyFont="1" applyNumberFormat="1">
      <alignment vertical="top"/>
    </xf>
    <xf borderId="4" fillId="4" fontId="9" numFmtId="49" xfId="0" applyAlignment="1" applyBorder="1" applyFont="1" applyNumberFormat="1">
      <alignment vertical="top"/>
    </xf>
    <xf borderId="4" fillId="4" fontId="10" numFmtId="164" xfId="0" applyAlignment="1" applyBorder="1" applyFont="1" applyNumberFormat="1">
      <alignment horizontal="left" vertical="top"/>
    </xf>
    <xf borderId="4" fillId="4" fontId="10" numFmtId="1" xfId="0" applyAlignment="1" applyBorder="1" applyFont="1" applyNumberFormat="1">
      <alignment horizontal="left" vertical="top"/>
    </xf>
    <xf borderId="4" fillId="4" fontId="10" numFmtId="0" xfId="0" applyAlignment="1" applyBorder="1" applyFont="1">
      <alignment horizontal="left" vertical="top"/>
    </xf>
    <xf borderId="4" fillId="4" fontId="10" numFmtId="167" xfId="0" applyAlignment="1" applyBorder="1" applyFont="1" applyNumberFormat="1">
      <alignment horizontal="left" vertical="top"/>
    </xf>
    <xf borderId="4" fillId="4" fontId="11" numFmtId="49" xfId="0" applyAlignment="1" applyBorder="1" applyFont="1" applyNumberFormat="1">
      <alignment readingOrder="0"/>
    </xf>
    <xf borderId="4" fillId="4" fontId="10" numFmtId="49" xfId="0" applyAlignment="1" applyBorder="1" applyFont="1" applyNumberFormat="1">
      <alignment vertical="top"/>
    </xf>
    <xf borderId="4" fillId="4" fontId="5" numFmtId="49" xfId="0" applyBorder="1" applyFont="1" applyNumberFormat="1"/>
    <xf borderId="4" fillId="4" fontId="10" numFmtId="168" xfId="0" applyAlignment="1" applyBorder="1" applyFont="1" applyNumberFormat="1">
      <alignment horizontal="left" vertical="top"/>
    </xf>
    <xf borderId="4" fillId="5" fontId="5" numFmtId="1" xfId="0" applyAlignment="1" applyBorder="1" applyFill="1" applyFont="1" applyNumberFormat="1">
      <alignment vertical="top"/>
    </xf>
    <xf borderId="4" fillId="5" fontId="9" numFmtId="49" xfId="0" applyAlignment="1" applyBorder="1" applyFont="1" applyNumberFormat="1">
      <alignment vertical="top"/>
    </xf>
    <xf borderId="13" fillId="5" fontId="9" numFmtId="49" xfId="0" applyAlignment="1" applyBorder="1" applyFont="1" applyNumberFormat="1">
      <alignment vertical="top"/>
    </xf>
    <xf borderId="4" fillId="5" fontId="10" numFmtId="164" xfId="0" applyAlignment="1" applyBorder="1" applyFont="1" applyNumberFormat="1">
      <alignment horizontal="left" vertical="top"/>
    </xf>
    <xf borderId="4" fillId="5" fontId="10" numFmtId="1" xfId="0" applyAlignment="1" applyBorder="1" applyFont="1" applyNumberFormat="1">
      <alignment horizontal="left" vertical="top"/>
    </xf>
    <xf borderId="4" fillId="5" fontId="10" numFmtId="0" xfId="0" applyAlignment="1" applyBorder="1" applyFont="1">
      <alignment horizontal="left" vertical="top"/>
    </xf>
    <xf borderId="4" fillId="5" fontId="10" numFmtId="167" xfId="0" applyAlignment="1" applyBorder="1" applyFont="1" applyNumberFormat="1">
      <alignment horizontal="left" vertical="top"/>
    </xf>
    <xf borderId="4" fillId="5" fontId="11" numFmtId="49" xfId="0" applyAlignment="1" applyBorder="1" applyFont="1" applyNumberFormat="1">
      <alignment readingOrder="0"/>
    </xf>
    <xf borderId="4" fillId="5" fontId="10" numFmtId="49" xfId="0" applyAlignment="1" applyBorder="1" applyFont="1" applyNumberFormat="1">
      <alignment vertical="top"/>
    </xf>
    <xf borderId="4" fillId="5" fontId="5" numFmtId="49" xfId="0" applyBorder="1" applyFont="1" applyNumberFormat="1"/>
    <xf borderId="4" fillId="5" fontId="10" numFmtId="168" xfId="0" applyAlignment="1" applyBorder="1" applyFont="1" applyNumberFormat="1">
      <alignment horizontal="left" vertical="top"/>
    </xf>
    <xf borderId="4" fillId="4" fontId="11" numFmtId="49" xfId="0" applyBorder="1" applyFont="1" applyNumberFormat="1"/>
    <xf borderId="4" fillId="5" fontId="11" numFmtId="49" xfId="0" applyBorder="1" applyFont="1" applyNumberFormat="1"/>
    <xf borderId="4" fillId="3" fontId="10" numFmtId="0" xfId="0" applyAlignment="1" applyBorder="1" applyFont="1">
      <alignment horizontal="left" vertical="top"/>
    </xf>
    <xf borderId="4" fillId="3" fontId="11" numFmtId="49" xfId="0" applyBorder="1" applyFont="1" applyNumberFormat="1"/>
    <xf borderId="4" fillId="3" fontId="10" numFmtId="49" xfId="0" applyAlignment="1" applyBorder="1" applyFont="1" applyNumberFormat="1">
      <alignment vertical="top"/>
    </xf>
    <xf borderId="4" fillId="3" fontId="9" numFmtId="49" xfId="0" applyAlignment="1" applyBorder="1" applyFont="1" applyNumberFormat="1">
      <alignment readingOrder="0" vertical="top"/>
    </xf>
    <xf borderId="4" fillId="5" fontId="9" numFmtId="49" xfId="0" applyAlignment="1" applyBorder="1" applyFont="1" applyNumberFormat="1">
      <alignment readingOrder="0" vertical="top"/>
    </xf>
    <xf borderId="4" fillId="5" fontId="10" numFmtId="164" xfId="0" applyAlignment="1" applyBorder="1" applyFont="1" applyNumberFormat="1">
      <alignment horizontal="left" readingOrder="0" vertical="top"/>
    </xf>
    <xf borderId="4" fillId="5" fontId="10" numFmtId="0" xfId="0" applyAlignment="1" applyBorder="1" applyFont="1">
      <alignment horizontal="left" readingOrder="0" vertical="top"/>
    </xf>
    <xf borderId="4" fillId="5" fontId="10" numFmtId="167" xfId="0" applyAlignment="1" applyBorder="1" applyFont="1" applyNumberFormat="1">
      <alignment horizontal="left" readingOrder="0" vertical="top"/>
    </xf>
    <xf borderId="4" fillId="5" fontId="10" numFmtId="49" xfId="0" applyAlignment="1" applyBorder="1" applyFont="1" applyNumberFormat="1">
      <alignment readingOrder="0" vertical="top"/>
    </xf>
    <xf borderId="4" fillId="4" fontId="9" numFmtId="49" xfId="0" applyAlignment="1" applyBorder="1" applyFont="1" applyNumberFormat="1">
      <alignment readingOrder="0" vertical="top"/>
    </xf>
    <xf borderId="13" fillId="4" fontId="9" numFmtId="49" xfId="0" applyAlignment="1" applyBorder="1" applyFont="1" applyNumberFormat="1">
      <alignment readingOrder="0" vertical="top"/>
    </xf>
    <xf borderId="4" fillId="4" fontId="10" numFmtId="164" xfId="0" applyAlignment="1" applyBorder="1" applyFont="1" applyNumberFormat="1">
      <alignment horizontal="left" readingOrder="0" vertical="top"/>
    </xf>
    <xf borderId="4" fillId="4" fontId="10" numFmtId="0" xfId="0" applyAlignment="1" applyBorder="1" applyFont="1">
      <alignment horizontal="left" readingOrder="0" vertical="top"/>
    </xf>
    <xf borderId="4" fillId="4" fontId="10" numFmtId="167" xfId="0" applyAlignment="1" applyBorder="1" applyFont="1" applyNumberFormat="1">
      <alignment horizontal="left" readingOrder="0" vertical="top"/>
    </xf>
    <xf borderId="4" fillId="4" fontId="10" numFmtId="49" xfId="0" applyAlignment="1" applyBorder="1" applyFont="1" applyNumberFormat="1">
      <alignment readingOrder="0" vertical="top"/>
    </xf>
    <xf borderId="13" fillId="3" fontId="9" numFmtId="49" xfId="0" applyAlignment="1" applyBorder="1" applyFont="1" applyNumberFormat="1">
      <alignment readingOrder="0" vertical="top"/>
    </xf>
    <xf borderId="4" fillId="4" fontId="5" numFmtId="49" xfId="0" applyAlignment="1" applyBorder="1" applyFont="1" applyNumberFormat="1">
      <alignment readingOrder="0"/>
    </xf>
    <xf borderId="13" fillId="5" fontId="9" numFmtId="49" xfId="0" applyAlignment="1" applyBorder="1" applyFont="1" applyNumberFormat="1">
      <alignment readingOrder="0" vertical="top"/>
    </xf>
    <xf borderId="4" fillId="5" fontId="5" numFmtId="49" xfId="0" applyAlignment="1" applyBorder="1" applyFont="1" applyNumberFormat="1">
      <alignment readingOrder="0"/>
    </xf>
    <xf borderId="4" fillId="3" fontId="5" numFmtId="49" xfId="0" applyAlignment="1" applyBorder="1" applyFont="1" applyNumberFormat="1">
      <alignment readingOrder="0"/>
    </xf>
    <xf borderId="4" fillId="4" fontId="5" numFmtId="164" xfId="0" applyAlignment="1" applyBorder="1" applyFont="1" applyNumberFormat="1">
      <alignment horizontal="left" readingOrder="0" vertical="top"/>
    </xf>
    <xf borderId="4" fillId="4" fontId="5" numFmtId="164" xfId="0" applyAlignment="1" applyBorder="1" applyFont="1" applyNumberFormat="1">
      <alignment horizontal="left" vertical="top"/>
    </xf>
    <xf borderId="4" fillId="4" fontId="5" numFmtId="0" xfId="0" applyAlignment="1" applyBorder="1" applyFont="1">
      <alignment horizontal="left" vertical="top"/>
    </xf>
    <xf borderId="4" fillId="4" fontId="5" numFmtId="0" xfId="0" applyAlignment="1" applyBorder="1" applyFont="1">
      <alignment vertical="top"/>
    </xf>
    <xf borderId="4" fillId="4" fontId="5" numFmtId="167" xfId="0" applyAlignment="1" applyBorder="1" applyFont="1" applyNumberFormat="1">
      <alignment vertical="top"/>
    </xf>
    <xf borderId="4" fillId="4" fontId="13" numFmtId="49" xfId="0" applyAlignment="1" applyBorder="1" applyFont="1" applyNumberFormat="1">
      <alignment readingOrder="0" vertical="bottom"/>
    </xf>
    <xf borderId="4" fillId="4" fontId="5" numFmtId="49" xfId="0" applyAlignment="1" applyBorder="1" applyFont="1" applyNumberFormat="1">
      <alignment vertical="top"/>
    </xf>
    <xf borderId="4" fillId="4" fontId="5" numFmtId="49" xfId="0" applyAlignment="1" applyBorder="1" applyFont="1" applyNumberFormat="1">
      <alignment vertical="bottom"/>
    </xf>
    <xf borderId="4" fillId="5" fontId="5" numFmtId="164" xfId="0" applyAlignment="1" applyBorder="1" applyFont="1" applyNumberFormat="1">
      <alignment horizontal="left" vertical="top"/>
    </xf>
    <xf borderId="4" fillId="5" fontId="5" numFmtId="0" xfId="0" applyAlignment="1" applyBorder="1" applyFont="1">
      <alignment horizontal="left" vertical="top"/>
    </xf>
    <xf borderId="4" fillId="5" fontId="5" numFmtId="0" xfId="0" applyAlignment="1" applyBorder="1" applyFont="1">
      <alignment vertical="top"/>
    </xf>
    <xf borderId="4" fillId="5" fontId="5" numFmtId="167" xfId="0" applyAlignment="1" applyBorder="1" applyFont="1" applyNumberFormat="1">
      <alignment vertical="top"/>
    </xf>
    <xf borderId="4" fillId="5" fontId="13" numFmtId="49" xfId="0" applyAlignment="1" applyBorder="1" applyFont="1" applyNumberFormat="1">
      <alignment readingOrder="0" vertical="bottom"/>
    </xf>
    <xf borderId="4" fillId="5" fontId="5" numFmtId="49" xfId="0" applyAlignment="1" applyBorder="1" applyFont="1" applyNumberFormat="1">
      <alignment vertical="top"/>
    </xf>
    <xf borderId="4" fillId="5" fontId="5" numFmtId="49" xfId="0" applyAlignment="1" applyBorder="1" applyFont="1" applyNumberFormat="1">
      <alignment vertical="bottom"/>
    </xf>
    <xf borderId="13" fillId="5" fontId="10" numFmtId="0" xfId="0" applyAlignment="1" applyBorder="1" applyFont="1">
      <alignment horizontal="left" readingOrder="0" vertical="top"/>
    </xf>
    <xf borderId="13" fillId="5" fontId="10" numFmtId="167" xfId="0" applyAlignment="1" applyBorder="1" applyFont="1" applyNumberFormat="1">
      <alignment horizontal="left" readingOrder="0" vertical="top"/>
    </xf>
    <xf borderId="13" fillId="5" fontId="10" numFmtId="168" xfId="0" applyAlignment="1" applyBorder="1" applyFont="1" applyNumberFormat="1">
      <alignment horizontal="left" vertical="top"/>
    </xf>
    <xf borderId="13" fillId="4" fontId="10" numFmtId="0" xfId="0" applyAlignment="1" applyBorder="1" applyFont="1">
      <alignment horizontal="left" readingOrder="0" vertical="top"/>
    </xf>
    <xf borderId="13" fillId="4" fontId="10" numFmtId="167" xfId="0" applyAlignment="1" applyBorder="1" applyFont="1" applyNumberFormat="1">
      <alignment horizontal="left" readingOrder="0" vertical="top"/>
    </xf>
    <xf borderId="13" fillId="4" fontId="10" numFmtId="168" xfId="0" applyAlignment="1" applyBorder="1" applyFont="1" applyNumberFormat="1">
      <alignment horizontal="left" vertical="top"/>
    </xf>
    <xf borderId="4" fillId="5" fontId="14" numFmtId="1" xfId="0" applyAlignment="1" applyBorder="1" applyFont="1" applyNumberFormat="1">
      <alignment horizontal="right" vertical="top"/>
    </xf>
    <xf borderId="13" fillId="5" fontId="5" numFmtId="0" xfId="0" applyAlignment="1" applyBorder="1" applyFont="1">
      <alignment horizontal="left" readingOrder="0" vertical="top"/>
    </xf>
    <xf borderId="13" fillId="5" fontId="5" numFmtId="167" xfId="0" applyAlignment="1" applyBorder="1" applyFont="1" applyNumberFormat="1">
      <alignment readingOrder="0" vertical="top"/>
    </xf>
    <xf borderId="13" fillId="5" fontId="5" numFmtId="168" xfId="0" applyAlignment="1" applyBorder="1" applyFont="1" applyNumberFormat="1">
      <alignment vertical="top"/>
    </xf>
    <xf borderId="0" fillId="0" fontId="5" numFmtId="0" xfId="0" applyAlignment="1" applyFont="1">
      <alignment vertical="bottom"/>
    </xf>
    <xf borderId="14" fillId="5" fontId="11" numFmtId="49" xfId="0" applyAlignment="1" applyBorder="1" applyFont="1" applyNumberFormat="1">
      <alignment readingOrder="0"/>
    </xf>
    <xf borderId="15" fillId="4" fontId="15" numFmtId="49" xfId="0" applyAlignment="1" applyBorder="1" applyFont="1" applyNumberFormat="1">
      <alignment vertical="top"/>
    </xf>
    <xf borderId="16" fillId="4" fontId="15" numFmtId="49" xfId="0" applyAlignment="1" applyBorder="1" applyFont="1" applyNumberFormat="1">
      <alignment vertical="top"/>
    </xf>
    <xf borderId="16" fillId="4" fontId="10" numFmtId="164" xfId="0" applyAlignment="1" applyBorder="1" applyFont="1" applyNumberFormat="1">
      <alignment horizontal="left" vertical="top"/>
    </xf>
    <xf borderId="16" fillId="4" fontId="10" numFmtId="1" xfId="0" applyAlignment="1" applyBorder="1" applyFont="1" applyNumberFormat="1">
      <alignment horizontal="left" vertical="top"/>
    </xf>
    <xf borderId="16" fillId="4" fontId="10" numFmtId="0" xfId="0" applyAlignment="1" applyBorder="1" applyFont="1">
      <alignment horizontal="left" vertical="top"/>
    </xf>
    <xf borderId="16" fillId="4" fontId="7" numFmtId="0" xfId="0" applyAlignment="1" applyBorder="1" applyFont="1">
      <alignment horizontal="right" vertical="top"/>
    </xf>
    <xf borderId="17" fillId="4" fontId="16" numFmtId="167" xfId="0" applyAlignment="1" applyBorder="1" applyFont="1" applyNumberFormat="1">
      <alignment horizontal="left" vertical="top"/>
    </xf>
    <xf borderId="16" fillId="4" fontId="16" numFmtId="167" xfId="0" applyAlignment="1" applyBorder="1" applyFont="1" applyNumberFormat="1">
      <alignment horizontal="left" vertical="top"/>
    </xf>
    <xf borderId="17" fillId="4" fontId="7" numFmtId="167" xfId="0" applyAlignment="1" applyBorder="1" applyFont="1" applyNumberFormat="1">
      <alignment horizontal="left" vertical="top"/>
    </xf>
    <xf borderId="18" fillId="4" fontId="11" numFmtId="49" xfId="0" applyBorder="1" applyFont="1" applyNumberFormat="1"/>
    <xf borderId="16" fillId="4" fontId="7" numFmtId="49" xfId="0" applyAlignment="1" applyBorder="1" applyFont="1" applyNumberFormat="1">
      <alignment vertical="top"/>
    </xf>
    <xf borderId="16" fillId="4" fontId="17" numFmtId="49" xfId="0" applyAlignment="1" applyBorder="1" applyFont="1" applyNumberFormat="1">
      <alignment vertical="top"/>
    </xf>
    <xf borderId="19" fillId="4" fontId="7" numFmtId="169" xfId="0" applyAlignment="1" applyBorder="1" applyFont="1" applyNumberFormat="1">
      <alignment horizontal="left" vertical="top"/>
    </xf>
    <xf borderId="0" fillId="5" fontId="9" numFmtId="1" xfId="0" applyAlignment="1" applyFont="1" applyNumberFormat="1">
      <alignment vertical="top"/>
    </xf>
    <xf borderId="0" fillId="5" fontId="10" numFmtId="0" xfId="0" applyAlignment="1" applyFont="1">
      <alignment horizontal="left" vertical="top"/>
    </xf>
    <xf borderId="0" fillId="5" fontId="10" numFmtId="167" xfId="0" applyAlignment="1" applyFont="1" applyNumberFormat="1">
      <alignment horizontal="left" vertical="top"/>
    </xf>
    <xf borderId="0" fillId="5" fontId="10" numFmtId="49" xfId="0" applyAlignment="1" applyFont="1" applyNumberFormat="1">
      <alignment vertical="top"/>
    </xf>
    <xf borderId="13" fillId="5" fontId="10" numFmtId="49" xfId="0" applyAlignment="1" applyBorder="1" applyFont="1" applyNumberFormat="1">
      <alignment vertical="top"/>
    </xf>
    <xf borderId="13" fillId="5" fontId="5" numFmtId="49" xfId="0" applyAlignment="1" applyBorder="1" applyFont="1" applyNumberFormat="1">
      <alignment vertical="top"/>
    </xf>
    <xf borderId="0" fillId="0" fontId="9" numFmtId="0" xfId="0" applyAlignment="1" applyFont="1">
      <alignment vertical="top"/>
    </xf>
    <xf borderId="0" fillId="0" fontId="9" numFmtId="49" xfId="0" applyAlignment="1" applyFont="1" applyNumberFormat="1">
      <alignment vertical="top"/>
    </xf>
    <xf borderId="0" fillId="0" fontId="10" numFmtId="164" xfId="0" applyAlignment="1" applyFont="1" applyNumberFormat="1">
      <alignment horizontal="left" vertical="top"/>
    </xf>
    <xf borderId="0" fillId="0" fontId="10" numFmtId="1" xfId="0" applyAlignment="1" applyFont="1" applyNumberFormat="1">
      <alignment horizontal="left" vertical="top"/>
    </xf>
    <xf borderId="0" fillId="0" fontId="10" numFmtId="0" xfId="0" applyAlignment="1" applyFont="1">
      <alignment horizontal="left" vertical="top"/>
    </xf>
    <xf borderId="0" fillId="0" fontId="10" numFmtId="166" xfId="0" applyAlignment="1" applyFont="1" applyNumberFormat="1">
      <alignment horizontal="left" vertical="top"/>
    </xf>
    <xf borderId="0" fillId="0" fontId="10" numFmtId="49" xfId="0" applyAlignment="1" applyFont="1" applyNumberFormat="1">
      <alignment vertical="top"/>
    </xf>
    <xf borderId="0" fillId="0" fontId="5" numFmtId="49" xfId="0" applyAlignment="1" applyFont="1" applyNumberFormat="1">
      <alignment vertical="top"/>
    </xf>
    <xf borderId="0" fillId="0" fontId="5" numFmtId="0" xfId="0" applyAlignment="1" applyFont="1">
      <alignment horizontal="left" vertical="top"/>
    </xf>
    <xf borderId="3" fillId="6" fontId="18" numFmtId="166" xfId="0" applyAlignment="1" applyBorder="1" applyFill="1" applyFont="1" applyNumberFormat="1">
      <alignment horizontal="left" vertical="top"/>
    </xf>
    <xf borderId="3" fillId="6" fontId="19" numFmtId="166" xfId="0" applyAlignment="1" applyBorder="1" applyFont="1" applyNumberFormat="1">
      <alignment horizontal="right" vertical="top"/>
    </xf>
    <xf borderId="3" fillId="6" fontId="19" numFmtId="167" xfId="0" applyAlignment="1" applyBorder="1" applyFont="1" applyNumberFormat="1">
      <alignment horizontal="left" vertical="top"/>
    </xf>
    <xf borderId="20" fillId="6" fontId="19" numFmtId="166" xfId="0" applyAlignment="1" applyBorder="1" applyFont="1" applyNumberFormat="1">
      <alignment horizontal="center" vertical="top"/>
    </xf>
    <xf borderId="3" fillId="7" fontId="20" numFmtId="1" xfId="0" applyAlignment="1" applyBorder="1" applyFill="1" applyFont="1" applyNumberFormat="1">
      <alignment horizontal="left" vertical="top"/>
    </xf>
    <xf borderId="3" fillId="7" fontId="4" numFmtId="166" xfId="0" applyAlignment="1" applyBorder="1" applyFont="1" applyNumberFormat="1">
      <alignment horizontal="right" vertical="top"/>
    </xf>
    <xf borderId="21" fillId="8" fontId="4" numFmtId="167" xfId="0" applyAlignment="1" applyBorder="1" applyFill="1" applyFont="1" applyNumberFormat="1">
      <alignment horizontal="left" vertical="top"/>
    </xf>
    <xf borderId="22" fillId="8" fontId="5" numFmtId="167" xfId="0" applyBorder="1" applyFont="1" applyNumberFormat="1"/>
    <xf borderId="0" fillId="0" fontId="3" numFmtId="166" xfId="0" applyFont="1" applyNumberFormat="1"/>
    <xf borderId="0" fillId="0" fontId="5" numFmtId="166" xfId="0" applyFont="1" applyNumberFormat="1"/>
    <xf borderId="0" fillId="0" fontId="5" numFmtId="167" xfId="0" applyAlignment="1" applyFont="1" applyNumberFormat="1">
      <alignment horizontal="left" vertical="top"/>
    </xf>
    <xf borderId="22" fillId="8" fontId="10" numFmtId="167" xfId="0" applyBorder="1" applyFont="1" applyNumberFormat="1"/>
    <xf borderId="0" fillId="0" fontId="10" numFmtId="0" xfId="0" applyAlignment="1" applyFont="1">
      <alignment horizontal="right" vertical="top"/>
    </xf>
    <xf borderId="0" fillId="0" fontId="10" numFmtId="1" xfId="0" applyAlignment="1" applyFont="1" applyNumberFormat="1">
      <alignment horizontal="center" vertical="top"/>
    </xf>
    <xf borderId="0" fillId="0" fontId="5" numFmtId="166" xfId="0" applyAlignment="1" applyFont="1" applyNumberFormat="1">
      <alignment horizontal="left" vertical="top"/>
    </xf>
    <xf borderId="0" fillId="0" fontId="3" numFmtId="0" xfId="0" applyFont="1"/>
    <xf borderId="0" fillId="0" fontId="10" numFmtId="170" xfId="0" applyAlignment="1" applyFont="1" applyNumberFormat="1">
      <alignment horizontal="center" vertical="top"/>
    </xf>
    <xf borderId="0" fillId="0" fontId="10" numFmtId="171" xfId="0" applyAlignment="1" applyFont="1" applyNumberFormat="1">
      <alignment vertical="top"/>
    </xf>
    <xf borderId="0" fillId="0" fontId="10" numFmtId="170" xfId="0" applyAlignment="1" applyFont="1" applyNumberFormat="1">
      <alignment horizontal="left" vertical="top"/>
    </xf>
    <xf borderId="0" fillId="0" fontId="10" numFmtId="166" xfId="0" applyAlignment="1" applyFont="1" applyNumberFormat="1">
      <alignment horizontal="right" vertical="top"/>
    </xf>
    <xf borderId="0" fillId="0" fontId="10" numFmtId="170" xfId="0" applyAlignment="1" applyFont="1" applyNumberFormat="1">
      <alignment vertical="top"/>
    </xf>
    <xf borderId="0" fillId="0" fontId="3" numFmtId="164" xfId="0" applyFont="1" applyNumberFormat="1"/>
    <xf borderId="0" fillId="0" fontId="3" numFmtId="1" xfId="0" applyFont="1" applyNumberFormat="1"/>
    <xf borderId="3" fillId="2" fontId="6" numFmtId="0" xfId="0" applyAlignment="1" applyBorder="1" applyFont="1">
      <alignment horizontal="center" readingOrder="0" vertical="center"/>
    </xf>
    <xf borderId="6" fillId="2" fontId="4" numFmtId="165" xfId="0" applyAlignment="1" applyBorder="1" applyFont="1" applyNumberFormat="1">
      <alignment horizontal="left" readingOrder="0" vertical="center"/>
    </xf>
    <xf borderId="4" fillId="4" fontId="10" numFmtId="172" xfId="0" applyAlignment="1" applyBorder="1" applyFont="1" applyNumberFormat="1">
      <alignment horizontal="left" readingOrder="0" vertical="top"/>
    </xf>
    <xf borderId="13" fillId="5" fontId="11" numFmtId="49" xfId="0" applyBorder="1" applyFont="1" applyNumberFormat="1"/>
    <xf borderId="13" fillId="4" fontId="11" numFmtId="49" xfId="0" applyBorder="1" applyFont="1" applyNumberFormat="1"/>
    <xf borderId="13" fillId="5" fontId="10" numFmtId="0" xfId="0" applyAlignment="1" applyBorder="1" applyFont="1">
      <alignment horizontal="left" vertical="top"/>
    </xf>
    <xf borderId="13" fillId="4" fontId="10" numFmtId="0" xfId="0" applyAlignment="1" applyBorder="1" applyFont="1">
      <alignment horizontal="left" vertical="top"/>
    </xf>
    <xf borderId="4" fillId="5" fontId="10" numFmtId="172" xfId="0" applyAlignment="1" applyBorder="1" applyFont="1" applyNumberFormat="1">
      <alignment horizontal="left" readingOrder="0" vertical="top"/>
    </xf>
    <xf borderId="15" fillId="5" fontId="15" numFmtId="49" xfId="0" applyAlignment="1" applyBorder="1" applyFont="1" applyNumberFormat="1">
      <alignment vertical="top"/>
    </xf>
    <xf borderId="16" fillId="5" fontId="15" numFmtId="49" xfId="0" applyAlignment="1" applyBorder="1" applyFont="1" applyNumberFormat="1">
      <alignment vertical="top"/>
    </xf>
    <xf borderId="16" fillId="5" fontId="10" numFmtId="164" xfId="0" applyAlignment="1" applyBorder="1" applyFont="1" applyNumberFormat="1">
      <alignment horizontal="left" vertical="top"/>
    </xf>
    <xf borderId="16" fillId="5" fontId="10" numFmtId="1" xfId="0" applyAlignment="1" applyBorder="1" applyFont="1" applyNumberFormat="1">
      <alignment horizontal="left" vertical="top"/>
    </xf>
    <xf borderId="16" fillId="5" fontId="10" numFmtId="0" xfId="0" applyAlignment="1" applyBorder="1" applyFont="1">
      <alignment horizontal="left" vertical="top"/>
    </xf>
    <xf borderId="16" fillId="5" fontId="7" numFmtId="0" xfId="0" applyAlignment="1" applyBorder="1" applyFont="1">
      <alignment horizontal="right" vertical="top"/>
    </xf>
    <xf borderId="17" fillId="5" fontId="7" numFmtId="167" xfId="0" applyAlignment="1" applyBorder="1" applyFont="1" applyNumberFormat="1">
      <alignment horizontal="left" vertical="top"/>
    </xf>
    <xf borderId="17" fillId="5" fontId="11" numFmtId="49" xfId="0" applyBorder="1" applyFont="1" applyNumberFormat="1"/>
    <xf borderId="16" fillId="5" fontId="7" numFmtId="49" xfId="0" applyAlignment="1" applyBorder="1" applyFont="1" applyNumberFormat="1">
      <alignment vertical="top"/>
    </xf>
    <xf borderId="16" fillId="5" fontId="17" numFmtId="49" xfId="0" applyAlignment="1" applyBorder="1" applyFont="1" applyNumberFormat="1">
      <alignment vertical="top"/>
    </xf>
    <xf borderId="19" fillId="5" fontId="7" numFmtId="169" xfId="0" applyAlignment="1" applyBorder="1" applyFont="1" applyNumberFormat="1">
      <alignment horizontal="left" vertical="top"/>
    </xf>
    <xf borderId="0" fillId="4" fontId="9" numFmtId="1" xfId="0" applyAlignment="1" applyFont="1" applyNumberFormat="1">
      <alignment vertical="top"/>
    </xf>
    <xf borderId="0" fillId="4" fontId="10" numFmtId="0" xfId="0" applyAlignment="1" applyFont="1">
      <alignment horizontal="left" vertical="top"/>
    </xf>
    <xf borderId="0" fillId="4" fontId="10" numFmtId="167" xfId="0" applyAlignment="1" applyFont="1" applyNumberFormat="1">
      <alignment horizontal="left" vertical="top"/>
    </xf>
    <xf borderId="0" fillId="4" fontId="10" numFmtId="49" xfId="0" applyAlignment="1" applyFont="1" applyNumberFormat="1">
      <alignment vertical="top"/>
    </xf>
    <xf borderId="13" fillId="4" fontId="10" numFmtId="49" xfId="0" applyAlignment="1" applyBorder="1" applyFont="1" applyNumberFormat="1">
      <alignment vertical="top"/>
    </xf>
    <xf borderId="13" fillId="4" fontId="5" numFmtId="49" xfId="0" applyAlignment="1" applyBorder="1" applyFont="1" applyNumberFormat="1">
      <alignment vertical="top"/>
    </xf>
    <xf borderId="3" fillId="6" fontId="21" numFmtId="166" xfId="0" applyAlignment="1" applyBorder="1" applyFont="1" applyNumberFormat="1">
      <alignment horizontal="right" readingOrder="0" vertical="top"/>
    </xf>
    <xf borderId="3" fillId="2" fontId="4" numFmtId="167" xfId="0" applyAlignment="1" applyBorder="1" applyFont="1" applyNumberFormat="1">
      <alignment horizontal="left" vertical="top"/>
    </xf>
    <xf borderId="2" fillId="2" fontId="22" numFmtId="164" xfId="0" applyAlignment="1" applyBorder="1" applyFont="1" applyNumberFormat="1">
      <alignment horizontal="left" vertical="center"/>
    </xf>
    <xf borderId="1" fillId="2" fontId="3" numFmtId="0" xfId="0" applyAlignment="1" applyBorder="1" applyFont="1">
      <alignment horizontal="left"/>
    </xf>
    <xf borderId="2" fillId="2" fontId="3" numFmtId="0" xfId="0" applyAlignment="1" applyBorder="1" applyFont="1">
      <alignment horizontal="left"/>
    </xf>
    <xf borderId="23" fillId="2" fontId="3" numFmtId="0" xfId="0" applyBorder="1" applyFont="1"/>
    <xf borderId="0" fillId="0" fontId="10" numFmtId="173" xfId="0" applyFont="1" applyNumberFormat="1"/>
    <xf borderId="24" fillId="0" fontId="23" numFmtId="0" xfId="0" applyAlignment="1" applyBorder="1" applyFont="1">
      <alignment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0" fillId="0" fontId="10" numFmtId="0" xfId="0" applyFont="1"/>
    <xf borderId="3" fillId="2" fontId="22" numFmtId="164" xfId="0" applyAlignment="1" applyBorder="1" applyFont="1" applyNumberFormat="1">
      <alignment horizontal="left" vertical="center"/>
    </xf>
    <xf borderId="5" fillId="2" fontId="3" numFmtId="0" xfId="0" applyAlignment="1" applyBorder="1" applyFont="1">
      <alignment horizontal="left"/>
    </xf>
    <xf borderId="3" fillId="2" fontId="3" numFmtId="0" xfId="0" applyAlignment="1" applyBorder="1" applyFont="1">
      <alignment horizontal="left"/>
    </xf>
    <xf borderId="3" fillId="2" fontId="24" numFmtId="0" xfId="0" applyAlignment="1" applyBorder="1" applyFont="1">
      <alignment vertical="center"/>
    </xf>
    <xf borderId="3" fillId="2" fontId="24" numFmtId="0" xfId="0" applyAlignment="1" applyBorder="1" applyFont="1">
      <alignment horizontal="center" vertical="center"/>
    </xf>
    <xf borderId="25" fillId="2" fontId="3" numFmtId="0" xfId="0" applyBorder="1" applyFont="1"/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center" shrinkToFit="0" vertical="center" wrapText="1"/>
    </xf>
    <xf borderId="26" fillId="2" fontId="22" numFmtId="164" xfId="0" applyAlignment="1" applyBorder="1" applyFont="1" applyNumberFormat="1">
      <alignment horizontal="left" vertical="center"/>
    </xf>
    <xf borderId="27" fillId="2" fontId="3" numFmtId="0" xfId="0" applyAlignment="1" applyBorder="1" applyFont="1">
      <alignment horizontal="left"/>
    </xf>
    <xf borderId="26" fillId="2" fontId="3" numFmtId="0" xfId="0" applyAlignment="1" applyBorder="1" applyFont="1">
      <alignment horizontal="left"/>
    </xf>
    <xf borderId="26" fillId="2" fontId="3" numFmtId="0" xfId="0" applyBorder="1" applyFont="1"/>
    <xf borderId="28" fillId="2" fontId="3" numFmtId="0" xfId="0" applyBorder="1" applyFont="1"/>
    <xf borderId="11" fillId="3" fontId="25" numFmtId="164" xfId="0" applyAlignment="1" applyBorder="1" applyFont="1" applyNumberFormat="1">
      <alignment horizontal="center" shrinkToFit="0" vertical="center" wrapText="1"/>
    </xf>
    <xf borderId="11" fillId="3" fontId="25" numFmtId="0" xfId="0" applyAlignment="1" applyBorder="1" applyFont="1">
      <alignment horizontal="center" shrinkToFit="0" vertical="center" wrapText="1"/>
    </xf>
    <xf borderId="11" fillId="3" fontId="25" numFmtId="49" xfId="0" applyAlignment="1" applyBorder="1" applyFont="1" applyNumberFormat="1">
      <alignment horizontal="center" shrinkToFit="0" vertical="center" wrapText="1"/>
    </xf>
    <xf borderId="11" fillId="3" fontId="25" numFmtId="166" xfId="0" applyAlignment="1" applyBorder="1" applyFont="1" applyNumberFormat="1">
      <alignment horizontal="center" shrinkToFit="0" vertical="center" wrapText="1"/>
    </xf>
    <xf borderId="0" fillId="0" fontId="16" numFmtId="173" xfId="0" applyAlignment="1" applyFont="1" applyNumberFormat="1">
      <alignment shrinkToFit="0" vertical="top" wrapText="1"/>
    </xf>
    <xf borderId="0" fillId="0" fontId="16" numFmtId="0" xfId="0" applyAlignment="1" applyFont="1">
      <alignment shrinkToFit="0" vertical="top" wrapText="1"/>
    </xf>
    <xf borderId="27" fillId="6" fontId="26" numFmtId="164" xfId="0" applyAlignment="1" applyBorder="1" applyFont="1" applyNumberFormat="1">
      <alignment horizontal="left" shrinkToFit="0" vertical="center" wrapText="1"/>
    </xf>
    <xf borderId="26" fillId="6" fontId="25" numFmtId="0" xfId="0" applyAlignment="1" applyBorder="1" applyFont="1">
      <alignment horizontal="left" shrinkToFit="0" vertical="center" wrapText="1"/>
    </xf>
    <xf borderId="26" fillId="6" fontId="25" numFmtId="49" xfId="0" applyAlignment="1" applyBorder="1" applyFont="1" applyNumberFormat="1">
      <alignment horizontal="center" shrinkToFit="0" vertical="center" wrapText="1"/>
    </xf>
    <xf borderId="26" fillId="6" fontId="27" numFmtId="166" xfId="0" applyAlignment="1" applyBorder="1" applyFont="1" applyNumberFormat="1">
      <alignment horizontal="center" shrinkToFit="0" vertical="center" wrapText="1"/>
    </xf>
    <xf borderId="3" fillId="6" fontId="27" numFmtId="166" xfId="0" applyAlignment="1" applyBorder="1" applyFont="1" applyNumberFormat="1">
      <alignment horizontal="center" shrinkToFit="0" vertical="center" wrapText="1"/>
    </xf>
    <xf borderId="3" fillId="6" fontId="25" numFmtId="49" xfId="0" applyAlignment="1" applyBorder="1" applyFont="1" applyNumberFormat="1">
      <alignment horizontal="center" shrinkToFit="0" vertical="center" wrapText="1"/>
    </xf>
    <xf borderId="0" fillId="0" fontId="10" numFmtId="173" xfId="0" applyAlignment="1" applyFont="1" applyNumberFormat="1">
      <alignment vertical="top"/>
    </xf>
    <xf borderId="0" fillId="0" fontId="10" numFmtId="0" xfId="0" applyAlignment="1" applyFont="1">
      <alignment vertical="top"/>
    </xf>
    <xf borderId="4" fillId="0" fontId="13" numFmtId="164" xfId="0" applyAlignment="1" applyBorder="1" applyFont="1" applyNumberFormat="1">
      <alignment horizontal="left"/>
    </xf>
    <xf borderId="4" fillId="0" fontId="10" numFmtId="0" xfId="0" applyAlignment="1" applyBorder="1" applyFont="1">
      <alignment horizontal="left" vertical="top"/>
    </xf>
    <xf borderId="4" fillId="0" fontId="4" numFmtId="166" xfId="0" applyAlignment="1" applyBorder="1" applyFont="1" applyNumberFormat="1">
      <alignment horizontal="left" readingOrder="0" vertical="top"/>
    </xf>
    <xf borderId="4" fillId="0" fontId="5" numFmtId="166" xfId="0" applyAlignment="1" applyBorder="1" applyFont="1" applyNumberFormat="1">
      <alignment horizontal="left" vertical="top"/>
    </xf>
    <xf borderId="4" fillId="0" fontId="10" numFmtId="168" xfId="0" applyAlignment="1" applyBorder="1" applyFont="1" applyNumberFormat="1">
      <alignment horizontal="left" vertical="top"/>
    </xf>
    <xf borderId="29" fillId="0" fontId="10" numFmtId="168" xfId="0" applyAlignment="1" applyBorder="1" applyFont="1" applyNumberFormat="1">
      <alignment horizontal="left" readingOrder="0" vertical="top"/>
    </xf>
    <xf borderId="4" fillId="0" fontId="4" numFmtId="166" xfId="0" applyAlignment="1" applyBorder="1" applyFont="1" applyNumberFormat="1">
      <alignment horizontal="left" vertical="top"/>
    </xf>
    <xf borderId="4" fillId="0" fontId="5" numFmtId="0" xfId="0" applyAlignment="1" applyBorder="1" applyFont="1">
      <alignment horizontal="left"/>
    </xf>
    <xf borderId="4" fillId="0" fontId="10" numFmtId="49" xfId="0" applyAlignment="1" applyBorder="1" applyFont="1" applyNumberFormat="1">
      <alignment horizontal="left" vertical="top"/>
    </xf>
    <xf borderId="16" fillId="9" fontId="13" numFmtId="164" xfId="0" applyAlignment="1" applyBorder="1" applyFill="1" applyFont="1" applyNumberFormat="1">
      <alignment horizontal="left" vertical="top"/>
    </xf>
    <xf borderId="16" fillId="9" fontId="10" numFmtId="0" xfId="0" applyAlignment="1" applyBorder="1" applyFont="1">
      <alignment horizontal="left" vertical="top"/>
    </xf>
    <xf borderId="16" fillId="9" fontId="7" numFmtId="49" xfId="0" applyAlignment="1" applyBorder="1" applyFont="1" applyNumberFormat="1">
      <alignment horizontal="right" vertical="top"/>
    </xf>
    <xf borderId="16" fillId="9" fontId="7" numFmtId="166" xfId="0" applyAlignment="1" applyBorder="1" applyFont="1" applyNumberFormat="1">
      <alignment horizontal="left" vertical="top"/>
    </xf>
    <xf borderId="19" fillId="9" fontId="7" numFmtId="169" xfId="0" applyAlignment="1" applyBorder="1" applyFont="1" applyNumberFormat="1">
      <alignment horizontal="left" vertical="top"/>
    </xf>
    <xf borderId="0" fillId="0" fontId="13" numFmtId="164" xfId="0" applyAlignment="1" applyFont="1" applyNumberFormat="1">
      <alignment horizontal="left" vertical="top"/>
    </xf>
    <xf borderId="24" fillId="0" fontId="10" numFmtId="49" xfId="0" applyAlignment="1" applyBorder="1" applyFont="1" applyNumberFormat="1">
      <alignment horizontal="left" vertical="top"/>
    </xf>
    <xf borderId="0" fillId="0" fontId="10" numFmtId="49" xfId="0" applyAlignment="1" applyFont="1" applyNumberFormat="1">
      <alignment horizontal="left" vertical="top"/>
    </xf>
    <xf borderId="0" fillId="0" fontId="10" numFmtId="1" xfId="0" applyAlignment="1" applyFont="1" applyNumberFormat="1">
      <alignment vertical="top"/>
    </xf>
    <xf borderId="0" fillId="0" fontId="4" numFmtId="0" xfId="0" applyFont="1"/>
    <xf borderId="0" fillId="0" fontId="4" numFmtId="165" xfId="0" applyAlignment="1" applyFont="1" applyNumberFormat="1">
      <alignment horizontal="left"/>
    </xf>
    <xf borderId="0" fillId="0" fontId="10" numFmtId="174" xfId="0" applyAlignment="1" applyFont="1" applyNumberFormat="1">
      <alignment vertical="top"/>
    </xf>
    <xf borderId="0" fillId="0" fontId="3" numFmtId="173" xfId="0" applyFont="1" applyNumberFormat="1"/>
    <xf borderId="0" fillId="0" fontId="28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2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>
        <b/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1266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1266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0</xdr:row>
      <xdr:rowOff>0</xdr:rowOff>
    </xdr:from>
    <xdr:ext cx="12668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88"/>
    <col customWidth="1" min="2" max="3" width="14.0"/>
    <col customWidth="1" min="4" max="4" width="14.13"/>
    <col customWidth="1" min="5" max="5" width="13.5"/>
    <col customWidth="1" min="6" max="6" width="5.0"/>
    <col customWidth="1" min="7" max="7" width="12.38"/>
    <col customWidth="1" min="8" max="8" width="11.5"/>
    <col customWidth="1" min="9" max="9" width="45.0"/>
    <col customWidth="1" min="10" max="10" width="14.88"/>
    <col customWidth="1" min="11" max="11" width="13.38"/>
    <col customWidth="1" min="12" max="12" width="16.13"/>
    <col customWidth="1" min="13" max="13" width="12.5"/>
    <col customWidth="1" min="14" max="14" width="14.13"/>
    <col customWidth="1" min="15" max="15" width="23.0"/>
    <col customWidth="1" min="16" max="16" width="48.5"/>
  </cols>
  <sheetData>
    <row r="1" ht="13.5" customHeight="1">
      <c r="A1" s="1"/>
      <c r="B1" s="2"/>
      <c r="C1" s="2"/>
      <c r="D1" s="3"/>
      <c r="E1" s="3"/>
      <c r="F1" s="4"/>
      <c r="G1" s="5"/>
      <c r="H1" s="6"/>
      <c r="I1" s="6"/>
      <c r="J1" s="6"/>
      <c r="K1" s="6"/>
      <c r="L1" s="6"/>
      <c r="M1" s="6"/>
      <c r="N1" s="7"/>
      <c r="O1" s="8" t="s">
        <v>0</v>
      </c>
      <c r="P1" s="9" t="s">
        <v>1</v>
      </c>
    </row>
    <row r="2" ht="13.5" customHeight="1">
      <c r="A2" s="10"/>
      <c r="B2" s="11"/>
      <c r="C2" s="11"/>
      <c r="D2" s="11"/>
      <c r="E2" s="11"/>
      <c r="F2" s="12"/>
      <c r="G2" s="7"/>
      <c r="H2" s="7"/>
      <c r="I2" s="13" t="s">
        <v>2</v>
      </c>
      <c r="J2" s="7"/>
      <c r="K2" s="7"/>
      <c r="L2" s="7"/>
      <c r="M2" s="7"/>
      <c r="N2" s="7"/>
      <c r="O2" s="8" t="s">
        <v>3</v>
      </c>
      <c r="P2" s="9">
        <v>1.0</v>
      </c>
    </row>
    <row r="3" ht="13.5" customHeight="1">
      <c r="A3" s="10"/>
      <c r="B3" s="11"/>
      <c r="C3" s="11"/>
      <c r="D3" s="11"/>
      <c r="E3" s="11"/>
      <c r="F3" s="12"/>
      <c r="G3" s="7"/>
      <c r="H3" s="7"/>
      <c r="I3" s="7"/>
      <c r="J3" s="7"/>
      <c r="K3" s="7"/>
      <c r="L3" s="7"/>
      <c r="M3" s="7"/>
      <c r="N3" s="7"/>
      <c r="O3" s="14" t="s">
        <v>4</v>
      </c>
      <c r="P3" s="15">
        <v>45665.0</v>
      </c>
    </row>
    <row r="4" ht="33.0" customHeight="1">
      <c r="A4" s="16"/>
      <c r="B4" s="17"/>
      <c r="C4" s="17"/>
      <c r="D4" s="18"/>
      <c r="E4" s="18"/>
      <c r="F4" s="19"/>
      <c r="G4" s="20"/>
      <c r="H4" s="20"/>
      <c r="I4" s="20"/>
      <c r="J4" s="21"/>
      <c r="K4" s="21"/>
      <c r="L4" s="21"/>
      <c r="M4" s="21"/>
      <c r="N4" s="22"/>
      <c r="O4" s="23"/>
      <c r="P4" s="24"/>
    </row>
    <row r="5" ht="33.0" customHeight="1">
      <c r="A5" s="25" t="s">
        <v>5</v>
      </c>
      <c r="B5" s="26" t="s">
        <v>6</v>
      </c>
      <c r="C5" s="26" t="s">
        <v>7</v>
      </c>
      <c r="D5" s="27" t="s">
        <v>8</v>
      </c>
      <c r="E5" s="27" t="s">
        <v>9</v>
      </c>
      <c r="F5" s="28" t="s">
        <v>10</v>
      </c>
      <c r="G5" s="25" t="s">
        <v>11</v>
      </c>
      <c r="H5" s="25" t="s">
        <v>12</v>
      </c>
      <c r="I5" s="25" t="s">
        <v>13</v>
      </c>
      <c r="J5" s="29" t="s">
        <v>14</v>
      </c>
      <c r="K5" s="29" t="s">
        <v>15</v>
      </c>
      <c r="L5" s="29" t="s">
        <v>16</v>
      </c>
      <c r="M5" s="29" t="s">
        <v>17</v>
      </c>
      <c r="N5" s="30" t="s">
        <v>18</v>
      </c>
      <c r="O5" s="31" t="s">
        <v>19</v>
      </c>
      <c r="P5" s="26" t="s">
        <v>20</v>
      </c>
    </row>
    <row r="6" ht="15.75" customHeight="1">
      <c r="A6" s="32">
        <f>'COMPRAS 2025'!$D6-TODAY()</f>
        <v>-388</v>
      </c>
      <c r="B6" s="33" t="s">
        <v>21</v>
      </c>
      <c r="C6" s="33" t="s">
        <v>22</v>
      </c>
      <c r="D6" s="34">
        <v>45660.0</v>
      </c>
      <c r="E6" s="34">
        <v>45660.0</v>
      </c>
      <c r="F6" s="35">
        <f>MONTH('COMPRAS 2025'!$E6)</f>
        <v>1</v>
      </c>
      <c r="G6" s="36">
        <v>1908941.0</v>
      </c>
      <c r="H6" s="36" t="s">
        <v>23</v>
      </c>
      <c r="I6" s="36" t="s">
        <v>24</v>
      </c>
      <c r="J6" s="37">
        <v>327723.0</v>
      </c>
      <c r="K6" s="37">
        <v>62267.0</v>
      </c>
      <c r="L6" s="38">
        <f>'COMPRAS 2025'!$J6+'COMPRAS 2025'!$K6</f>
        <v>389990</v>
      </c>
      <c r="M6" s="39" t="s">
        <v>25</v>
      </c>
      <c r="N6" s="40" t="s">
        <v>26</v>
      </c>
      <c r="O6" s="41" t="s">
        <v>27</v>
      </c>
      <c r="P6" s="42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44">
        <f>'COMPRAS 2025'!$D7-TODAY()</f>
        <v>-354</v>
      </c>
      <c r="B7" s="45" t="s">
        <v>21</v>
      </c>
      <c r="C7" s="45" t="s">
        <v>22</v>
      </c>
      <c r="D7" s="46">
        <v>45694.0</v>
      </c>
      <c r="E7" s="46">
        <v>45664.0</v>
      </c>
      <c r="F7" s="47">
        <f>MONTH('COMPRAS 2025'!$E7)</f>
        <v>1</v>
      </c>
      <c r="G7" s="48">
        <v>380775.0</v>
      </c>
      <c r="H7" s="48" t="s">
        <v>28</v>
      </c>
      <c r="I7" s="48" t="s">
        <v>29</v>
      </c>
      <c r="J7" s="49">
        <v>100853.0</v>
      </c>
      <c r="K7" s="49">
        <v>19162.0</v>
      </c>
      <c r="L7" s="49">
        <f>'COMPRAS 2025'!$J7+'COMPRAS 2025'!$K7</f>
        <v>120015</v>
      </c>
      <c r="M7" s="50" t="s">
        <v>25</v>
      </c>
      <c r="N7" s="51" t="s">
        <v>30</v>
      </c>
      <c r="O7" s="52" t="s">
        <v>27</v>
      </c>
      <c r="P7" s="53"/>
    </row>
    <row r="8" ht="15.75" customHeight="1">
      <c r="A8" s="54">
        <f>'COMPRAS 2025'!$D8-TODAY()</f>
        <v>-354</v>
      </c>
      <c r="B8" s="55" t="s">
        <v>21</v>
      </c>
      <c r="C8" s="56" t="s">
        <v>22</v>
      </c>
      <c r="D8" s="57">
        <v>45694.0</v>
      </c>
      <c r="E8" s="57">
        <v>45664.0</v>
      </c>
      <c r="F8" s="58">
        <f>MONTH('COMPRAS 2025'!$E8)</f>
        <v>1</v>
      </c>
      <c r="G8" s="59">
        <v>380776.0</v>
      </c>
      <c r="H8" s="59" t="s">
        <v>28</v>
      </c>
      <c r="I8" s="59" t="s">
        <v>29</v>
      </c>
      <c r="J8" s="60">
        <v>132790.0</v>
      </c>
      <c r="K8" s="60">
        <v>25230.0</v>
      </c>
      <c r="L8" s="60">
        <f>'COMPRAS 2025'!$J8+'COMPRAS 2025'!$K8</f>
        <v>158020</v>
      </c>
      <c r="M8" s="61" t="s">
        <v>25</v>
      </c>
      <c r="N8" s="62" t="s">
        <v>30</v>
      </c>
      <c r="O8" s="63" t="s">
        <v>27</v>
      </c>
      <c r="P8" s="64"/>
    </row>
    <row r="9" ht="15.75" customHeight="1">
      <c r="A9" s="44">
        <f>'COMPRAS 2025'!$D9-TODAY()</f>
        <v>-385</v>
      </c>
      <c r="B9" s="45" t="s">
        <v>21</v>
      </c>
      <c r="C9" s="45" t="s">
        <v>22</v>
      </c>
      <c r="D9" s="46">
        <v>45663.0</v>
      </c>
      <c r="E9" s="46">
        <v>45663.0</v>
      </c>
      <c r="F9" s="47">
        <f>MONTH('COMPRAS 2025'!$E9)</f>
        <v>1</v>
      </c>
      <c r="G9" s="48">
        <v>5483933.0</v>
      </c>
      <c r="H9" s="48" t="s">
        <v>31</v>
      </c>
      <c r="I9" s="48" t="s">
        <v>32</v>
      </c>
      <c r="J9" s="49">
        <v>9229.0</v>
      </c>
      <c r="K9" s="49">
        <v>1754.0</v>
      </c>
      <c r="L9" s="49">
        <f>'COMPRAS 2025'!$J9+'COMPRAS 2025'!$K9</f>
        <v>10983</v>
      </c>
      <c r="M9" s="65" t="s">
        <v>25</v>
      </c>
      <c r="N9" s="51" t="s">
        <v>26</v>
      </c>
      <c r="O9" s="52" t="s">
        <v>27</v>
      </c>
      <c r="P9" s="53"/>
    </row>
    <row r="10" ht="15.75" customHeight="1">
      <c r="A10" s="54">
        <f>'COMPRAS 2025'!$D10-TODAY()</f>
        <v>-389</v>
      </c>
      <c r="B10" s="55" t="s">
        <v>21</v>
      </c>
      <c r="C10" s="56" t="s">
        <v>22</v>
      </c>
      <c r="D10" s="57">
        <v>45659.0</v>
      </c>
      <c r="E10" s="57">
        <v>45659.0</v>
      </c>
      <c r="F10" s="58">
        <f>MONTH('COMPRAS 2025'!$E10)</f>
        <v>1</v>
      </c>
      <c r="G10" s="59">
        <v>216729.0</v>
      </c>
      <c r="H10" s="59" t="s">
        <v>33</v>
      </c>
      <c r="I10" s="59" t="s">
        <v>34</v>
      </c>
      <c r="J10" s="60">
        <v>4370.0</v>
      </c>
      <c r="K10" s="60">
        <v>830.0</v>
      </c>
      <c r="L10" s="60">
        <f>'COMPRAS 2025'!$J10+'COMPRAS 2025'!$K10</f>
        <v>5200</v>
      </c>
      <c r="M10" s="66" t="s">
        <v>25</v>
      </c>
      <c r="N10" s="62" t="s">
        <v>35</v>
      </c>
      <c r="O10" s="63" t="s">
        <v>27</v>
      </c>
      <c r="P10" s="64"/>
    </row>
    <row r="11" ht="15.75" customHeight="1">
      <c r="A11" s="44">
        <f>'COMPRAS 2025'!$D11-TODAY()</f>
        <v>-389</v>
      </c>
      <c r="B11" s="45" t="s">
        <v>21</v>
      </c>
      <c r="C11" s="45" t="s">
        <v>22</v>
      </c>
      <c r="D11" s="46">
        <v>45659.0</v>
      </c>
      <c r="E11" s="46">
        <v>45659.0</v>
      </c>
      <c r="F11" s="47">
        <f>MONTH('COMPRAS 2025'!$E11)</f>
        <v>1</v>
      </c>
      <c r="G11" s="48">
        <v>16365.0</v>
      </c>
      <c r="H11" s="48" t="s">
        <v>36</v>
      </c>
      <c r="I11" s="48" t="s">
        <v>37</v>
      </c>
      <c r="J11" s="49">
        <v>5882.0</v>
      </c>
      <c r="K11" s="49">
        <v>1118.0</v>
      </c>
      <c r="L11" s="49">
        <f>'COMPRAS 2025'!$J11+'COMPRAS 2025'!$K11</f>
        <v>7000</v>
      </c>
      <c r="M11" s="65" t="s">
        <v>25</v>
      </c>
      <c r="N11" s="51" t="s">
        <v>26</v>
      </c>
      <c r="O11" s="52" t="s">
        <v>27</v>
      </c>
      <c r="P11" s="53"/>
    </row>
    <row r="12" ht="15.0" customHeight="1">
      <c r="A12" s="32">
        <f>'COMPRAS 2025'!$D12-TODAY()</f>
        <v>-370</v>
      </c>
      <c r="B12" s="33" t="s">
        <v>21</v>
      </c>
      <c r="C12" s="33" t="s">
        <v>22</v>
      </c>
      <c r="D12" s="34">
        <v>45678.0</v>
      </c>
      <c r="E12" s="34">
        <v>45678.0</v>
      </c>
      <c r="F12" s="35">
        <f>MONTH('COMPRAS 2025'!$E12)</f>
        <v>1</v>
      </c>
      <c r="G12" s="36">
        <v>5505318.0</v>
      </c>
      <c r="H12" s="67" t="s">
        <v>31</v>
      </c>
      <c r="I12" s="67" t="s">
        <v>32</v>
      </c>
      <c r="J12" s="37">
        <v>16700.0</v>
      </c>
      <c r="K12" s="37">
        <v>3173.0</v>
      </c>
      <c r="L12" s="38">
        <f>'COMPRAS 2025'!$J12+'COMPRAS 2025'!$K12</f>
        <v>19873</v>
      </c>
      <c r="M12" s="68" t="s">
        <v>25</v>
      </c>
      <c r="N12" s="69" t="s">
        <v>26</v>
      </c>
      <c r="O12" s="41" t="s">
        <v>27</v>
      </c>
      <c r="P12" s="42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0" customHeight="1">
      <c r="A13" s="32">
        <f>'COMPRAS 2025'!$D13-TODAY()</f>
        <v>-370</v>
      </c>
      <c r="B13" s="70" t="s">
        <v>38</v>
      </c>
      <c r="C13" s="33" t="s">
        <v>22</v>
      </c>
      <c r="D13" s="34">
        <v>45678.0</v>
      </c>
      <c r="E13" s="34">
        <v>45678.0</v>
      </c>
      <c r="F13" s="35">
        <f>MONTH('COMPRAS 2025'!$E13)</f>
        <v>1</v>
      </c>
      <c r="G13" s="36">
        <v>9683105.0</v>
      </c>
      <c r="H13" s="67" t="s">
        <v>31</v>
      </c>
      <c r="I13" s="67" t="s">
        <v>32</v>
      </c>
      <c r="J13" s="37">
        <v>3872.0</v>
      </c>
      <c r="K13" s="37">
        <v>736.0</v>
      </c>
      <c r="L13" s="38">
        <f>'COMPRAS 2025'!$J13+'COMPRAS 2025'!$K13</f>
        <v>4608</v>
      </c>
      <c r="M13" s="68" t="s">
        <v>25</v>
      </c>
      <c r="N13" s="69" t="s">
        <v>26</v>
      </c>
      <c r="O13" s="41" t="s">
        <v>27</v>
      </c>
      <c r="P13" s="42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75" customHeight="1">
      <c r="A14" s="54">
        <f>'COMPRAS 2025'!$D14-TODAY()</f>
        <v>-338</v>
      </c>
      <c r="B14" s="71" t="s">
        <v>21</v>
      </c>
      <c r="C14" s="71" t="s">
        <v>22</v>
      </c>
      <c r="D14" s="72">
        <v>45710.0</v>
      </c>
      <c r="E14" s="72">
        <v>45680.0</v>
      </c>
      <c r="F14" s="58">
        <f>MONTH('COMPRAS 2025'!$E14)</f>
        <v>1</v>
      </c>
      <c r="G14" s="73">
        <v>382918.0</v>
      </c>
      <c r="H14" s="73" t="s">
        <v>28</v>
      </c>
      <c r="I14" s="73" t="s">
        <v>29</v>
      </c>
      <c r="J14" s="74">
        <v>72500.0</v>
      </c>
      <c r="K14" s="74">
        <v>13775.0</v>
      </c>
      <c r="L14" s="60">
        <f>'COMPRAS 2025'!$J14+'COMPRAS 2025'!$K14</f>
        <v>86275</v>
      </c>
      <c r="M14" s="61" t="s">
        <v>25</v>
      </c>
      <c r="N14" s="75" t="s">
        <v>30</v>
      </c>
      <c r="O14" s="63" t="s">
        <v>27</v>
      </c>
      <c r="P14" s="64"/>
    </row>
    <row r="15" ht="15.75" customHeight="1">
      <c r="A15" s="44">
        <f>'COMPRAS 2025'!$D15-TODAY()</f>
        <v>-338</v>
      </c>
      <c r="B15" s="76" t="s">
        <v>21</v>
      </c>
      <c r="C15" s="77" t="s">
        <v>22</v>
      </c>
      <c r="D15" s="78">
        <v>45710.0</v>
      </c>
      <c r="E15" s="78">
        <v>45680.0</v>
      </c>
      <c r="F15" s="47">
        <f>MONTH('COMPRAS 2025'!$E15)</f>
        <v>1</v>
      </c>
      <c r="G15" s="79">
        <v>382917.0</v>
      </c>
      <c r="H15" s="79" t="s">
        <v>28</v>
      </c>
      <c r="I15" s="79" t="s">
        <v>29</v>
      </c>
      <c r="J15" s="80">
        <v>66460.0</v>
      </c>
      <c r="K15" s="80">
        <v>12627.0</v>
      </c>
      <c r="L15" s="49">
        <f>'COMPRAS 2025'!$J15+'COMPRAS 2025'!$K15</f>
        <v>79087</v>
      </c>
      <c r="M15" s="50" t="s">
        <v>25</v>
      </c>
      <c r="N15" s="81" t="s">
        <v>30</v>
      </c>
      <c r="O15" s="52" t="s">
        <v>27</v>
      </c>
      <c r="P15" s="53"/>
    </row>
    <row r="16" ht="15.75" customHeight="1">
      <c r="A16" s="32">
        <f>'COMPRAS 2025'!$D16-TODAY()</f>
        <v>-363</v>
      </c>
      <c r="B16" s="70" t="s">
        <v>21</v>
      </c>
      <c r="C16" s="82" t="s">
        <v>22</v>
      </c>
      <c r="D16" s="34">
        <v>45685.0</v>
      </c>
      <c r="E16" s="34">
        <v>45685.0</v>
      </c>
      <c r="F16" s="35">
        <f>MONTH('COMPRAS 2025'!$E16)</f>
        <v>1</v>
      </c>
      <c r="G16" s="36">
        <v>2796129.0</v>
      </c>
      <c r="H16" s="36" t="s">
        <v>39</v>
      </c>
      <c r="I16" s="36" t="s">
        <v>40</v>
      </c>
      <c r="J16" s="37">
        <v>9479.0</v>
      </c>
      <c r="K16" s="37">
        <v>1801.0</v>
      </c>
      <c r="L16" s="38">
        <f>'COMPRAS 2025'!$J16+'COMPRAS 2025'!$K16</f>
        <v>11280</v>
      </c>
      <c r="M16" s="39" t="s">
        <v>25</v>
      </c>
      <c r="N16" s="40" t="s">
        <v>26</v>
      </c>
      <c r="O16" s="41" t="s">
        <v>27</v>
      </c>
      <c r="P16" s="42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44">
        <f>'COMPRAS 2025'!$D17-TODAY()</f>
        <v>-320</v>
      </c>
      <c r="B17" s="76" t="s">
        <v>21</v>
      </c>
      <c r="C17" s="77" t="s">
        <v>22</v>
      </c>
      <c r="D17" s="78">
        <v>45728.0</v>
      </c>
      <c r="E17" s="78">
        <v>45698.0</v>
      </c>
      <c r="F17" s="47">
        <f>MONTH('COMPRAS 2025'!$E17)</f>
        <v>2</v>
      </c>
      <c r="G17" s="79">
        <v>385112.0</v>
      </c>
      <c r="H17" s="79" t="s">
        <v>28</v>
      </c>
      <c r="I17" s="79" t="s">
        <v>29</v>
      </c>
      <c r="J17" s="80">
        <v>58850.0</v>
      </c>
      <c r="K17" s="80">
        <v>11182.0</v>
      </c>
      <c r="L17" s="49">
        <f>'COMPRAS 2025'!$J17+'COMPRAS 2025'!$K17</f>
        <v>70032</v>
      </c>
      <c r="M17" s="50" t="s">
        <v>25</v>
      </c>
      <c r="N17" s="81" t="s">
        <v>30</v>
      </c>
      <c r="O17" s="83" t="s">
        <v>27</v>
      </c>
      <c r="P17" s="53"/>
    </row>
    <row r="18" ht="15.75" customHeight="1">
      <c r="A18" s="54">
        <f>'COMPRAS 2025'!$D18-TODAY()</f>
        <v>-320</v>
      </c>
      <c r="B18" s="71" t="s">
        <v>21</v>
      </c>
      <c r="C18" s="84" t="s">
        <v>22</v>
      </c>
      <c r="D18" s="72">
        <v>45728.0</v>
      </c>
      <c r="E18" s="72">
        <v>45698.0</v>
      </c>
      <c r="F18" s="58">
        <f>MONTH('COMPRAS 2025'!$E18)</f>
        <v>2</v>
      </c>
      <c r="G18" s="73">
        <v>385113.0</v>
      </c>
      <c r="H18" s="73" t="s">
        <v>28</v>
      </c>
      <c r="I18" s="73" t="s">
        <v>29</v>
      </c>
      <c r="J18" s="74">
        <v>109990.0</v>
      </c>
      <c r="K18" s="74">
        <v>20898.0</v>
      </c>
      <c r="L18" s="60">
        <f>'COMPRAS 2025'!$J18+'COMPRAS 2025'!$K18</f>
        <v>130888</v>
      </c>
      <c r="M18" s="61" t="s">
        <v>25</v>
      </c>
      <c r="N18" s="75" t="s">
        <v>30</v>
      </c>
      <c r="O18" s="85" t="s">
        <v>27</v>
      </c>
      <c r="P18" s="64"/>
    </row>
    <row r="19" ht="15.75" customHeight="1">
      <c r="A19" s="44">
        <f>'COMPRAS 2025'!$D19-TODAY()</f>
        <v>-320</v>
      </c>
      <c r="B19" s="76" t="s">
        <v>21</v>
      </c>
      <c r="C19" s="77" t="s">
        <v>22</v>
      </c>
      <c r="D19" s="78">
        <v>45728.0</v>
      </c>
      <c r="E19" s="78">
        <v>45698.0</v>
      </c>
      <c r="F19" s="47">
        <f>MONTH('COMPRAS 2025'!$E19)</f>
        <v>2</v>
      </c>
      <c r="G19" s="79">
        <v>385114.0</v>
      </c>
      <c r="H19" s="79" t="s">
        <v>28</v>
      </c>
      <c r="I19" s="79" t="s">
        <v>29</v>
      </c>
      <c r="J19" s="80">
        <v>47980.0</v>
      </c>
      <c r="K19" s="80">
        <v>9116.0</v>
      </c>
      <c r="L19" s="49">
        <f>'COMPRAS 2025'!$J19+'COMPRAS 2025'!$K19</f>
        <v>57096</v>
      </c>
      <c r="M19" s="50" t="s">
        <v>25</v>
      </c>
      <c r="N19" s="81" t="s">
        <v>30</v>
      </c>
      <c r="O19" s="83" t="s">
        <v>27</v>
      </c>
      <c r="P19" s="53"/>
    </row>
    <row r="20" ht="15.75" customHeight="1">
      <c r="A20" s="54">
        <f>'COMPRAS 2025'!$D20-TODAY()</f>
        <v>-341</v>
      </c>
      <c r="B20" s="71" t="s">
        <v>21</v>
      </c>
      <c r="C20" s="71" t="s">
        <v>22</v>
      </c>
      <c r="D20" s="72">
        <v>45707.0</v>
      </c>
      <c r="E20" s="72">
        <v>45707.0</v>
      </c>
      <c r="F20" s="58">
        <f>MONTH('COMPRAS 2025'!$E20)</f>
        <v>2</v>
      </c>
      <c r="G20" s="73">
        <v>220801.0</v>
      </c>
      <c r="H20" s="73" t="s">
        <v>33</v>
      </c>
      <c r="I20" s="73" t="s">
        <v>34</v>
      </c>
      <c r="J20" s="74">
        <v>6723.0</v>
      </c>
      <c r="K20" s="74">
        <v>1277.0</v>
      </c>
      <c r="L20" s="60">
        <f>'COMPRAS 2025'!$J20+'COMPRAS 2025'!$K20</f>
        <v>8000</v>
      </c>
      <c r="M20" s="66" t="s">
        <v>25</v>
      </c>
      <c r="N20" s="62" t="s">
        <v>26</v>
      </c>
      <c r="O20" s="63" t="s">
        <v>27</v>
      </c>
      <c r="P20" s="64"/>
    </row>
    <row r="21" ht="15.75" customHeight="1">
      <c r="A21" s="44">
        <f>'COMPRAS 2025'!$D21-TODAY()</f>
        <v>-341</v>
      </c>
      <c r="B21" s="76" t="s">
        <v>21</v>
      </c>
      <c r="C21" s="76" t="s">
        <v>22</v>
      </c>
      <c r="D21" s="78">
        <v>45707.0</v>
      </c>
      <c r="E21" s="78">
        <v>45707.0</v>
      </c>
      <c r="F21" s="47">
        <f>MONTH('COMPRAS 2025'!$E21)</f>
        <v>2</v>
      </c>
      <c r="G21" s="79">
        <v>16680.0</v>
      </c>
      <c r="H21" s="79" t="s">
        <v>36</v>
      </c>
      <c r="I21" s="79" t="s">
        <v>37</v>
      </c>
      <c r="J21" s="80">
        <v>7563.0</v>
      </c>
      <c r="K21" s="80">
        <v>1437.0</v>
      </c>
      <c r="L21" s="49">
        <f>'COMPRAS 2025'!$J21+'COMPRAS 2025'!$K21</f>
        <v>9000</v>
      </c>
      <c r="M21" s="65" t="s">
        <v>25</v>
      </c>
      <c r="N21" s="51" t="s">
        <v>26</v>
      </c>
      <c r="O21" s="52" t="s">
        <v>27</v>
      </c>
      <c r="P21" s="53"/>
    </row>
    <row r="22" ht="15.75" customHeight="1">
      <c r="A22" s="54">
        <f>'COMPRAS 2025'!$D22-TODAY()</f>
        <v>-310</v>
      </c>
      <c r="B22" s="71" t="s">
        <v>21</v>
      </c>
      <c r="C22" s="71" t="s">
        <v>22</v>
      </c>
      <c r="D22" s="72">
        <v>45738.0</v>
      </c>
      <c r="E22" s="72">
        <v>45708.0</v>
      </c>
      <c r="F22" s="58">
        <f>MONTH('COMPRAS 2025'!$E22)</f>
        <v>2</v>
      </c>
      <c r="G22" s="73">
        <v>386369.0</v>
      </c>
      <c r="H22" s="73" t="s">
        <v>28</v>
      </c>
      <c r="I22" s="73" t="s">
        <v>29</v>
      </c>
      <c r="J22" s="74">
        <v>74980.0</v>
      </c>
      <c r="K22" s="74">
        <v>14246.0</v>
      </c>
      <c r="L22" s="60">
        <f>'COMPRAS 2025'!$J22+'COMPRAS 2025'!$K22</f>
        <v>89226</v>
      </c>
      <c r="M22" s="61" t="s">
        <v>25</v>
      </c>
      <c r="N22" s="62" t="s">
        <v>30</v>
      </c>
      <c r="O22" s="63" t="s">
        <v>27</v>
      </c>
      <c r="P22" s="64"/>
    </row>
    <row r="23" ht="15.75" customHeight="1">
      <c r="A23" s="44">
        <f>'COMPRAS 2025'!$D23-TODAY()</f>
        <v>-310</v>
      </c>
      <c r="B23" s="76" t="s">
        <v>21</v>
      </c>
      <c r="C23" s="76" t="s">
        <v>22</v>
      </c>
      <c r="D23" s="78">
        <v>45738.0</v>
      </c>
      <c r="E23" s="78">
        <v>45708.0</v>
      </c>
      <c r="F23" s="47">
        <f>MONTH('COMPRAS 2025'!$E23)</f>
        <v>2</v>
      </c>
      <c r="G23" s="79">
        <v>386370.0</v>
      </c>
      <c r="H23" s="79" t="s">
        <v>28</v>
      </c>
      <c r="I23" s="79" t="s">
        <v>29</v>
      </c>
      <c r="J23" s="80">
        <v>105640.0</v>
      </c>
      <c r="K23" s="80">
        <v>20072.0</v>
      </c>
      <c r="L23" s="49">
        <f>'COMPRAS 2025'!$J23+'COMPRAS 2025'!$K23</f>
        <v>125712</v>
      </c>
      <c r="M23" s="50" t="s">
        <v>25</v>
      </c>
      <c r="N23" s="51" t="s">
        <v>30</v>
      </c>
      <c r="O23" s="52" t="s">
        <v>27</v>
      </c>
      <c r="P23" s="53"/>
    </row>
    <row r="24" ht="15.75" customHeight="1">
      <c r="A24" s="54">
        <f>'COMPRAS 2025'!$D24-TODAY()</f>
        <v>-310</v>
      </c>
      <c r="B24" s="71" t="s">
        <v>21</v>
      </c>
      <c r="C24" s="71" t="s">
        <v>22</v>
      </c>
      <c r="D24" s="72">
        <v>45738.0</v>
      </c>
      <c r="E24" s="72">
        <v>45708.0</v>
      </c>
      <c r="F24" s="58">
        <f>MONTH('COMPRAS 2025'!$E24)</f>
        <v>2</v>
      </c>
      <c r="G24" s="73">
        <v>386371.0</v>
      </c>
      <c r="H24" s="73" t="s">
        <v>28</v>
      </c>
      <c r="I24" s="73" t="s">
        <v>29</v>
      </c>
      <c r="J24" s="74">
        <v>110035.0</v>
      </c>
      <c r="K24" s="74">
        <v>20907.0</v>
      </c>
      <c r="L24" s="60">
        <f>'COMPRAS 2025'!$J24+'COMPRAS 2025'!$K24</f>
        <v>130942</v>
      </c>
      <c r="M24" s="61" t="s">
        <v>25</v>
      </c>
      <c r="N24" s="62" t="s">
        <v>30</v>
      </c>
      <c r="O24" s="63" t="s">
        <v>27</v>
      </c>
      <c r="P24" s="64"/>
    </row>
    <row r="25" ht="15.75" customHeight="1">
      <c r="A25" s="44">
        <f>'COMPRAS 2025'!$D25-TODAY()</f>
        <v>-306</v>
      </c>
      <c r="B25" s="76" t="s">
        <v>21</v>
      </c>
      <c r="C25" s="76" t="s">
        <v>22</v>
      </c>
      <c r="D25" s="78">
        <v>45742.0</v>
      </c>
      <c r="E25" s="78">
        <v>45714.0</v>
      </c>
      <c r="F25" s="47">
        <f>MONTH('COMPRAS 2025'!$E25)</f>
        <v>2</v>
      </c>
      <c r="G25" s="79">
        <v>49766.0</v>
      </c>
      <c r="H25" s="79" t="s">
        <v>41</v>
      </c>
      <c r="I25" s="79" t="s">
        <v>42</v>
      </c>
      <c r="J25" s="80">
        <v>126418.0</v>
      </c>
      <c r="K25" s="80">
        <v>24019.0</v>
      </c>
      <c r="L25" s="49">
        <f>'COMPRAS 2025'!$J25+'COMPRAS 2025'!$K25</f>
        <v>150437</v>
      </c>
      <c r="M25" s="50" t="s">
        <v>25</v>
      </c>
      <c r="N25" s="51" t="s">
        <v>30</v>
      </c>
      <c r="O25" s="52" t="s">
        <v>27</v>
      </c>
      <c r="P25" s="53"/>
    </row>
    <row r="26" ht="15.75" customHeight="1">
      <c r="A26" s="54">
        <f>'COMPRAS 2025'!$D26-TODAY()</f>
        <v>-328</v>
      </c>
      <c r="B26" s="71" t="s">
        <v>21</v>
      </c>
      <c r="C26" s="84" t="s">
        <v>22</v>
      </c>
      <c r="D26" s="72">
        <v>45720.0</v>
      </c>
      <c r="E26" s="72">
        <v>45720.0</v>
      </c>
      <c r="F26" s="58">
        <f>MONTH('COMPRAS 2025'!$E26)</f>
        <v>3</v>
      </c>
      <c r="G26" s="73">
        <v>221896.0</v>
      </c>
      <c r="H26" s="73" t="s">
        <v>33</v>
      </c>
      <c r="I26" s="73" t="s">
        <v>34</v>
      </c>
      <c r="J26" s="74">
        <v>15630.0</v>
      </c>
      <c r="K26" s="74">
        <v>2970.0</v>
      </c>
      <c r="L26" s="60">
        <f>'COMPRAS 2025'!$J26+'COMPRAS 2025'!$K26</f>
        <v>18600</v>
      </c>
      <c r="M26" s="61" t="s">
        <v>25</v>
      </c>
      <c r="N26" s="75" t="s">
        <v>26</v>
      </c>
      <c r="O26" s="85" t="s">
        <v>27</v>
      </c>
      <c r="P26" s="64"/>
    </row>
    <row r="27" ht="15.75" customHeight="1">
      <c r="A27" s="44">
        <f>'COMPRAS 2025'!$D27-TODAY()</f>
        <v>-295</v>
      </c>
      <c r="B27" s="76" t="s">
        <v>21</v>
      </c>
      <c r="C27" s="77" t="s">
        <v>22</v>
      </c>
      <c r="D27" s="78">
        <v>45753.0</v>
      </c>
      <c r="E27" s="78">
        <v>45723.0</v>
      </c>
      <c r="F27" s="47">
        <f>MONTH('COMPRAS 2025'!$E27)</f>
        <v>3</v>
      </c>
      <c r="G27" s="79">
        <v>388183.0</v>
      </c>
      <c r="H27" s="79" t="s">
        <v>28</v>
      </c>
      <c r="I27" s="79" t="s">
        <v>29</v>
      </c>
      <c r="J27" s="80">
        <v>33046.0</v>
      </c>
      <c r="K27" s="80">
        <v>6279.0</v>
      </c>
      <c r="L27" s="49">
        <f>'COMPRAS 2025'!$J27+'COMPRAS 2025'!$K27</f>
        <v>39325</v>
      </c>
      <c r="M27" s="50" t="s">
        <v>25</v>
      </c>
      <c r="N27" s="51" t="s">
        <v>30</v>
      </c>
      <c r="O27" s="52" t="s">
        <v>27</v>
      </c>
      <c r="P27" s="53"/>
    </row>
    <row r="28" ht="15.75" customHeight="1">
      <c r="A28" s="54">
        <f>'COMPRAS 2025'!$D28-TODAY()</f>
        <v>-295</v>
      </c>
      <c r="B28" s="71" t="s">
        <v>21</v>
      </c>
      <c r="C28" s="84" t="s">
        <v>22</v>
      </c>
      <c r="D28" s="72">
        <v>45753.0</v>
      </c>
      <c r="E28" s="72">
        <v>45723.0</v>
      </c>
      <c r="F28" s="58">
        <f>MONTH('COMPRAS 2025'!$E28)</f>
        <v>3</v>
      </c>
      <c r="G28" s="73">
        <v>388184.0</v>
      </c>
      <c r="H28" s="73" t="s">
        <v>28</v>
      </c>
      <c r="I28" s="73" t="s">
        <v>29</v>
      </c>
      <c r="J28" s="74">
        <v>19990.0</v>
      </c>
      <c r="K28" s="74">
        <v>3798.0</v>
      </c>
      <c r="L28" s="60">
        <f>'COMPRAS 2025'!$J28+'COMPRAS 2025'!$K28</f>
        <v>23788</v>
      </c>
      <c r="M28" s="61" t="s">
        <v>25</v>
      </c>
      <c r="N28" s="62" t="s">
        <v>30</v>
      </c>
      <c r="O28" s="63" t="s">
        <v>27</v>
      </c>
      <c r="P28" s="64"/>
    </row>
    <row r="29" ht="15.75" customHeight="1">
      <c r="A29" s="44">
        <f>'COMPRAS 2025'!$D29-TODAY()</f>
        <v>-295</v>
      </c>
      <c r="B29" s="76" t="s">
        <v>21</v>
      </c>
      <c r="C29" s="77" t="s">
        <v>22</v>
      </c>
      <c r="D29" s="78">
        <v>45753.0</v>
      </c>
      <c r="E29" s="78">
        <v>45723.0</v>
      </c>
      <c r="F29" s="47">
        <f>MONTH('COMPRAS 2025'!$E29)</f>
        <v>3</v>
      </c>
      <c r="G29" s="79">
        <v>388185.0</v>
      </c>
      <c r="H29" s="79" t="s">
        <v>28</v>
      </c>
      <c r="I29" s="79" t="s">
        <v>29</v>
      </c>
      <c r="J29" s="80">
        <v>79330.0</v>
      </c>
      <c r="K29" s="80">
        <v>15073.0</v>
      </c>
      <c r="L29" s="49">
        <f>'COMPRAS 2025'!$J29+'COMPRAS 2025'!$K29</f>
        <v>94403</v>
      </c>
      <c r="M29" s="50" t="s">
        <v>25</v>
      </c>
      <c r="N29" s="51" t="s">
        <v>30</v>
      </c>
      <c r="O29" s="52" t="s">
        <v>27</v>
      </c>
      <c r="P29" s="53"/>
    </row>
    <row r="30" ht="15.75" customHeight="1">
      <c r="A30" s="54">
        <f>'COMPRAS 2025'!$D30-TODAY()</f>
        <v>-322</v>
      </c>
      <c r="B30" s="71" t="s">
        <v>21</v>
      </c>
      <c r="C30" s="84" t="s">
        <v>22</v>
      </c>
      <c r="D30" s="72">
        <v>45726.0</v>
      </c>
      <c r="E30" s="72">
        <v>45726.0</v>
      </c>
      <c r="F30" s="58">
        <f>MONTH('COMPRAS 2025'!$E30)</f>
        <v>3</v>
      </c>
      <c r="G30" s="73">
        <v>11658.0</v>
      </c>
      <c r="H30" s="73" t="s">
        <v>43</v>
      </c>
      <c r="I30" s="73" t="s">
        <v>44</v>
      </c>
      <c r="J30" s="74">
        <v>21681.0</v>
      </c>
      <c r="K30" s="74">
        <v>4119.0</v>
      </c>
      <c r="L30" s="60">
        <f>'COMPRAS 2025'!$J30+'COMPRAS 2025'!$K30</f>
        <v>25800</v>
      </c>
      <c r="M30" s="61" t="s">
        <v>25</v>
      </c>
      <c r="N30" s="75" t="s">
        <v>26</v>
      </c>
      <c r="O30" s="85" t="s">
        <v>27</v>
      </c>
      <c r="P30" s="64"/>
    </row>
    <row r="31" ht="15.75" customHeight="1">
      <c r="A31" s="44">
        <f>'COMPRAS 2025'!$D31-TODAY()</f>
        <v>-291</v>
      </c>
      <c r="B31" s="76" t="s">
        <v>21</v>
      </c>
      <c r="C31" s="77" t="s">
        <v>22</v>
      </c>
      <c r="D31" s="78">
        <v>45757.0</v>
      </c>
      <c r="E31" s="78">
        <v>45727.0</v>
      </c>
      <c r="F31" s="47">
        <f>MONTH('COMPRAS 2025'!$E31)</f>
        <v>3</v>
      </c>
      <c r="G31" s="79">
        <v>388589.0</v>
      </c>
      <c r="H31" s="79" t="s">
        <v>28</v>
      </c>
      <c r="I31" s="79" t="s">
        <v>29</v>
      </c>
      <c r="J31" s="80">
        <v>87250.0</v>
      </c>
      <c r="K31" s="80">
        <v>16578.0</v>
      </c>
      <c r="L31" s="49">
        <f>'COMPRAS 2025'!$J31+'COMPRAS 2025'!$K31</f>
        <v>103828</v>
      </c>
      <c r="M31" s="50" t="s">
        <v>25</v>
      </c>
      <c r="N31" s="51" t="s">
        <v>30</v>
      </c>
      <c r="O31" s="52" t="s">
        <v>27</v>
      </c>
      <c r="P31" s="53"/>
    </row>
    <row r="32" ht="15.75" customHeight="1">
      <c r="A32" s="54">
        <f>'COMPRAS 2025'!$D32-TODAY()</f>
        <v>-291</v>
      </c>
      <c r="B32" s="71" t="s">
        <v>21</v>
      </c>
      <c r="C32" s="84" t="s">
        <v>22</v>
      </c>
      <c r="D32" s="72">
        <v>45757.0</v>
      </c>
      <c r="E32" s="72">
        <v>45727.0</v>
      </c>
      <c r="F32" s="58">
        <f>MONTH('COMPRAS 2025'!$E32)</f>
        <v>3</v>
      </c>
      <c r="G32" s="73">
        <v>388590.0</v>
      </c>
      <c r="H32" s="73" t="s">
        <v>28</v>
      </c>
      <c r="I32" s="73" t="s">
        <v>29</v>
      </c>
      <c r="J32" s="74">
        <v>53560.0</v>
      </c>
      <c r="K32" s="74">
        <v>10176.0</v>
      </c>
      <c r="L32" s="60">
        <f>'COMPRAS 2025'!$J32+'COMPRAS 2025'!$K32</f>
        <v>63736</v>
      </c>
      <c r="M32" s="61" t="s">
        <v>25</v>
      </c>
      <c r="N32" s="62" t="s">
        <v>30</v>
      </c>
      <c r="O32" s="63" t="s">
        <v>27</v>
      </c>
      <c r="P32" s="64"/>
    </row>
    <row r="33" ht="15.75" customHeight="1">
      <c r="A33" s="44">
        <f>'COMPRAS 2025'!$D33-TODAY()</f>
        <v>-259</v>
      </c>
      <c r="B33" s="76" t="s">
        <v>21</v>
      </c>
      <c r="C33" s="77" t="s">
        <v>22</v>
      </c>
      <c r="D33" s="78">
        <v>45789.0</v>
      </c>
      <c r="E33" s="78">
        <v>45728.0</v>
      </c>
      <c r="F33" s="47">
        <f>MONTH('COMPRAS 2025'!$E33)</f>
        <v>3</v>
      </c>
      <c r="G33" s="79">
        <v>10524.0</v>
      </c>
      <c r="H33" s="79" t="s">
        <v>45</v>
      </c>
      <c r="I33" s="79" t="s">
        <v>46</v>
      </c>
      <c r="J33" s="80">
        <v>127000.0</v>
      </c>
      <c r="K33" s="80">
        <v>24130.0</v>
      </c>
      <c r="L33" s="49">
        <f>'COMPRAS 2025'!$J33+'COMPRAS 2025'!$K33</f>
        <v>151130</v>
      </c>
      <c r="M33" s="50" t="s">
        <v>25</v>
      </c>
      <c r="N33" s="81" t="s">
        <v>30</v>
      </c>
      <c r="O33" s="52" t="s">
        <v>27</v>
      </c>
      <c r="P33" s="53"/>
    </row>
    <row r="34" ht="15.75" customHeight="1">
      <c r="A34" s="54">
        <f>'COMPRAS 2025'!$D34-TODAY()</f>
        <v>-319</v>
      </c>
      <c r="B34" s="71" t="s">
        <v>21</v>
      </c>
      <c r="C34" s="84" t="s">
        <v>22</v>
      </c>
      <c r="D34" s="72">
        <v>45729.0</v>
      </c>
      <c r="E34" s="72">
        <v>45729.0</v>
      </c>
      <c r="F34" s="58">
        <f>MONTH('COMPRAS 2025'!$E34)</f>
        <v>3</v>
      </c>
      <c r="G34" s="73">
        <v>1.2538498E7</v>
      </c>
      <c r="H34" s="73" t="s">
        <v>47</v>
      </c>
      <c r="I34" s="73" t="s">
        <v>48</v>
      </c>
      <c r="J34" s="74">
        <v>6561.0</v>
      </c>
      <c r="K34" s="74">
        <v>1247.0</v>
      </c>
      <c r="L34" s="60">
        <f>'COMPRAS 2025'!$J34+'COMPRAS 2025'!$K34</f>
        <v>7808</v>
      </c>
      <c r="M34" s="66" t="s">
        <v>25</v>
      </c>
      <c r="N34" s="75" t="s">
        <v>26</v>
      </c>
      <c r="O34" s="63" t="s">
        <v>27</v>
      </c>
      <c r="P34" s="64"/>
    </row>
    <row r="35" ht="15.75" customHeight="1">
      <c r="A35" s="44">
        <f>'COMPRAS 2025'!$D35-TODAY()</f>
        <v>-319</v>
      </c>
      <c r="B35" s="76" t="s">
        <v>21</v>
      </c>
      <c r="C35" s="77" t="s">
        <v>22</v>
      </c>
      <c r="D35" s="78">
        <v>45729.0</v>
      </c>
      <c r="E35" s="78">
        <v>45729.0</v>
      </c>
      <c r="F35" s="47">
        <f>MONTH('COMPRAS 2025'!$E35)</f>
        <v>3</v>
      </c>
      <c r="G35" s="79">
        <v>222684.0</v>
      </c>
      <c r="H35" s="79" t="s">
        <v>33</v>
      </c>
      <c r="I35" s="79" t="s">
        <v>34</v>
      </c>
      <c r="J35" s="80">
        <v>6723.0</v>
      </c>
      <c r="K35" s="80">
        <v>1277.0</v>
      </c>
      <c r="L35" s="49">
        <f>'COMPRAS 2025'!$J35+'COMPRAS 2025'!$K35</f>
        <v>8000</v>
      </c>
      <c r="M35" s="65" t="s">
        <v>25</v>
      </c>
      <c r="N35" s="81" t="s">
        <v>35</v>
      </c>
      <c r="O35" s="52" t="s">
        <v>27</v>
      </c>
      <c r="P35" s="53"/>
    </row>
    <row r="36" ht="15.0" customHeight="1">
      <c r="A36" s="54">
        <f>'COMPRAS 2025'!$D36-TODAY()</f>
        <v>-319</v>
      </c>
      <c r="B36" s="71" t="s">
        <v>21</v>
      </c>
      <c r="C36" s="84" t="s">
        <v>49</v>
      </c>
      <c r="D36" s="72">
        <v>45729.0</v>
      </c>
      <c r="E36" s="72">
        <v>45729.0</v>
      </c>
      <c r="F36" s="58">
        <f>MONTH('COMPRAS 2025'!$E36)</f>
        <v>3</v>
      </c>
      <c r="G36" s="73">
        <v>44680.0</v>
      </c>
      <c r="H36" s="73" t="s">
        <v>50</v>
      </c>
      <c r="I36" s="73" t="s">
        <v>51</v>
      </c>
      <c r="J36" s="74">
        <v>39220.0</v>
      </c>
      <c r="K36" s="74">
        <v>7452.0</v>
      </c>
      <c r="L36" s="60">
        <f>'COMPRAS 2025'!$J36+'COMPRAS 2025'!$K36</f>
        <v>46672</v>
      </c>
      <c r="M36" s="66" t="s">
        <v>25</v>
      </c>
      <c r="N36" s="75" t="s">
        <v>35</v>
      </c>
      <c r="O36" s="63" t="s">
        <v>27</v>
      </c>
      <c r="P36" s="64"/>
    </row>
    <row r="37" ht="15.75" customHeight="1">
      <c r="A37" s="44">
        <f>'COMPRAS 2025'!$D37-TODAY()</f>
        <v>-308</v>
      </c>
      <c r="B37" s="76" t="s">
        <v>21</v>
      </c>
      <c r="C37" s="77" t="s">
        <v>22</v>
      </c>
      <c r="D37" s="78">
        <v>45740.0</v>
      </c>
      <c r="E37" s="78">
        <v>45740.0</v>
      </c>
      <c r="F37" s="47">
        <f>MONTH('COMPRAS 2025'!$E37)</f>
        <v>3</v>
      </c>
      <c r="G37" s="79">
        <v>5.7200713E7</v>
      </c>
      <c r="H37" s="79" t="s">
        <v>52</v>
      </c>
      <c r="I37" s="79" t="s">
        <v>53</v>
      </c>
      <c r="J37" s="80">
        <v>26134.0</v>
      </c>
      <c r="K37" s="80">
        <v>4966.0</v>
      </c>
      <c r="L37" s="49">
        <f>'COMPRAS 2025'!$J37+'COMPRAS 2025'!$K37</f>
        <v>31100</v>
      </c>
      <c r="M37" s="65" t="s">
        <v>25</v>
      </c>
      <c r="N37" s="81" t="s">
        <v>26</v>
      </c>
      <c r="O37" s="83" t="s">
        <v>27</v>
      </c>
      <c r="P37" s="53"/>
    </row>
    <row r="38" ht="15.75" customHeight="1">
      <c r="A38" s="54">
        <f>'COMPRAS 2025'!$D38-TODAY()</f>
        <v>-278</v>
      </c>
      <c r="B38" s="71" t="s">
        <v>21</v>
      </c>
      <c r="C38" s="84" t="s">
        <v>22</v>
      </c>
      <c r="D38" s="72">
        <v>45770.0</v>
      </c>
      <c r="E38" s="72">
        <v>45740.0</v>
      </c>
      <c r="F38" s="58">
        <f>MONTH('COMPRAS 2025'!$E38)</f>
        <v>3</v>
      </c>
      <c r="G38" s="73">
        <v>390299.0</v>
      </c>
      <c r="H38" s="73" t="s">
        <v>28</v>
      </c>
      <c r="I38" s="73" t="s">
        <v>29</v>
      </c>
      <c r="J38" s="74">
        <v>37534.0</v>
      </c>
      <c r="K38" s="74">
        <v>7131.0</v>
      </c>
      <c r="L38" s="60">
        <f>'COMPRAS 2025'!$J38+'COMPRAS 2025'!$K38</f>
        <v>44665</v>
      </c>
      <c r="M38" s="61" t="s">
        <v>25</v>
      </c>
      <c r="N38" s="75" t="s">
        <v>30</v>
      </c>
      <c r="O38" s="63" t="s">
        <v>27</v>
      </c>
      <c r="P38" s="64"/>
    </row>
    <row r="39" ht="15.75" customHeight="1">
      <c r="A39" s="44">
        <f>'COMPRAS 2025'!$D39-TODAY()</f>
        <v>-278</v>
      </c>
      <c r="B39" s="76" t="s">
        <v>21</v>
      </c>
      <c r="C39" s="77" t="s">
        <v>22</v>
      </c>
      <c r="D39" s="78">
        <v>45770.0</v>
      </c>
      <c r="E39" s="78">
        <v>45740.0</v>
      </c>
      <c r="F39" s="47">
        <f>MONTH('COMPRAS 2025'!$E39)</f>
        <v>3</v>
      </c>
      <c r="G39" s="79">
        <v>390300.0</v>
      </c>
      <c r="H39" s="79" t="s">
        <v>28</v>
      </c>
      <c r="I39" s="79" t="s">
        <v>29</v>
      </c>
      <c r="J39" s="80">
        <v>72267.0</v>
      </c>
      <c r="K39" s="80">
        <v>13731.0</v>
      </c>
      <c r="L39" s="49">
        <f>'COMPRAS 2025'!$J39+'COMPRAS 2025'!$K39</f>
        <v>85998</v>
      </c>
      <c r="M39" s="50" t="s">
        <v>25</v>
      </c>
      <c r="N39" s="81" t="s">
        <v>30</v>
      </c>
      <c r="O39" s="52" t="s">
        <v>27</v>
      </c>
      <c r="P39" s="53"/>
    </row>
    <row r="40" ht="15.75" customHeight="1">
      <c r="A40" s="54">
        <f>'COMPRAS 2025'!$D40-TODAY()</f>
        <v>-278</v>
      </c>
      <c r="B40" s="71" t="s">
        <v>21</v>
      </c>
      <c r="C40" s="84" t="s">
        <v>22</v>
      </c>
      <c r="D40" s="72">
        <v>45770.0</v>
      </c>
      <c r="E40" s="72">
        <v>45740.0</v>
      </c>
      <c r="F40" s="58">
        <f>MONTH('COMPRAS 2025'!$E40)</f>
        <v>3</v>
      </c>
      <c r="G40" s="73">
        <v>390301.0</v>
      </c>
      <c r="H40" s="73" t="s">
        <v>28</v>
      </c>
      <c r="I40" s="73" t="s">
        <v>29</v>
      </c>
      <c r="J40" s="74">
        <v>37114.0</v>
      </c>
      <c r="K40" s="74">
        <v>7052.0</v>
      </c>
      <c r="L40" s="60">
        <f>'COMPRAS 2025'!$J40+'COMPRAS 2025'!$K40</f>
        <v>44166</v>
      </c>
      <c r="M40" s="61" t="s">
        <v>25</v>
      </c>
      <c r="N40" s="75" t="s">
        <v>30</v>
      </c>
      <c r="O40" s="63" t="s">
        <v>27</v>
      </c>
      <c r="P40" s="64"/>
    </row>
    <row r="41" ht="15.75" customHeight="1">
      <c r="A41" s="44">
        <f>'COMPRAS 2025'!$D41-TODAY()</f>
        <v>-278</v>
      </c>
      <c r="B41" s="76" t="s">
        <v>21</v>
      </c>
      <c r="C41" s="77" t="s">
        <v>49</v>
      </c>
      <c r="D41" s="78">
        <v>45770.0</v>
      </c>
      <c r="E41" s="78">
        <v>45740.0</v>
      </c>
      <c r="F41" s="47">
        <f>MONTH('COMPRAS 2025'!$E41)</f>
        <v>3</v>
      </c>
      <c r="G41" s="79">
        <v>390293.0</v>
      </c>
      <c r="H41" s="79" t="s">
        <v>28</v>
      </c>
      <c r="I41" s="79" t="s">
        <v>29</v>
      </c>
      <c r="J41" s="80">
        <v>79243.0</v>
      </c>
      <c r="K41" s="80">
        <v>15056.0</v>
      </c>
      <c r="L41" s="49">
        <f>'COMPRAS 2025'!$J41+'COMPRAS 2025'!$K41</f>
        <v>94299</v>
      </c>
      <c r="M41" s="50" t="s">
        <v>25</v>
      </c>
      <c r="N41" s="81" t="s">
        <v>30</v>
      </c>
      <c r="O41" s="52" t="s">
        <v>27</v>
      </c>
      <c r="P41" s="53"/>
    </row>
    <row r="42" ht="15.75" customHeight="1">
      <c r="A42" s="54">
        <f>'COMPRAS 2025'!$D42-TODAY()</f>
        <v>-278</v>
      </c>
      <c r="B42" s="71" t="s">
        <v>21</v>
      </c>
      <c r="C42" s="84" t="s">
        <v>49</v>
      </c>
      <c r="D42" s="72">
        <v>45770.0</v>
      </c>
      <c r="E42" s="72">
        <v>45740.0</v>
      </c>
      <c r="F42" s="58">
        <f>MONTH('COMPRAS 2025'!$E42)</f>
        <v>3</v>
      </c>
      <c r="G42" s="73">
        <v>390294.0</v>
      </c>
      <c r="H42" s="73" t="s">
        <v>28</v>
      </c>
      <c r="I42" s="73" t="s">
        <v>29</v>
      </c>
      <c r="J42" s="74">
        <v>77690.0</v>
      </c>
      <c r="K42" s="74">
        <v>14761.0</v>
      </c>
      <c r="L42" s="60">
        <f>'COMPRAS 2025'!$J42+'COMPRAS 2025'!$K42</f>
        <v>92451</v>
      </c>
      <c r="M42" s="61" t="s">
        <v>25</v>
      </c>
      <c r="N42" s="75" t="s">
        <v>30</v>
      </c>
      <c r="O42" s="63" t="s">
        <v>27</v>
      </c>
      <c r="P42" s="64"/>
    </row>
    <row r="43" ht="15.75" customHeight="1">
      <c r="A43" s="44">
        <f>'COMPRAS 2025'!$D43-TODAY()</f>
        <v>-307</v>
      </c>
      <c r="B43" s="76" t="s">
        <v>21</v>
      </c>
      <c r="C43" s="77" t="s">
        <v>22</v>
      </c>
      <c r="D43" s="78">
        <v>45741.0</v>
      </c>
      <c r="E43" s="78">
        <v>45741.0</v>
      </c>
      <c r="F43" s="47">
        <f>MONTH('COMPRAS 2025'!$E43)</f>
        <v>3</v>
      </c>
      <c r="G43" s="79">
        <v>223576.0</v>
      </c>
      <c r="H43" s="79" t="s">
        <v>33</v>
      </c>
      <c r="I43" s="79" t="s">
        <v>34</v>
      </c>
      <c r="J43" s="80">
        <v>9244.0</v>
      </c>
      <c r="K43" s="80">
        <v>1756.0</v>
      </c>
      <c r="L43" s="49">
        <f>'COMPRAS 2025'!$J43+'COMPRAS 2025'!$K43</f>
        <v>11000</v>
      </c>
      <c r="M43" s="65" t="s">
        <v>25</v>
      </c>
      <c r="N43" s="81" t="s">
        <v>30</v>
      </c>
      <c r="O43" s="83" t="s">
        <v>27</v>
      </c>
      <c r="P43" s="53"/>
    </row>
    <row r="44" ht="15.75" customHeight="1">
      <c r="A44" s="54">
        <f>'COMPRAS 2025'!$D44-TODAY()</f>
        <v>-307</v>
      </c>
      <c r="B44" s="71" t="s">
        <v>21</v>
      </c>
      <c r="C44" s="84" t="s">
        <v>22</v>
      </c>
      <c r="D44" s="72">
        <v>45741.0</v>
      </c>
      <c r="E44" s="72">
        <v>45741.0</v>
      </c>
      <c r="F44" s="58">
        <f>MONTH('COMPRAS 2025'!$E44)</f>
        <v>3</v>
      </c>
      <c r="G44" s="73">
        <v>5.7200748E7</v>
      </c>
      <c r="H44" s="73" t="s">
        <v>52</v>
      </c>
      <c r="I44" s="73" t="s">
        <v>53</v>
      </c>
      <c r="J44" s="74">
        <v>7084.0</v>
      </c>
      <c r="K44" s="74">
        <v>1346.0</v>
      </c>
      <c r="L44" s="60">
        <f>'COMPRAS 2025'!$J44+'COMPRAS 2025'!$K44</f>
        <v>8430</v>
      </c>
      <c r="M44" s="66" t="s">
        <v>25</v>
      </c>
      <c r="N44" s="75" t="s">
        <v>26</v>
      </c>
      <c r="O44" s="85" t="s">
        <v>27</v>
      </c>
      <c r="P44" s="64"/>
    </row>
    <row r="45" ht="15.75" customHeight="1">
      <c r="A45" s="44">
        <f>'COMPRAS 2025'!$D45-TODAY()</f>
        <v>-304</v>
      </c>
      <c r="B45" s="76" t="s">
        <v>21</v>
      </c>
      <c r="C45" s="77" t="s">
        <v>49</v>
      </c>
      <c r="D45" s="78">
        <v>45744.0</v>
      </c>
      <c r="E45" s="78">
        <v>45744.0</v>
      </c>
      <c r="F45" s="47">
        <f>MONTH('COMPRAS 2025'!$E45)</f>
        <v>3</v>
      </c>
      <c r="G45" s="79">
        <v>19857.0</v>
      </c>
      <c r="H45" s="79" t="s">
        <v>54</v>
      </c>
      <c r="I45" s="79" t="s">
        <v>55</v>
      </c>
      <c r="J45" s="80">
        <v>588227.0</v>
      </c>
      <c r="K45" s="80">
        <v>111763.0</v>
      </c>
      <c r="L45" s="49">
        <f>'COMPRAS 2025'!$J45+'COMPRAS 2025'!$K45</f>
        <v>699990</v>
      </c>
      <c r="M45" s="50" t="s">
        <v>25</v>
      </c>
      <c r="N45" s="81" t="s">
        <v>30</v>
      </c>
      <c r="O45" s="83" t="s">
        <v>56</v>
      </c>
      <c r="P45" s="53"/>
    </row>
    <row r="46" ht="15.75" customHeight="1">
      <c r="A46" s="54">
        <f>'COMPRAS 2025'!$D46-TODAY()</f>
        <v>-271</v>
      </c>
      <c r="B46" s="71" t="s">
        <v>21</v>
      </c>
      <c r="C46" s="84" t="s">
        <v>22</v>
      </c>
      <c r="D46" s="72">
        <v>45777.0</v>
      </c>
      <c r="E46" s="72">
        <v>45747.0</v>
      </c>
      <c r="F46" s="58">
        <f>MONTH('COMPRAS 2025'!$E46)</f>
        <v>3</v>
      </c>
      <c r="G46" s="73">
        <v>391504.0</v>
      </c>
      <c r="H46" s="73" t="s">
        <v>28</v>
      </c>
      <c r="I46" s="73" t="s">
        <v>29</v>
      </c>
      <c r="J46" s="74">
        <v>83520.0</v>
      </c>
      <c r="K46" s="74">
        <v>15869.0</v>
      </c>
      <c r="L46" s="60">
        <f>'COMPRAS 2025'!$J46+'COMPRAS 2025'!$K46</f>
        <v>99389</v>
      </c>
      <c r="M46" s="61" t="s">
        <v>25</v>
      </c>
      <c r="N46" s="75" t="s">
        <v>30</v>
      </c>
      <c r="O46" s="63" t="s">
        <v>27</v>
      </c>
      <c r="P46" s="64"/>
    </row>
    <row r="47" ht="15.75" customHeight="1">
      <c r="A47" s="44">
        <f>'COMPRAS 2025'!$D47-TODAY()</f>
        <v>-298</v>
      </c>
      <c r="B47" s="76" t="s">
        <v>21</v>
      </c>
      <c r="C47" s="77" t="s">
        <v>22</v>
      </c>
      <c r="D47" s="78">
        <v>45750.0</v>
      </c>
      <c r="E47" s="78">
        <v>45750.0</v>
      </c>
      <c r="F47" s="47">
        <f>MONTH('COMPRAS 2025'!$E47)</f>
        <v>4</v>
      </c>
      <c r="G47" s="79">
        <v>5662346.0</v>
      </c>
      <c r="H47" s="79" t="s">
        <v>31</v>
      </c>
      <c r="I47" s="79" t="s">
        <v>32</v>
      </c>
      <c r="J47" s="80">
        <v>5019.0</v>
      </c>
      <c r="K47" s="80">
        <v>954.0</v>
      </c>
      <c r="L47" s="49">
        <f>'COMPRAS 2025'!$J47+'COMPRAS 2025'!$K47</f>
        <v>5973</v>
      </c>
      <c r="M47" s="65" t="s">
        <v>25</v>
      </c>
      <c r="N47" s="81" t="s">
        <v>26</v>
      </c>
      <c r="O47" s="52" t="s">
        <v>27</v>
      </c>
      <c r="P47" s="53"/>
    </row>
    <row r="48" ht="15.75" customHeight="1">
      <c r="A48" s="54">
        <f>'COMPRAS 2025'!$D48-TODAY()</f>
        <v>-293</v>
      </c>
      <c r="B48" s="71" t="s">
        <v>21</v>
      </c>
      <c r="C48" s="84" t="s">
        <v>22</v>
      </c>
      <c r="D48" s="72">
        <v>45755.0</v>
      </c>
      <c r="E48" s="72">
        <v>45754.0</v>
      </c>
      <c r="F48" s="58">
        <f>MONTH('COMPRAS 2025'!$E48)</f>
        <v>4</v>
      </c>
      <c r="G48" s="73">
        <v>45085.0</v>
      </c>
      <c r="H48" s="73" t="s">
        <v>50</v>
      </c>
      <c r="I48" s="73" t="s">
        <v>51</v>
      </c>
      <c r="J48" s="74">
        <v>39220.0</v>
      </c>
      <c r="K48" s="74">
        <v>7452.0</v>
      </c>
      <c r="L48" s="60">
        <f>'COMPRAS 2025'!$J48+'COMPRAS 2025'!$K48</f>
        <v>46672</v>
      </c>
      <c r="M48" s="66" t="s">
        <v>25</v>
      </c>
      <c r="N48" s="75" t="s">
        <v>57</v>
      </c>
      <c r="O48" s="63" t="s">
        <v>27</v>
      </c>
      <c r="P48" s="64"/>
    </row>
    <row r="49" ht="15.75" customHeight="1">
      <c r="A49" s="32">
        <f>'COMPRAS 2025'!$D49-TODAY()</f>
        <v>-286</v>
      </c>
      <c r="B49" s="70" t="s">
        <v>21</v>
      </c>
      <c r="C49" s="82" t="s">
        <v>22</v>
      </c>
      <c r="D49" s="34">
        <v>45762.0</v>
      </c>
      <c r="E49" s="34">
        <v>45762.0</v>
      </c>
      <c r="F49" s="35">
        <f>MONTH('COMPRAS 2025'!$E49)</f>
        <v>4</v>
      </c>
      <c r="G49" s="36">
        <v>5676540.0</v>
      </c>
      <c r="H49" s="36" t="s">
        <v>31</v>
      </c>
      <c r="I49" s="36" t="s">
        <v>32</v>
      </c>
      <c r="J49" s="37">
        <v>7984.0</v>
      </c>
      <c r="K49" s="37">
        <v>1517.0</v>
      </c>
      <c r="L49" s="38">
        <f>'COMPRAS 2025'!$J49+'COMPRAS 2025'!$K49</f>
        <v>9501</v>
      </c>
      <c r="M49" s="68" t="s">
        <v>25</v>
      </c>
      <c r="N49" s="40" t="s">
        <v>26</v>
      </c>
      <c r="O49" s="41" t="s">
        <v>27</v>
      </c>
      <c r="P49" s="42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32">
        <f>'COMPRAS 2025'!$D50-TODAY()</f>
        <v>-286</v>
      </c>
      <c r="B50" s="70" t="s">
        <v>21</v>
      </c>
      <c r="C50" s="82" t="s">
        <v>22</v>
      </c>
      <c r="D50" s="34">
        <v>45762.0</v>
      </c>
      <c r="E50" s="34">
        <v>45762.0</v>
      </c>
      <c r="F50" s="35">
        <f>MONTH('COMPRAS 2025'!$E50)</f>
        <v>4</v>
      </c>
      <c r="G50" s="36">
        <v>2.4004864E7</v>
      </c>
      <c r="H50" s="36" t="s">
        <v>58</v>
      </c>
      <c r="I50" s="36" t="s">
        <v>59</v>
      </c>
      <c r="J50" s="37">
        <v>12111.0</v>
      </c>
      <c r="K50" s="37">
        <v>2301.0</v>
      </c>
      <c r="L50" s="38">
        <f>'COMPRAS 2025'!$J50+'COMPRAS 2025'!$K50</f>
        <v>14412</v>
      </c>
      <c r="M50" s="68" t="s">
        <v>25</v>
      </c>
      <c r="N50" s="40" t="s">
        <v>26</v>
      </c>
      <c r="O50" s="41" t="s">
        <v>27</v>
      </c>
      <c r="P50" s="42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32">
        <f>'COMPRAS 2025'!$D51-TODAY()</f>
        <v>-283</v>
      </c>
      <c r="B51" s="70" t="s">
        <v>21</v>
      </c>
      <c r="C51" s="82" t="s">
        <v>22</v>
      </c>
      <c r="D51" s="34">
        <v>45765.0</v>
      </c>
      <c r="E51" s="34">
        <v>45765.0</v>
      </c>
      <c r="F51" s="35">
        <f>MONTH('COMPRAS 2025'!$E51)</f>
        <v>4</v>
      </c>
      <c r="G51" s="36">
        <v>5.7266614E7</v>
      </c>
      <c r="H51" s="36" t="s">
        <v>52</v>
      </c>
      <c r="I51" s="36" t="s">
        <v>53</v>
      </c>
      <c r="J51" s="37">
        <v>16729.0</v>
      </c>
      <c r="K51" s="37">
        <f>3179+182</f>
        <v>3361</v>
      </c>
      <c r="L51" s="38">
        <f>'COMPRAS 2025'!$J51+'COMPRAS 2025'!$K51</f>
        <v>20090</v>
      </c>
      <c r="M51" s="68" t="s">
        <v>25</v>
      </c>
      <c r="N51" s="40" t="s">
        <v>26</v>
      </c>
      <c r="O51" s="86" t="s">
        <v>27</v>
      </c>
      <c r="P51" s="42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32">
        <f>'COMPRAS 2025'!$D52-TODAY()</f>
        <v>-280</v>
      </c>
      <c r="B52" s="70" t="s">
        <v>21</v>
      </c>
      <c r="C52" s="82" t="s">
        <v>22</v>
      </c>
      <c r="D52" s="34">
        <v>45768.0</v>
      </c>
      <c r="E52" s="34">
        <v>45768.0</v>
      </c>
      <c r="F52" s="35">
        <f>MONTH('COMPRAS 2025'!$E52)</f>
        <v>4</v>
      </c>
      <c r="G52" s="36">
        <v>5676738.0</v>
      </c>
      <c r="H52" s="36" t="s">
        <v>31</v>
      </c>
      <c r="I52" s="36" t="s">
        <v>32</v>
      </c>
      <c r="J52" s="37">
        <v>7631.0</v>
      </c>
      <c r="K52" s="37">
        <v>1450.0</v>
      </c>
      <c r="L52" s="38">
        <f>'COMPRAS 2025'!$J52+'COMPRAS 2025'!$K52</f>
        <v>9081</v>
      </c>
      <c r="M52" s="68" t="s">
        <v>25</v>
      </c>
      <c r="N52" s="40" t="s">
        <v>26</v>
      </c>
      <c r="O52" s="41" t="s">
        <v>27</v>
      </c>
      <c r="P52" s="42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4">
        <f>'COMPRAS 2025'!$D53-TODAY()</f>
        <v>-255</v>
      </c>
      <c r="B53" s="76" t="s">
        <v>21</v>
      </c>
      <c r="C53" s="77" t="s">
        <v>22</v>
      </c>
      <c r="D53" s="78">
        <v>45793.0</v>
      </c>
      <c r="E53" s="78">
        <v>45763.0</v>
      </c>
      <c r="F53" s="47">
        <f>MONTH('COMPRAS 2025'!$E53)</f>
        <v>4</v>
      </c>
      <c r="G53" s="79">
        <v>115157.0</v>
      </c>
      <c r="H53" s="79" t="s">
        <v>60</v>
      </c>
      <c r="I53" s="79" t="s">
        <v>61</v>
      </c>
      <c r="J53" s="80">
        <v>118429.0</v>
      </c>
      <c r="K53" s="80">
        <v>22502.0</v>
      </c>
      <c r="L53" s="49">
        <f>'COMPRAS 2025'!$J53+'COMPRAS 2025'!$K53</f>
        <v>140931</v>
      </c>
      <c r="M53" s="50" t="s">
        <v>25</v>
      </c>
      <c r="N53" s="81" t="s">
        <v>30</v>
      </c>
      <c r="O53" s="52" t="s">
        <v>27</v>
      </c>
      <c r="P53" s="53"/>
    </row>
    <row r="54" ht="15.75" customHeight="1">
      <c r="A54" s="54">
        <f>'COMPRAS 2025'!$D54-TODAY()</f>
        <v>-255</v>
      </c>
      <c r="B54" s="71" t="s">
        <v>21</v>
      </c>
      <c r="C54" s="84" t="s">
        <v>22</v>
      </c>
      <c r="D54" s="72">
        <v>45793.0</v>
      </c>
      <c r="E54" s="72">
        <v>45763.0</v>
      </c>
      <c r="F54" s="58">
        <f>MONTH('COMPRAS 2025'!$E54)</f>
        <v>4</v>
      </c>
      <c r="G54" s="73">
        <v>115172.0</v>
      </c>
      <c r="H54" s="73" t="s">
        <v>60</v>
      </c>
      <c r="I54" s="73" t="s">
        <v>61</v>
      </c>
      <c r="J54" s="74">
        <v>13402.0</v>
      </c>
      <c r="K54" s="74">
        <v>2546.0</v>
      </c>
      <c r="L54" s="60">
        <f>'COMPRAS 2025'!$J54+'COMPRAS 2025'!$K54</f>
        <v>15948</v>
      </c>
      <c r="M54" s="61" t="s">
        <v>25</v>
      </c>
      <c r="N54" s="75" t="s">
        <v>30</v>
      </c>
      <c r="O54" s="63" t="s">
        <v>27</v>
      </c>
      <c r="P54" s="64"/>
    </row>
    <row r="55" ht="15.75" customHeight="1">
      <c r="A55" s="44">
        <f>'COMPRAS 2025'!$D55-TODAY()</f>
        <v>-248</v>
      </c>
      <c r="B55" s="76" t="s">
        <v>21</v>
      </c>
      <c r="C55" s="77" t="s">
        <v>22</v>
      </c>
      <c r="D55" s="78">
        <v>45800.0</v>
      </c>
      <c r="E55" s="78">
        <v>45770.0</v>
      </c>
      <c r="F55" s="47">
        <f>MONTH('COMPRAS 2025'!$E55)</f>
        <v>4</v>
      </c>
      <c r="G55" s="79">
        <v>394531.0</v>
      </c>
      <c r="H55" s="79" t="s">
        <v>28</v>
      </c>
      <c r="I55" s="79" t="s">
        <v>29</v>
      </c>
      <c r="J55" s="80">
        <v>24980.0</v>
      </c>
      <c r="K55" s="80">
        <v>4746.0</v>
      </c>
      <c r="L55" s="49">
        <f>'COMPRAS 2025'!$J55+'COMPRAS 2025'!$K55</f>
        <v>29726</v>
      </c>
      <c r="M55" s="50" t="s">
        <v>25</v>
      </c>
      <c r="N55" s="81" t="s">
        <v>30</v>
      </c>
      <c r="O55" s="52" t="s">
        <v>27</v>
      </c>
      <c r="P55" s="53"/>
    </row>
    <row r="56" ht="15.75" customHeight="1">
      <c r="A56" s="54">
        <f>'COMPRAS 2025'!$D56-TODAY()</f>
        <v>-248</v>
      </c>
      <c r="B56" s="71" t="s">
        <v>21</v>
      </c>
      <c r="C56" s="84" t="s">
        <v>22</v>
      </c>
      <c r="D56" s="72">
        <v>45800.0</v>
      </c>
      <c r="E56" s="72">
        <v>45770.0</v>
      </c>
      <c r="F56" s="58">
        <f>MONTH('COMPRAS 2025'!$E56)</f>
        <v>4</v>
      </c>
      <c r="G56" s="73">
        <v>394530.0</v>
      </c>
      <c r="H56" s="73" t="s">
        <v>28</v>
      </c>
      <c r="I56" s="73" t="s">
        <v>29</v>
      </c>
      <c r="J56" s="74">
        <v>112840.0</v>
      </c>
      <c r="K56" s="74">
        <v>21440.0</v>
      </c>
      <c r="L56" s="60">
        <f>'COMPRAS 2025'!$J56+'COMPRAS 2025'!$K56</f>
        <v>134280</v>
      </c>
      <c r="M56" s="61" t="s">
        <v>25</v>
      </c>
      <c r="N56" s="75" t="s">
        <v>30</v>
      </c>
      <c r="O56" s="63" t="s">
        <v>27</v>
      </c>
      <c r="P56" s="64"/>
    </row>
    <row r="57" ht="15.75" customHeight="1">
      <c r="A57" s="44">
        <f>'COMPRAS 2025'!$D57-TODAY()</f>
        <v>-248</v>
      </c>
      <c r="B57" s="76" t="s">
        <v>21</v>
      </c>
      <c r="C57" s="77" t="s">
        <v>22</v>
      </c>
      <c r="D57" s="78">
        <v>45800.0</v>
      </c>
      <c r="E57" s="78">
        <v>45770.0</v>
      </c>
      <c r="F57" s="47">
        <f>MONTH('COMPRAS 2025'!$E57)</f>
        <v>4</v>
      </c>
      <c r="G57" s="79">
        <v>394529.0</v>
      </c>
      <c r="H57" s="79" t="s">
        <v>28</v>
      </c>
      <c r="I57" s="79" t="s">
        <v>29</v>
      </c>
      <c r="J57" s="80">
        <v>56660.0</v>
      </c>
      <c r="K57" s="80">
        <v>10765.0</v>
      </c>
      <c r="L57" s="49">
        <f>'COMPRAS 2025'!$J57+'COMPRAS 2025'!$K57</f>
        <v>67425</v>
      </c>
      <c r="M57" s="50" t="s">
        <v>25</v>
      </c>
      <c r="N57" s="81" t="s">
        <v>30</v>
      </c>
      <c r="O57" s="52" t="s">
        <v>27</v>
      </c>
      <c r="P57" s="53"/>
    </row>
    <row r="58" ht="15.75" customHeight="1">
      <c r="A58" s="54">
        <f>'COMPRAS 2025'!$D58-TODAY()</f>
        <v>-246</v>
      </c>
      <c r="B58" s="71" t="s">
        <v>21</v>
      </c>
      <c r="C58" s="84" t="s">
        <v>22</v>
      </c>
      <c r="D58" s="72">
        <v>45802.0</v>
      </c>
      <c r="E58" s="72">
        <v>45772.0</v>
      </c>
      <c r="F58" s="58">
        <f>MONTH('COMPRAS 2025'!$E58)</f>
        <v>4</v>
      </c>
      <c r="G58" s="73">
        <v>11136.0</v>
      </c>
      <c r="H58" s="73" t="s">
        <v>62</v>
      </c>
      <c r="I58" s="73" t="s">
        <v>63</v>
      </c>
      <c r="J58" s="74">
        <v>90000.0</v>
      </c>
      <c r="K58" s="74">
        <v>17100.0</v>
      </c>
      <c r="L58" s="60">
        <f>'COMPRAS 2025'!$J58+'COMPRAS 2025'!$K58</f>
        <v>107100</v>
      </c>
      <c r="M58" s="61" t="s">
        <v>25</v>
      </c>
      <c r="N58" s="75" t="s">
        <v>30</v>
      </c>
      <c r="O58" s="63" t="s">
        <v>27</v>
      </c>
      <c r="P58" s="64"/>
    </row>
    <row r="59" ht="15.75" customHeight="1">
      <c r="A59" s="44">
        <f>'COMPRAS 2025'!$D59-TODAY()</f>
        <v>-241</v>
      </c>
      <c r="B59" s="76" t="s">
        <v>21</v>
      </c>
      <c r="C59" s="77" t="s">
        <v>49</v>
      </c>
      <c r="D59" s="78">
        <v>45807.0</v>
      </c>
      <c r="E59" s="78">
        <v>45777.0</v>
      </c>
      <c r="F59" s="47">
        <f>MONTH('COMPRAS 2025'!$E59)</f>
        <v>4</v>
      </c>
      <c r="G59" s="79">
        <v>101182.0</v>
      </c>
      <c r="H59" s="79" t="s">
        <v>64</v>
      </c>
      <c r="I59" s="79" t="s">
        <v>65</v>
      </c>
      <c r="J59" s="80">
        <v>89716.0</v>
      </c>
      <c r="K59" s="80">
        <v>17046.0</v>
      </c>
      <c r="L59" s="49">
        <f>'COMPRAS 2025'!$J59+'COMPRAS 2025'!$K59</f>
        <v>106762</v>
      </c>
      <c r="M59" s="50" t="s">
        <v>25</v>
      </c>
      <c r="N59" s="81" t="s">
        <v>30</v>
      </c>
      <c r="O59" s="52" t="s">
        <v>27</v>
      </c>
      <c r="P59" s="53"/>
    </row>
    <row r="60" ht="15.75" customHeight="1">
      <c r="A60" s="54">
        <f>'COMPRAS 2025'!$D60-TODAY()</f>
        <v>-236</v>
      </c>
      <c r="B60" s="71" t="s">
        <v>21</v>
      </c>
      <c r="C60" s="84" t="s">
        <v>22</v>
      </c>
      <c r="D60" s="72">
        <v>45812.0</v>
      </c>
      <c r="E60" s="72">
        <v>45782.0</v>
      </c>
      <c r="F60" s="58">
        <f>MONTH('COMPRAS 2025'!$E60)</f>
        <v>5</v>
      </c>
      <c r="G60" s="73">
        <v>115481.0</v>
      </c>
      <c r="H60" s="73" t="s">
        <v>60</v>
      </c>
      <c r="I60" s="73" t="s">
        <v>61</v>
      </c>
      <c r="J60" s="74">
        <v>130769.0</v>
      </c>
      <c r="K60" s="74">
        <v>24846.0</v>
      </c>
      <c r="L60" s="60">
        <f>'COMPRAS 2025'!$J60+'COMPRAS 2025'!$K60</f>
        <v>155615</v>
      </c>
      <c r="M60" s="61" t="s">
        <v>25</v>
      </c>
      <c r="N60" s="75" t="s">
        <v>30</v>
      </c>
      <c r="O60" s="63" t="s">
        <v>27</v>
      </c>
      <c r="P60" s="64"/>
    </row>
    <row r="61" ht="15.75" customHeight="1">
      <c r="A61" s="44">
        <f>'COMPRAS 2025'!$D61-TODAY()</f>
        <v>-236</v>
      </c>
      <c r="B61" s="45" t="s">
        <v>66</v>
      </c>
      <c r="C61" s="45" t="s">
        <v>22</v>
      </c>
      <c r="D61" s="87">
        <v>45812.0</v>
      </c>
      <c r="E61" s="88">
        <v>45783.0</v>
      </c>
      <c r="F61" s="47">
        <f>MONTH('COMPRAS 2025'!$E61)</f>
        <v>5</v>
      </c>
      <c r="G61" s="89">
        <v>10677.0</v>
      </c>
      <c r="H61" s="90" t="s">
        <v>60</v>
      </c>
      <c r="I61" s="90" t="s">
        <v>61</v>
      </c>
      <c r="J61" s="91">
        <v>10500.0</v>
      </c>
      <c r="K61" s="91">
        <v>1995.0</v>
      </c>
      <c r="L61" s="91">
        <f>-'COMPRAS 2025'!$K61 - 'COMPRAS 2025'!$J61</f>
        <v>-12495</v>
      </c>
      <c r="M61" s="92" t="s">
        <v>25</v>
      </c>
      <c r="N61" s="93" t="s">
        <v>30</v>
      </c>
      <c r="O61" s="94" t="s">
        <v>27</v>
      </c>
      <c r="P61" s="53"/>
    </row>
    <row r="62" ht="15.75" customHeight="1">
      <c r="A62" s="54">
        <f>'COMPRAS 2025'!$D62-TODAY()</f>
        <v>-235</v>
      </c>
      <c r="B62" s="55" t="s">
        <v>21</v>
      </c>
      <c r="C62" s="55" t="s">
        <v>22</v>
      </c>
      <c r="D62" s="95">
        <v>45813.0</v>
      </c>
      <c r="E62" s="95">
        <v>45783.0</v>
      </c>
      <c r="F62" s="58">
        <f>MONTH('COMPRAS 2025'!$E62)</f>
        <v>5</v>
      </c>
      <c r="G62" s="96">
        <v>115482.0</v>
      </c>
      <c r="H62" s="97" t="s">
        <v>60</v>
      </c>
      <c r="I62" s="97" t="s">
        <v>61</v>
      </c>
      <c r="J62" s="98">
        <v>14995.0</v>
      </c>
      <c r="K62" s="98">
        <v>2849.0</v>
      </c>
      <c r="L62" s="98">
        <f>'COMPRAS 2025'!$K62 + 'COMPRAS 2025'!$J62</f>
        <v>17844</v>
      </c>
      <c r="M62" s="99" t="s">
        <v>25</v>
      </c>
      <c r="N62" s="100" t="s">
        <v>30</v>
      </c>
      <c r="O62" s="101" t="s">
        <v>27</v>
      </c>
      <c r="P62" s="64"/>
    </row>
    <row r="63" ht="15.75" customHeight="1">
      <c r="A63" s="44">
        <f>'COMPRAS 2025'!$D63-TODAY()</f>
        <v>-226</v>
      </c>
      <c r="B63" s="76" t="s">
        <v>21</v>
      </c>
      <c r="C63" s="77" t="s">
        <v>22</v>
      </c>
      <c r="D63" s="78">
        <v>45822.0</v>
      </c>
      <c r="E63" s="78">
        <v>45792.0</v>
      </c>
      <c r="F63" s="47">
        <f>MONTH('COMPRAS 2025'!$E63)</f>
        <v>5</v>
      </c>
      <c r="G63" s="79">
        <v>397334.0</v>
      </c>
      <c r="H63" s="79" t="s">
        <v>28</v>
      </c>
      <c r="I63" s="79" t="s">
        <v>29</v>
      </c>
      <c r="J63" s="80">
        <v>20560.0</v>
      </c>
      <c r="K63" s="80">
        <v>3906.0</v>
      </c>
      <c r="L63" s="49">
        <f>'COMPRAS 2025'!$J63+'COMPRAS 2025'!$K63</f>
        <v>24466</v>
      </c>
      <c r="M63" s="50" t="s">
        <v>25</v>
      </c>
      <c r="N63" s="81" t="s">
        <v>30</v>
      </c>
      <c r="O63" s="52" t="s">
        <v>27</v>
      </c>
      <c r="P63" s="53"/>
    </row>
    <row r="64" ht="15.75" customHeight="1">
      <c r="A64" s="54">
        <f>'COMPRAS 2025'!$D64-TODAY()</f>
        <v>-226</v>
      </c>
      <c r="B64" s="71" t="s">
        <v>21</v>
      </c>
      <c r="C64" s="84" t="s">
        <v>22</v>
      </c>
      <c r="D64" s="72">
        <v>45822.0</v>
      </c>
      <c r="E64" s="72">
        <v>45792.0</v>
      </c>
      <c r="F64" s="58">
        <f>MONTH('COMPRAS 2025'!$E64)</f>
        <v>5</v>
      </c>
      <c r="G64" s="73">
        <v>397333.0</v>
      </c>
      <c r="H64" s="73" t="s">
        <v>28</v>
      </c>
      <c r="I64" s="73" t="s">
        <v>29</v>
      </c>
      <c r="J64" s="74">
        <v>80500.0</v>
      </c>
      <c r="K64" s="74">
        <v>15295.0</v>
      </c>
      <c r="L64" s="60">
        <f>'COMPRAS 2025'!$J64+'COMPRAS 2025'!$K64</f>
        <v>95795</v>
      </c>
      <c r="M64" s="61" t="s">
        <v>25</v>
      </c>
      <c r="N64" s="75" t="s">
        <v>30</v>
      </c>
      <c r="O64" s="63" t="s">
        <v>27</v>
      </c>
      <c r="P64" s="64"/>
    </row>
    <row r="65" ht="15.75" customHeight="1">
      <c r="A65" s="44">
        <f>'COMPRAS 2025'!$D65-TODAY()</f>
        <v>-226</v>
      </c>
      <c r="B65" s="76" t="s">
        <v>21</v>
      </c>
      <c r="C65" s="77" t="s">
        <v>22</v>
      </c>
      <c r="D65" s="78">
        <v>45822.0</v>
      </c>
      <c r="E65" s="78">
        <v>45792.0</v>
      </c>
      <c r="F65" s="47">
        <f>MONTH('COMPRAS 2025'!$E65)</f>
        <v>5</v>
      </c>
      <c r="G65" s="79">
        <v>115704.0</v>
      </c>
      <c r="H65" s="79" t="s">
        <v>60</v>
      </c>
      <c r="I65" s="79" t="s">
        <v>61</v>
      </c>
      <c r="J65" s="80">
        <v>7120.0</v>
      </c>
      <c r="K65" s="80">
        <v>1353.0</v>
      </c>
      <c r="L65" s="49">
        <f>'COMPRAS 2025'!$J65+'COMPRAS 2025'!$K65</f>
        <v>8473</v>
      </c>
      <c r="M65" s="50" t="s">
        <v>25</v>
      </c>
      <c r="N65" s="81" t="s">
        <v>30</v>
      </c>
      <c r="O65" s="52" t="s">
        <v>27</v>
      </c>
      <c r="P65" s="53"/>
    </row>
    <row r="66" ht="15.75" customHeight="1">
      <c r="A66" s="54">
        <f>'COMPRAS 2025'!$D66-TODAY()</f>
        <v>-225</v>
      </c>
      <c r="B66" s="71" t="s">
        <v>38</v>
      </c>
      <c r="C66" s="84" t="s">
        <v>67</v>
      </c>
      <c r="D66" s="72">
        <v>45823.0</v>
      </c>
      <c r="E66" s="72">
        <v>45792.0</v>
      </c>
      <c r="F66" s="58">
        <f>MONTH('COMPRAS 2025'!$E66)</f>
        <v>5</v>
      </c>
      <c r="G66" s="73">
        <v>14914.0</v>
      </c>
      <c r="H66" s="73" t="s">
        <v>60</v>
      </c>
      <c r="I66" s="73" t="s">
        <v>61</v>
      </c>
      <c r="J66" s="74">
        <v>44960.0</v>
      </c>
      <c r="K66" s="74">
        <v>8542.0</v>
      </c>
      <c r="L66" s="60">
        <f>'COMPRAS 2025'!$J66+'COMPRAS 2025'!$K66</f>
        <v>53502</v>
      </c>
      <c r="M66" s="61" t="s">
        <v>25</v>
      </c>
      <c r="N66" s="75" t="s">
        <v>30</v>
      </c>
      <c r="O66" s="85" t="s">
        <v>27</v>
      </c>
      <c r="P66" s="64"/>
    </row>
    <row r="67" ht="15.75" customHeight="1">
      <c r="A67" s="44">
        <f>'COMPRAS 2025'!$D67-TODAY()</f>
        <v>-222</v>
      </c>
      <c r="B67" s="76" t="s">
        <v>21</v>
      </c>
      <c r="C67" s="76" t="s">
        <v>22</v>
      </c>
      <c r="D67" s="78">
        <v>45826.0</v>
      </c>
      <c r="E67" s="78">
        <v>45796.0</v>
      </c>
      <c r="F67" s="47">
        <f>MONTH('COMPRAS 2025'!$E67)</f>
        <v>5</v>
      </c>
      <c r="G67" s="79">
        <v>397616.0</v>
      </c>
      <c r="H67" s="79" t="s">
        <v>28</v>
      </c>
      <c r="I67" s="79" t="s">
        <v>29</v>
      </c>
      <c r="J67" s="80">
        <v>11980.0</v>
      </c>
      <c r="K67" s="80">
        <v>2276.0</v>
      </c>
      <c r="L67" s="49">
        <f>'COMPRAS 2025'!$J67+'COMPRAS 2025'!$K67</f>
        <v>14256</v>
      </c>
      <c r="M67" s="50" t="s">
        <v>25</v>
      </c>
      <c r="N67" s="81" t="s">
        <v>30</v>
      </c>
      <c r="O67" s="52" t="s">
        <v>27</v>
      </c>
      <c r="P67" s="53"/>
    </row>
    <row r="68" ht="15.75" customHeight="1">
      <c r="A68" s="54">
        <f>'COMPRAS 2025'!$D68-TODAY()</f>
        <v>-222</v>
      </c>
      <c r="B68" s="71" t="s">
        <v>21</v>
      </c>
      <c r="C68" s="84" t="s">
        <v>22</v>
      </c>
      <c r="D68" s="72">
        <v>45826.0</v>
      </c>
      <c r="E68" s="72">
        <v>45796.0</v>
      </c>
      <c r="F68" s="58">
        <f>MONTH('COMPRAS 2025'!$E68)</f>
        <v>5</v>
      </c>
      <c r="G68" s="102">
        <v>397617.0</v>
      </c>
      <c r="H68" s="73" t="s">
        <v>28</v>
      </c>
      <c r="I68" s="73" t="s">
        <v>29</v>
      </c>
      <c r="J68" s="103">
        <v>12270.0</v>
      </c>
      <c r="K68" s="103">
        <v>2331.0</v>
      </c>
      <c r="L68" s="60">
        <f>'COMPRAS 2025'!$J68+'COMPRAS 2025'!$K68</f>
        <v>14601</v>
      </c>
      <c r="M68" s="61" t="s">
        <v>25</v>
      </c>
      <c r="N68" s="75" t="s">
        <v>30</v>
      </c>
      <c r="O68" s="63" t="s">
        <v>27</v>
      </c>
      <c r="P68" s="104"/>
    </row>
    <row r="69" ht="15.75" customHeight="1">
      <c r="A69" s="44">
        <f>'COMPRAS 2025'!$D69-TODAY()</f>
        <v>-222</v>
      </c>
      <c r="B69" s="77" t="s">
        <v>21</v>
      </c>
      <c r="C69" s="77" t="s">
        <v>22</v>
      </c>
      <c r="D69" s="78">
        <v>45826.0</v>
      </c>
      <c r="E69" s="78">
        <v>45796.0</v>
      </c>
      <c r="F69" s="47">
        <f>MONTH('COMPRAS 2025'!$E69)</f>
        <v>5</v>
      </c>
      <c r="G69" s="105">
        <v>397615.0</v>
      </c>
      <c r="H69" s="79" t="s">
        <v>28</v>
      </c>
      <c r="I69" s="79" t="s">
        <v>29</v>
      </c>
      <c r="J69" s="106">
        <v>102710.0</v>
      </c>
      <c r="K69" s="106">
        <v>19515.0</v>
      </c>
      <c r="L69" s="49">
        <f>'COMPRAS 2025'!$J69+'COMPRAS 2025'!$K69</f>
        <v>122225</v>
      </c>
      <c r="M69" s="50" t="s">
        <v>25</v>
      </c>
      <c r="N69" s="81" t="s">
        <v>30</v>
      </c>
      <c r="O69" s="52" t="s">
        <v>27</v>
      </c>
      <c r="P69" s="107"/>
    </row>
    <row r="70" ht="15.75" customHeight="1">
      <c r="A70" s="54">
        <f>'COMPRAS 2025'!$D70-TODAY()</f>
        <v>-218</v>
      </c>
      <c r="B70" s="84" t="s">
        <v>21</v>
      </c>
      <c r="C70" s="84" t="s">
        <v>22</v>
      </c>
      <c r="D70" s="72">
        <v>45830.0</v>
      </c>
      <c r="E70" s="72">
        <v>45800.0</v>
      </c>
      <c r="F70" s="58">
        <f>MONTH('COMPRAS 2025'!$E70)</f>
        <v>5</v>
      </c>
      <c r="G70" s="102">
        <v>11230.0</v>
      </c>
      <c r="H70" s="73" t="s">
        <v>62</v>
      </c>
      <c r="I70" s="73" t="s">
        <v>63</v>
      </c>
      <c r="J70" s="103">
        <v>90000.0</v>
      </c>
      <c r="K70" s="103">
        <v>17100.0</v>
      </c>
      <c r="L70" s="60">
        <f>'COMPRAS 2025'!$J70+'COMPRAS 2025'!$K70</f>
        <v>107100</v>
      </c>
      <c r="M70" s="61" t="s">
        <v>25</v>
      </c>
      <c r="N70" s="75" t="s">
        <v>30</v>
      </c>
      <c r="O70" s="63" t="s">
        <v>27</v>
      </c>
      <c r="P70" s="104"/>
    </row>
    <row r="71" ht="15.75" customHeight="1">
      <c r="A71" s="44">
        <f>'COMPRAS 2025'!$D71-TODAY()</f>
        <v>-238</v>
      </c>
      <c r="B71" s="77" t="s">
        <v>21</v>
      </c>
      <c r="C71" s="77" t="s">
        <v>22</v>
      </c>
      <c r="D71" s="78">
        <v>45810.0</v>
      </c>
      <c r="E71" s="78">
        <v>45810.0</v>
      </c>
      <c r="F71" s="47">
        <f>MONTH('COMPRAS 2025'!$E71)</f>
        <v>6</v>
      </c>
      <c r="G71" s="105">
        <v>3615.0</v>
      </c>
      <c r="H71" s="79">
        <v>7.62510138E8</v>
      </c>
      <c r="I71" s="79" t="s">
        <v>68</v>
      </c>
      <c r="J71" s="106">
        <v>22681.0</v>
      </c>
      <c r="K71" s="106">
        <v>4309.0</v>
      </c>
      <c r="L71" s="49">
        <f>'COMPRAS 2025'!$J71+'COMPRAS 2025'!$K71</f>
        <v>26990</v>
      </c>
      <c r="M71" s="50" t="s">
        <v>25</v>
      </c>
      <c r="N71" s="81" t="s">
        <v>26</v>
      </c>
      <c r="O71" s="52" t="s">
        <v>27</v>
      </c>
      <c r="P71" s="107"/>
    </row>
    <row r="72" ht="15.75" customHeight="1">
      <c r="A72" s="54">
        <f>'COMPRAS 2025'!$D72-TODAY()</f>
        <v>-205</v>
      </c>
      <c r="B72" s="84" t="s">
        <v>21</v>
      </c>
      <c r="C72" s="84" t="s">
        <v>22</v>
      </c>
      <c r="D72" s="72">
        <v>45843.0</v>
      </c>
      <c r="E72" s="72">
        <v>45813.0</v>
      </c>
      <c r="F72" s="58">
        <f>MONTH('COMPRAS 2025'!$E72)</f>
        <v>6</v>
      </c>
      <c r="G72" s="102">
        <v>399796.0</v>
      </c>
      <c r="H72" s="73" t="s">
        <v>28</v>
      </c>
      <c r="I72" s="73" t="s">
        <v>29</v>
      </c>
      <c r="J72" s="103">
        <v>142630.0</v>
      </c>
      <c r="K72" s="103">
        <v>27100.0</v>
      </c>
      <c r="L72" s="60">
        <f>'COMPRAS 2025'!$J72+'COMPRAS 2025'!$K72</f>
        <v>169730</v>
      </c>
      <c r="M72" s="61" t="s">
        <v>25</v>
      </c>
      <c r="N72" s="75" t="s">
        <v>30</v>
      </c>
      <c r="O72" s="63" t="s">
        <v>27</v>
      </c>
      <c r="P72" s="104"/>
    </row>
    <row r="73" ht="15.75" customHeight="1">
      <c r="A73" s="44">
        <f>'COMPRAS 2025'!$D73-TODAY()</f>
        <v>-205</v>
      </c>
      <c r="B73" s="77" t="s">
        <v>21</v>
      </c>
      <c r="C73" s="77" t="s">
        <v>22</v>
      </c>
      <c r="D73" s="78">
        <v>45843.0</v>
      </c>
      <c r="E73" s="78">
        <v>45813.0</v>
      </c>
      <c r="F73" s="47">
        <f>MONTH('COMPRAS 2025'!$E73)</f>
        <v>6</v>
      </c>
      <c r="G73" s="105">
        <v>399798.0</v>
      </c>
      <c r="H73" s="79" t="s">
        <v>28</v>
      </c>
      <c r="I73" s="79" t="s">
        <v>29</v>
      </c>
      <c r="J73" s="106">
        <v>86110.0</v>
      </c>
      <c r="K73" s="106">
        <v>16361.0</v>
      </c>
      <c r="L73" s="49">
        <f>'COMPRAS 2025'!$J73+'COMPRAS 2025'!$K73</f>
        <v>102471</v>
      </c>
      <c r="M73" s="50" t="s">
        <v>25</v>
      </c>
      <c r="N73" s="81" t="s">
        <v>30</v>
      </c>
      <c r="O73" s="52" t="s">
        <v>27</v>
      </c>
      <c r="P73" s="107"/>
    </row>
    <row r="74" ht="15.75" customHeight="1">
      <c r="A74" s="54">
        <f>'COMPRAS 2025'!$D74-TODAY()</f>
        <v>-198</v>
      </c>
      <c r="B74" s="84" t="s">
        <v>21</v>
      </c>
      <c r="C74" s="84" t="s">
        <v>22</v>
      </c>
      <c r="D74" s="72">
        <v>45850.0</v>
      </c>
      <c r="E74" s="72">
        <v>45820.0</v>
      </c>
      <c r="F74" s="58">
        <f>MONTH('COMPRAS 2025'!$E74)</f>
        <v>6</v>
      </c>
      <c r="G74" s="102">
        <v>400612.0</v>
      </c>
      <c r="H74" s="73" t="s">
        <v>28</v>
      </c>
      <c r="I74" s="73" t="s">
        <v>29</v>
      </c>
      <c r="J74" s="103">
        <v>51470.0</v>
      </c>
      <c r="K74" s="103">
        <v>9779.0</v>
      </c>
      <c r="L74" s="60">
        <f>'COMPRAS 2025'!$J74+'COMPRAS 2025'!$K74</f>
        <v>61249</v>
      </c>
      <c r="M74" s="61" t="s">
        <v>25</v>
      </c>
      <c r="N74" s="75" t="s">
        <v>30</v>
      </c>
      <c r="O74" s="63" t="s">
        <v>27</v>
      </c>
      <c r="P74" s="104"/>
    </row>
    <row r="75" ht="15.75" customHeight="1">
      <c r="A75" s="44">
        <f>'COMPRAS 2025'!$D75-TODAY()</f>
        <v>-198</v>
      </c>
      <c r="B75" s="77" t="s">
        <v>21</v>
      </c>
      <c r="C75" s="77" t="s">
        <v>22</v>
      </c>
      <c r="D75" s="78">
        <v>45850.0</v>
      </c>
      <c r="E75" s="78">
        <v>45820.0</v>
      </c>
      <c r="F75" s="47">
        <f>MONTH('COMPRAS 2025'!$E75)</f>
        <v>6</v>
      </c>
      <c r="G75" s="105">
        <v>400613.0</v>
      </c>
      <c r="H75" s="79" t="s">
        <v>28</v>
      </c>
      <c r="I75" s="79" t="s">
        <v>29</v>
      </c>
      <c r="J75" s="106">
        <v>29990.0</v>
      </c>
      <c r="K75" s="106">
        <v>5698.0</v>
      </c>
      <c r="L75" s="49">
        <f>'COMPRAS 2025'!$J75+'COMPRAS 2025'!$K75</f>
        <v>35688</v>
      </c>
      <c r="M75" s="50" t="s">
        <v>25</v>
      </c>
      <c r="N75" s="81" t="s">
        <v>30</v>
      </c>
      <c r="O75" s="52" t="s">
        <v>27</v>
      </c>
      <c r="P75" s="107"/>
    </row>
    <row r="76" ht="15.75" customHeight="1">
      <c r="A76" s="108">
        <f>'COMPRAS 2025'!$D76-TODAY()</f>
        <v>-198</v>
      </c>
      <c r="B76" s="56" t="s">
        <v>21</v>
      </c>
      <c r="C76" s="56" t="s">
        <v>22</v>
      </c>
      <c r="D76" s="72">
        <v>45850.0</v>
      </c>
      <c r="E76" s="72">
        <v>45820.0</v>
      </c>
      <c r="F76" s="58">
        <f>MONTH('COMPRAS 2025'!$E76)</f>
        <v>6</v>
      </c>
      <c r="G76" s="109">
        <v>400614.0</v>
      </c>
      <c r="H76" s="97" t="s">
        <v>28</v>
      </c>
      <c r="I76" s="97" t="s">
        <v>29</v>
      </c>
      <c r="J76" s="110">
        <v>55350.0</v>
      </c>
      <c r="K76" s="110">
        <v>10517.0</v>
      </c>
      <c r="L76" s="98">
        <f>'COMPRAS 2025'!$J76+'COMPRAS 2025'!$K76</f>
        <v>65867</v>
      </c>
      <c r="M76" s="99" t="s">
        <v>25</v>
      </c>
      <c r="N76" s="100" t="s">
        <v>30</v>
      </c>
      <c r="O76" s="101" t="s">
        <v>27</v>
      </c>
      <c r="P76" s="111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5.75" customHeight="1">
      <c r="A77" s="44">
        <f>'COMPRAS 2025'!$D77-TODAY()</f>
        <v>-187</v>
      </c>
      <c r="B77" s="77" t="s">
        <v>21</v>
      </c>
      <c r="C77" s="77" t="s">
        <v>22</v>
      </c>
      <c r="D77" s="78">
        <v>45861.0</v>
      </c>
      <c r="E77" s="78">
        <v>45831.0</v>
      </c>
      <c r="F77" s="47">
        <f>MONTH('COMPRAS 2025'!$E77)</f>
        <v>6</v>
      </c>
      <c r="G77" s="105">
        <v>11401.0</v>
      </c>
      <c r="H77" s="79" t="s">
        <v>62</v>
      </c>
      <c r="I77" s="79" t="s">
        <v>69</v>
      </c>
      <c r="J77" s="106">
        <v>90000.0</v>
      </c>
      <c r="K77" s="106">
        <v>17100.0</v>
      </c>
      <c r="L77" s="49">
        <f>'COMPRAS 2025'!$J77+'COMPRAS 2025'!$K77</f>
        <v>107100</v>
      </c>
      <c r="M77" s="50" t="s">
        <v>25</v>
      </c>
      <c r="N77" s="81" t="s">
        <v>30</v>
      </c>
      <c r="O77" s="52" t="s">
        <v>27</v>
      </c>
      <c r="P77" s="107"/>
    </row>
    <row r="78" ht="15.75" customHeight="1">
      <c r="A78" s="54">
        <f>'COMPRAS 2025'!$D78-TODAY()</f>
        <v>-209</v>
      </c>
      <c r="B78" s="84" t="s">
        <v>21</v>
      </c>
      <c r="C78" s="84" t="s">
        <v>22</v>
      </c>
      <c r="D78" s="72">
        <v>45839.0</v>
      </c>
      <c r="E78" s="72">
        <v>45839.0</v>
      </c>
      <c r="F78" s="58">
        <f>MONTH('COMPRAS 2025'!$E78)</f>
        <v>7</v>
      </c>
      <c r="G78" s="102">
        <v>46351.0</v>
      </c>
      <c r="H78" s="73" t="s">
        <v>50</v>
      </c>
      <c r="I78" s="73" t="s">
        <v>51</v>
      </c>
      <c r="J78" s="103">
        <v>39220.0</v>
      </c>
      <c r="K78" s="103">
        <v>7452.0</v>
      </c>
      <c r="L78" s="60">
        <f>'COMPRAS 2025'!$J78+'COMPRAS 2025'!$K78</f>
        <v>46672</v>
      </c>
      <c r="M78" s="61" t="s">
        <v>25</v>
      </c>
      <c r="N78" s="75" t="s">
        <v>57</v>
      </c>
      <c r="O78" s="63" t="s">
        <v>27</v>
      </c>
      <c r="P78" s="104"/>
    </row>
    <row r="79" ht="15.75" customHeight="1">
      <c r="A79" s="44">
        <f>'COMPRAS 2025'!$D79-TODAY()</f>
        <v>-176</v>
      </c>
      <c r="B79" s="77" t="s">
        <v>21</v>
      </c>
      <c r="C79" s="77" t="s">
        <v>22</v>
      </c>
      <c r="D79" s="78">
        <v>45872.0</v>
      </c>
      <c r="E79" s="78">
        <v>45842.0</v>
      </c>
      <c r="F79" s="47">
        <f>MONTH('COMPRAS 2025'!$E79)</f>
        <v>7</v>
      </c>
      <c r="G79" s="105">
        <v>403062.0</v>
      </c>
      <c r="H79" s="79" t="s">
        <v>28</v>
      </c>
      <c r="I79" s="79" t="s">
        <v>29</v>
      </c>
      <c r="J79" s="106">
        <v>135435.0</v>
      </c>
      <c r="K79" s="106">
        <v>25733.0</v>
      </c>
      <c r="L79" s="49">
        <f>'COMPRAS 2025'!$J79+'COMPRAS 2025'!$K79</f>
        <v>161168</v>
      </c>
      <c r="M79" s="50" t="s">
        <v>25</v>
      </c>
      <c r="N79" s="81" t="s">
        <v>30</v>
      </c>
      <c r="O79" s="52" t="s">
        <v>27</v>
      </c>
      <c r="P79" s="107"/>
    </row>
    <row r="80" ht="15.75" customHeight="1">
      <c r="A80" s="54">
        <f>'COMPRAS 2025'!$D80-TODAY()</f>
        <v>-176</v>
      </c>
      <c r="B80" s="84" t="s">
        <v>21</v>
      </c>
      <c r="C80" s="84" t="s">
        <v>22</v>
      </c>
      <c r="D80" s="72">
        <v>45872.0</v>
      </c>
      <c r="E80" s="72">
        <v>45842.0</v>
      </c>
      <c r="F80" s="58">
        <f>MONTH('COMPRAS 2025'!$E80)</f>
        <v>7</v>
      </c>
      <c r="G80" s="102">
        <v>403061.0</v>
      </c>
      <c r="H80" s="73" t="s">
        <v>28</v>
      </c>
      <c r="I80" s="73" t="s">
        <v>29</v>
      </c>
      <c r="J80" s="103">
        <v>50060.0</v>
      </c>
      <c r="K80" s="103">
        <v>9511.0</v>
      </c>
      <c r="L80" s="60">
        <f>'COMPRAS 2025'!$J80+'COMPRAS 2025'!$K80</f>
        <v>59571</v>
      </c>
      <c r="M80" s="61" t="s">
        <v>25</v>
      </c>
      <c r="N80" s="75" t="s">
        <v>30</v>
      </c>
      <c r="O80" s="63" t="s">
        <v>27</v>
      </c>
      <c r="P80" s="104"/>
    </row>
    <row r="81" ht="15.75" customHeight="1">
      <c r="A81" s="44">
        <f>'COMPRAS 2025'!$D81-TODAY()</f>
        <v>-163</v>
      </c>
      <c r="B81" s="77" t="s">
        <v>21</v>
      </c>
      <c r="C81" s="77" t="s">
        <v>22</v>
      </c>
      <c r="D81" s="78">
        <v>45885.0</v>
      </c>
      <c r="E81" s="78">
        <v>45855.0</v>
      </c>
      <c r="F81" s="47">
        <f>MONTH('COMPRAS 2025'!$E81)</f>
        <v>7</v>
      </c>
      <c r="G81" s="105">
        <v>404430.0</v>
      </c>
      <c r="H81" s="79" t="s">
        <v>28</v>
      </c>
      <c r="I81" s="79" t="s">
        <v>29</v>
      </c>
      <c r="J81" s="106">
        <v>58980.0</v>
      </c>
      <c r="K81" s="106">
        <v>11208.0</v>
      </c>
      <c r="L81" s="49">
        <f>'COMPRAS 2025'!$J81+'COMPRAS 2025'!$K81</f>
        <v>70188</v>
      </c>
      <c r="M81" s="50" t="s">
        <v>25</v>
      </c>
      <c r="N81" s="81" t="s">
        <v>30</v>
      </c>
      <c r="O81" s="52" t="s">
        <v>27</v>
      </c>
      <c r="P81" s="107"/>
    </row>
    <row r="82" ht="15.75" customHeight="1">
      <c r="A82" s="54">
        <f>'COMPRAS 2025'!$D82-TODAY()</f>
        <v>-163</v>
      </c>
      <c r="B82" s="84" t="s">
        <v>21</v>
      </c>
      <c r="C82" s="84" t="s">
        <v>22</v>
      </c>
      <c r="D82" s="72">
        <v>45885.0</v>
      </c>
      <c r="E82" s="72">
        <v>45855.0</v>
      </c>
      <c r="F82" s="58">
        <f>MONTH('COMPRAS 2025'!$E82)</f>
        <v>7</v>
      </c>
      <c r="G82" s="102">
        <v>404431.0</v>
      </c>
      <c r="H82" s="73" t="s">
        <v>28</v>
      </c>
      <c r="I82" s="73" t="s">
        <v>29</v>
      </c>
      <c r="J82" s="103">
        <v>51980.0</v>
      </c>
      <c r="K82" s="103">
        <v>9876.0</v>
      </c>
      <c r="L82" s="60">
        <f>'COMPRAS 2025'!$J82+'COMPRAS 2025'!$K82</f>
        <v>61856</v>
      </c>
      <c r="M82" s="61" t="s">
        <v>25</v>
      </c>
      <c r="N82" s="75" t="s">
        <v>30</v>
      </c>
      <c r="O82" s="63" t="s">
        <v>27</v>
      </c>
      <c r="P82" s="104"/>
    </row>
    <row r="83" ht="15.75" customHeight="1">
      <c r="A83" s="44">
        <f>'COMPRAS 2025'!$D83-TODAY()</f>
        <v>-163</v>
      </c>
      <c r="B83" s="77" t="s">
        <v>21</v>
      </c>
      <c r="C83" s="77" t="s">
        <v>22</v>
      </c>
      <c r="D83" s="78">
        <v>45885.0</v>
      </c>
      <c r="E83" s="78">
        <v>45855.0</v>
      </c>
      <c r="F83" s="47">
        <f>MONTH('COMPRAS 2025'!$E83)</f>
        <v>7</v>
      </c>
      <c r="G83" s="105">
        <v>404432.0</v>
      </c>
      <c r="H83" s="79" t="s">
        <v>28</v>
      </c>
      <c r="I83" s="79" t="s">
        <v>29</v>
      </c>
      <c r="J83" s="106">
        <v>62820.0</v>
      </c>
      <c r="K83" s="106">
        <v>11936.0</v>
      </c>
      <c r="L83" s="49">
        <f>'COMPRAS 2025'!$J83+'COMPRAS 2025'!$K83</f>
        <v>74756</v>
      </c>
      <c r="M83" s="50" t="s">
        <v>25</v>
      </c>
      <c r="N83" s="81" t="s">
        <v>30</v>
      </c>
      <c r="O83" s="52" t="s">
        <v>27</v>
      </c>
      <c r="P83" s="107"/>
    </row>
    <row r="84" ht="15.75" customHeight="1">
      <c r="A84" s="54">
        <f>'COMPRAS 2025'!$D84-TODAY()</f>
        <v>-170</v>
      </c>
      <c r="B84" s="84" t="s">
        <v>21</v>
      </c>
      <c r="C84" s="84" t="s">
        <v>22</v>
      </c>
      <c r="D84" s="72">
        <v>45878.0</v>
      </c>
      <c r="E84" s="72">
        <v>45848.0</v>
      </c>
      <c r="F84" s="58">
        <f>MONTH('COMPRAS 2025'!$E84)</f>
        <v>7</v>
      </c>
      <c r="G84" s="102">
        <v>116569.0</v>
      </c>
      <c r="H84" s="73" t="s">
        <v>60</v>
      </c>
      <c r="I84" s="73" t="s">
        <v>61</v>
      </c>
      <c r="J84" s="103">
        <v>33915.0</v>
      </c>
      <c r="K84" s="103">
        <v>6444.0</v>
      </c>
      <c r="L84" s="60">
        <f>'COMPRAS 2025'!$J84+'COMPRAS 2025'!$K84</f>
        <v>40359</v>
      </c>
      <c r="M84" s="61" t="s">
        <v>25</v>
      </c>
      <c r="N84" s="75" t="s">
        <v>30</v>
      </c>
      <c r="O84" s="63" t="s">
        <v>27</v>
      </c>
      <c r="P84" s="104"/>
    </row>
    <row r="85" ht="15.75" customHeight="1">
      <c r="A85" s="44">
        <f>'COMPRAS 2025'!$D85-TODAY()</f>
        <v>-157</v>
      </c>
      <c r="B85" s="77" t="s">
        <v>21</v>
      </c>
      <c r="C85" s="77" t="s">
        <v>49</v>
      </c>
      <c r="D85" s="78">
        <v>45891.0</v>
      </c>
      <c r="E85" s="78">
        <v>45861.0</v>
      </c>
      <c r="F85" s="47">
        <f>MONTH('COMPRAS 2025'!$E85)</f>
        <v>7</v>
      </c>
      <c r="G85" s="105">
        <v>103410.0</v>
      </c>
      <c r="H85" s="79" t="s">
        <v>64</v>
      </c>
      <c r="I85" s="79" t="s">
        <v>65</v>
      </c>
      <c r="J85" s="106">
        <v>229105.0</v>
      </c>
      <c r="K85" s="106">
        <v>43530.0</v>
      </c>
      <c r="L85" s="49">
        <f>'COMPRAS 2025'!$J85+'COMPRAS 2025'!$K85</f>
        <v>272635</v>
      </c>
      <c r="M85" s="50" t="s">
        <v>25</v>
      </c>
      <c r="N85" s="81" t="s">
        <v>30</v>
      </c>
      <c r="O85" s="52" t="s">
        <v>27</v>
      </c>
      <c r="P85" s="107"/>
    </row>
    <row r="86" ht="15.75" customHeight="1">
      <c r="A86" s="54">
        <f>'COMPRAS 2025'!$D86-TODAY()</f>
        <v>-157</v>
      </c>
      <c r="B86" s="84" t="s">
        <v>21</v>
      </c>
      <c r="C86" s="84" t="s">
        <v>22</v>
      </c>
      <c r="D86" s="72">
        <v>45891.0</v>
      </c>
      <c r="E86" s="72">
        <v>45861.0</v>
      </c>
      <c r="F86" s="58">
        <f>MONTH('COMPRAS 2025'!$E86)</f>
        <v>7</v>
      </c>
      <c r="G86" s="102">
        <v>11581.0</v>
      </c>
      <c r="H86" s="73">
        <v>7.60466859E8</v>
      </c>
      <c r="I86" s="73" t="s">
        <v>63</v>
      </c>
      <c r="J86" s="103">
        <v>90000.0</v>
      </c>
      <c r="K86" s="103">
        <v>17100.0</v>
      </c>
      <c r="L86" s="60">
        <f>'COMPRAS 2025'!$J86+'COMPRAS 2025'!$K86</f>
        <v>107100</v>
      </c>
      <c r="M86" s="61" t="s">
        <v>25</v>
      </c>
      <c r="N86" s="75" t="s">
        <v>30</v>
      </c>
      <c r="O86" s="63" t="s">
        <v>27</v>
      </c>
      <c r="P86" s="104"/>
    </row>
    <row r="87" ht="15.75" customHeight="1">
      <c r="A87" s="44">
        <f>'COMPRAS 2025'!$D87-TODAY()</f>
        <v>-209</v>
      </c>
      <c r="B87" s="77" t="s">
        <v>21</v>
      </c>
      <c r="C87" s="77" t="s">
        <v>22</v>
      </c>
      <c r="D87" s="78">
        <v>45839.0</v>
      </c>
      <c r="E87" s="78">
        <v>45839.0</v>
      </c>
      <c r="F87" s="47">
        <f>MONTH('COMPRAS 2025'!$E87)</f>
        <v>7</v>
      </c>
      <c r="G87" s="105">
        <v>231526.0</v>
      </c>
      <c r="H87" s="79" t="s">
        <v>33</v>
      </c>
      <c r="I87" s="79" t="s">
        <v>34</v>
      </c>
      <c r="J87" s="106">
        <v>9836.0</v>
      </c>
      <c r="K87" s="106">
        <v>1868.0</v>
      </c>
      <c r="L87" s="49">
        <f>'COMPRAS 2025'!$J87+'COMPRAS 2025'!$K87</f>
        <v>11704</v>
      </c>
      <c r="M87" s="50" t="s">
        <v>25</v>
      </c>
      <c r="N87" s="81" t="s">
        <v>26</v>
      </c>
      <c r="O87" s="52" t="s">
        <v>27</v>
      </c>
      <c r="P87" s="107"/>
    </row>
    <row r="88" ht="15.75" customHeight="1">
      <c r="A88" s="54">
        <f>'COMPRAS 2025'!$D88-TODAY()</f>
        <v>-200</v>
      </c>
      <c r="B88" s="84" t="s">
        <v>21</v>
      </c>
      <c r="C88" s="84" t="s">
        <v>22</v>
      </c>
      <c r="D88" s="72">
        <v>45848.0</v>
      </c>
      <c r="E88" s="72">
        <v>45848.0</v>
      </c>
      <c r="F88" s="58">
        <f>MONTH('COMPRAS 2025'!$E88)</f>
        <v>7</v>
      </c>
      <c r="G88" s="102">
        <v>2916068.0</v>
      </c>
      <c r="H88" s="102" t="s">
        <v>70</v>
      </c>
      <c r="I88" s="73" t="s">
        <v>71</v>
      </c>
      <c r="J88" s="103">
        <v>6520.0</v>
      </c>
      <c r="K88" s="103">
        <v>0.0</v>
      </c>
      <c r="L88" s="60">
        <f>'COMPRAS 2025'!$J88+'COMPRAS 2025'!$K88</f>
        <v>6520</v>
      </c>
      <c r="M88" s="61" t="s">
        <v>25</v>
      </c>
      <c r="N88" s="75" t="s">
        <v>35</v>
      </c>
      <c r="O88" s="63" t="s">
        <v>27</v>
      </c>
      <c r="P88" s="104"/>
    </row>
    <row r="89" ht="15.75" customHeight="1">
      <c r="A89" s="44">
        <f>'COMPRAS 2025'!$D89-TODAY()</f>
        <v>-200</v>
      </c>
      <c r="B89" s="77" t="s">
        <v>21</v>
      </c>
      <c r="C89" s="77" t="s">
        <v>22</v>
      </c>
      <c r="D89" s="78">
        <v>45848.0</v>
      </c>
      <c r="E89" s="78">
        <v>45848.0</v>
      </c>
      <c r="F89" s="47">
        <f>MONTH('COMPRAS 2025'!$E89)</f>
        <v>7</v>
      </c>
      <c r="G89" s="105">
        <v>2916071.0</v>
      </c>
      <c r="H89" s="105" t="s">
        <v>70</v>
      </c>
      <c r="I89" s="79" t="s">
        <v>71</v>
      </c>
      <c r="J89" s="106">
        <v>2720.0</v>
      </c>
      <c r="K89" s="106">
        <v>0.0</v>
      </c>
      <c r="L89" s="49">
        <f>'COMPRAS 2025'!$J89+'COMPRAS 2025'!$K89</f>
        <v>2720</v>
      </c>
      <c r="M89" s="50" t="s">
        <v>25</v>
      </c>
      <c r="N89" s="81" t="s">
        <v>35</v>
      </c>
      <c r="O89" s="52" t="s">
        <v>27</v>
      </c>
      <c r="P89" s="107"/>
    </row>
    <row r="90" ht="15.75" customHeight="1">
      <c r="A90" s="54">
        <f>'COMPRAS 2025'!$D90-TODAY()</f>
        <v>-170</v>
      </c>
      <c r="B90" s="84" t="s">
        <v>21</v>
      </c>
      <c r="C90" s="84" t="s">
        <v>22</v>
      </c>
      <c r="D90" s="72">
        <v>45878.0</v>
      </c>
      <c r="E90" s="72">
        <v>45848.0</v>
      </c>
      <c r="F90" s="58">
        <f>MONTH('COMPRAS 2025'!$E90)</f>
        <v>7</v>
      </c>
      <c r="G90" s="102">
        <v>403725.0</v>
      </c>
      <c r="H90" s="73" t="s">
        <v>28</v>
      </c>
      <c r="I90" s="73" t="s">
        <v>29</v>
      </c>
      <c r="J90" s="103">
        <v>21990.0</v>
      </c>
      <c r="K90" s="103">
        <v>4178.0</v>
      </c>
      <c r="L90" s="60">
        <f>'COMPRAS 2025'!$J90+'COMPRAS 2025'!$K90</f>
        <v>26168</v>
      </c>
      <c r="M90" s="61" t="s">
        <v>25</v>
      </c>
      <c r="N90" s="75" t="s">
        <v>30</v>
      </c>
      <c r="O90" s="63" t="s">
        <v>27</v>
      </c>
      <c r="P90" s="104"/>
    </row>
    <row r="91" ht="15.75" customHeight="1">
      <c r="A91" s="44">
        <f>'COMPRAS 2025'!$D91-TODAY()</f>
        <v>-195</v>
      </c>
      <c r="B91" s="77" t="s">
        <v>21</v>
      </c>
      <c r="C91" s="77" t="s">
        <v>22</v>
      </c>
      <c r="D91" s="78">
        <v>45853.0</v>
      </c>
      <c r="E91" s="78">
        <v>45853.0</v>
      </c>
      <c r="F91" s="47">
        <f>MONTH('COMPRAS 2025'!$E91)</f>
        <v>7</v>
      </c>
      <c r="G91" s="105">
        <v>7.8471366E7</v>
      </c>
      <c r="H91" s="79" t="s">
        <v>52</v>
      </c>
      <c r="I91" s="79" t="s">
        <v>53</v>
      </c>
      <c r="J91" s="106">
        <v>16067.0</v>
      </c>
      <c r="K91" s="106">
        <v>3053.0</v>
      </c>
      <c r="L91" s="49">
        <f>'COMPRAS 2025'!$J91+'COMPRAS 2025'!$K91</f>
        <v>19120</v>
      </c>
      <c r="M91" s="50" t="s">
        <v>25</v>
      </c>
      <c r="N91" s="81" t="s">
        <v>35</v>
      </c>
      <c r="O91" s="52" t="s">
        <v>27</v>
      </c>
      <c r="P91" s="107"/>
    </row>
    <row r="92" ht="15.75" customHeight="1">
      <c r="A92" s="54">
        <f>'COMPRAS 2025'!$D92-TODAY()</f>
        <v>-188</v>
      </c>
      <c r="B92" s="84" t="s">
        <v>21</v>
      </c>
      <c r="C92" s="84" t="s">
        <v>22</v>
      </c>
      <c r="D92" s="72">
        <v>45860.0</v>
      </c>
      <c r="E92" s="72">
        <v>45860.0</v>
      </c>
      <c r="F92" s="58">
        <f>MONTH('COMPRAS 2025'!$E92)</f>
        <v>7</v>
      </c>
      <c r="G92" s="102">
        <v>21707.0</v>
      </c>
      <c r="H92" s="73" t="s">
        <v>72</v>
      </c>
      <c r="I92" s="73" t="s">
        <v>73</v>
      </c>
      <c r="J92" s="103">
        <v>6966.0</v>
      </c>
      <c r="K92" s="103">
        <v>1324.0</v>
      </c>
      <c r="L92" s="60">
        <f>'COMPRAS 2025'!$J92+'COMPRAS 2025'!$K92</f>
        <v>8290</v>
      </c>
      <c r="M92" s="61" t="s">
        <v>25</v>
      </c>
      <c r="N92" s="75" t="s">
        <v>35</v>
      </c>
      <c r="O92" s="63" t="s">
        <v>27</v>
      </c>
      <c r="P92" s="104"/>
    </row>
    <row r="93" ht="15.75" customHeight="1">
      <c r="A93" s="44">
        <f>'COMPRAS 2025'!$D93-TODAY()</f>
        <v>-188</v>
      </c>
      <c r="B93" s="77" t="s">
        <v>21</v>
      </c>
      <c r="C93" s="77" t="s">
        <v>22</v>
      </c>
      <c r="D93" s="78">
        <v>45860.0</v>
      </c>
      <c r="E93" s="78">
        <v>45860.0</v>
      </c>
      <c r="F93" s="47">
        <f>MONTH('COMPRAS 2025'!$E93)</f>
        <v>7</v>
      </c>
      <c r="G93" s="105">
        <v>233197.0</v>
      </c>
      <c r="H93" s="79" t="s">
        <v>33</v>
      </c>
      <c r="I93" s="79" t="s">
        <v>34</v>
      </c>
      <c r="J93" s="106">
        <v>11050.0</v>
      </c>
      <c r="K93" s="106">
        <v>2100.0</v>
      </c>
      <c r="L93" s="49">
        <f>'COMPRAS 2025'!$J93+'COMPRAS 2025'!$K93</f>
        <v>13150</v>
      </c>
      <c r="M93" s="50" t="s">
        <v>25</v>
      </c>
      <c r="N93" s="81" t="s">
        <v>35</v>
      </c>
      <c r="O93" s="52" t="s">
        <v>27</v>
      </c>
      <c r="P93" s="107"/>
    </row>
    <row r="94" ht="15.75" customHeight="1">
      <c r="A94" s="54">
        <f>'COMPRAS 2025'!$D94-TODAY()</f>
        <v>-188</v>
      </c>
      <c r="B94" s="84" t="s">
        <v>21</v>
      </c>
      <c r="C94" s="84" t="s">
        <v>22</v>
      </c>
      <c r="D94" s="72">
        <v>45860.0</v>
      </c>
      <c r="E94" s="72">
        <v>45860.0</v>
      </c>
      <c r="F94" s="58">
        <f>MONTH('COMPRAS 2025'!$E94)</f>
        <v>7</v>
      </c>
      <c r="G94" s="102">
        <v>5.7493134E7</v>
      </c>
      <c r="H94" s="73" t="s">
        <v>52</v>
      </c>
      <c r="I94" s="73" t="s">
        <v>53</v>
      </c>
      <c r="J94" s="103">
        <v>7084.0</v>
      </c>
      <c r="K94" s="103">
        <v>1346.0</v>
      </c>
      <c r="L94" s="60">
        <f>'COMPRAS 2025'!$J94+'COMPRAS 2025'!$K94</f>
        <v>8430</v>
      </c>
      <c r="M94" s="61" t="s">
        <v>25</v>
      </c>
      <c r="N94" s="75" t="s">
        <v>26</v>
      </c>
      <c r="O94" s="63" t="s">
        <v>27</v>
      </c>
      <c r="P94" s="104"/>
    </row>
    <row r="95" ht="15.75" customHeight="1">
      <c r="A95" s="44">
        <f>'COMPRAS 2025'!$D95-TODAY()</f>
        <v>-188</v>
      </c>
      <c r="B95" s="77" t="s">
        <v>21</v>
      </c>
      <c r="C95" s="77" t="s">
        <v>22</v>
      </c>
      <c r="D95" s="78">
        <v>45860.0</v>
      </c>
      <c r="E95" s="78">
        <v>45860.0</v>
      </c>
      <c r="F95" s="47">
        <f>MONTH('COMPRAS 2025'!$E95)</f>
        <v>7</v>
      </c>
      <c r="G95" s="105">
        <v>5.7471221E7</v>
      </c>
      <c r="H95" s="79" t="s">
        <v>52</v>
      </c>
      <c r="I95" s="79" t="s">
        <v>53</v>
      </c>
      <c r="J95" s="106">
        <v>4950.0</v>
      </c>
      <c r="K95" s="106">
        <v>940.0</v>
      </c>
      <c r="L95" s="49">
        <f>'COMPRAS 2025'!$J95+'COMPRAS 2025'!$K95</f>
        <v>5890</v>
      </c>
      <c r="M95" s="50" t="s">
        <v>25</v>
      </c>
      <c r="N95" s="81" t="s">
        <v>26</v>
      </c>
      <c r="O95" s="52" t="s">
        <v>27</v>
      </c>
      <c r="P95" s="107"/>
    </row>
    <row r="96" ht="15.75" customHeight="1">
      <c r="A96" s="54">
        <f>'COMPRAS 2025'!$D96-TODAY()</f>
        <v>-217</v>
      </c>
      <c r="B96" s="84" t="s">
        <v>21</v>
      </c>
      <c r="C96" s="84" t="s">
        <v>22</v>
      </c>
      <c r="D96" s="72">
        <v>45831.0</v>
      </c>
      <c r="E96" s="72">
        <v>45831.0</v>
      </c>
      <c r="F96" s="58">
        <f>MONTH('COMPRAS 2025'!$E96)</f>
        <v>6</v>
      </c>
      <c r="G96" s="102">
        <v>8828183.0</v>
      </c>
      <c r="H96" s="73">
        <v>7.73982201E8</v>
      </c>
      <c r="I96" s="73" t="s">
        <v>74</v>
      </c>
      <c r="J96" s="103">
        <v>25908.0</v>
      </c>
      <c r="K96" s="103">
        <v>4922.0</v>
      </c>
      <c r="L96" s="60">
        <f>'COMPRAS 2025'!$J96+'COMPRAS 2025'!$K96</f>
        <v>30830</v>
      </c>
      <c r="M96" s="61" t="s">
        <v>25</v>
      </c>
      <c r="N96" s="75"/>
      <c r="O96" s="63" t="s">
        <v>27</v>
      </c>
      <c r="P96" s="104"/>
    </row>
    <row r="97" ht="15.75" customHeight="1">
      <c r="A97" s="44">
        <f>'COMPRAS 2025'!$D97-TODAY()</f>
        <v>-201</v>
      </c>
      <c r="B97" s="77" t="s">
        <v>21</v>
      </c>
      <c r="C97" s="77" t="s">
        <v>22</v>
      </c>
      <c r="D97" s="78">
        <v>45847.0</v>
      </c>
      <c r="E97" s="78">
        <v>45847.0</v>
      </c>
      <c r="F97" s="47">
        <f>MONTH('COMPRAS 2025'!$E97)</f>
        <v>7</v>
      </c>
      <c r="G97" s="105">
        <v>9036130.0</v>
      </c>
      <c r="H97" s="79">
        <v>7.73982201E8</v>
      </c>
      <c r="I97" s="79" t="s">
        <v>74</v>
      </c>
      <c r="J97" s="106">
        <v>5032.0</v>
      </c>
      <c r="K97" s="106">
        <v>956.0</v>
      </c>
      <c r="L97" s="49">
        <f>'COMPRAS 2025'!$J97+'COMPRAS 2025'!$K97</f>
        <v>5988</v>
      </c>
      <c r="M97" s="50" t="s">
        <v>25</v>
      </c>
      <c r="N97" s="81"/>
      <c r="O97" s="52" t="s">
        <v>27</v>
      </c>
      <c r="P97" s="107"/>
    </row>
    <row r="98" ht="15.75" customHeight="1">
      <c r="A98" s="54">
        <f>'COMPRAS 2025'!$D98-TODAY()</f>
        <v>-201</v>
      </c>
      <c r="B98" s="84" t="s">
        <v>21</v>
      </c>
      <c r="C98" s="84" t="s">
        <v>22</v>
      </c>
      <c r="D98" s="72">
        <v>45847.0</v>
      </c>
      <c r="E98" s="72">
        <v>45847.0</v>
      </c>
      <c r="F98" s="58">
        <f>MONTH('COMPRAS 2025'!$E98)</f>
        <v>7</v>
      </c>
      <c r="G98" s="102">
        <v>9036131.0</v>
      </c>
      <c r="H98" s="73">
        <v>7.73982201E8</v>
      </c>
      <c r="I98" s="73" t="s">
        <v>74</v>
      </c>
      <c r="J98" s="103">
        <v>38454.0</v>
      </c>
      <c r="K98" s="103">
        <v>7306.0</v>
      </c>
      <c r="L98" s="60">
        <f>'COMPRAS 2025'!$J98+'COMPRAS 2025'!$K98</f>
        <v>45760</v>
      </c>
      <c r="M98" s="61" t="s">
        <v>25</v>
      </c>
      <c r="N98" s="75"/>
      <c r="O98" s="63" t="s">
        <v>27</v>
      </c>
      <c r="P98" s="104"/>
    </row>
    <row r="99" ht="15.75" customHeight="1">
      <c r="A99" s="44">
        <f>'COMPRAS 2025'!$D99-TODAY()</f>
        <v>-156</v>
      </c>
      <c r="B99" s="77" t="s">
        <v>21</v>
      </c>
      <c r="C99" s="77" t="s">
        <v>49</v>
      </c>
      <c r="D99" s="78">
        <v>45892.0</v>
      </c>
      <c r="E99" s="78">
        <v>45862.0</v>
      </c>
      <c r="F99" s="47">
        <f>MONTH('COMPRAS 2025'!$E99)</f>
        <v>7</v>
      </c>
      <c r="G99" s="105">
        <v>2421606.0</v>
      </c>
      <c r="H99" s="79" t="s">
        <v>75</v>
      </c>
      <c r="I99" s="79" t="s">
        <v>76</v>
      </c>
      <c r="J99" s="106">
        <v>30866.0</v>
      </c>
      <c r="K99" s="106">
        <v>5865.0</v>
      </c>
      <c r="L99" s="49">
        <f>'COMPRAS 2025'!$J99+'COMPRAS 2025'!$K99</f>
        <v>36731</v>
      </c>
      <c r="M99" s="50" t="s">
        <v>25</v>
      </c>
      <c r="N99" s="81"/>
      <c r="O99" s="52" t="s">
        <v>27</v>
      </c>
      <c r="P99" s="107"/>
    </row>
    <row r="100" ht="15.75" customHeight="1">
      <c r="A100" s="54">
        <f>'COMPRAS 2025'!$D100-TODAY()</f>
        <v>-156</v>
      </c>
      <c r="B100" s="84" t="s">
        <v>21</v>
      </c>
      <c r="C100" s="84" t="s">
        <v>49</v>
      </c>
      <c r="D100" s="72">
        <v>45892.0</v>
      </c>
      <c r="E100" s="72">
        <v>45862.0</v>
      </c>
      <c r="F100" s="58">
        <f>MONTH('COMPRAS 2025'!$E100)</f>
        <v>7</v>
      </c>
      <c r="G100" s="102">
        <v>2421605.0</v>
      </c>
      <c r="H100" s="73" t="s">
        <v>75</v>
      </c>
      <c r="I100" s="73" t="s">
        <v>76</v>
      </c>
      <c r="J100" s="103">
        <v>298820.0</v>
      </c>
      <c r="K100" s="103">
        <v>56776.0</v>
      </c>
      <c r="L100" s="60">
        <f>'COMPRAS 2025'!$J100+'COMPRAS 2025'!$K100</f>
        <v>355596</v>
      </c>
      <c r="M100" s="61" t="s">
        <v>25</v>
      </c>
      <c r="N100" s="75"/>
      <c r="O100" s="63" t="s">
        <v>27</v>
      </c>
      <c r="P100" s="104"/>
    </row>
    <row r="101" ht="15.75" customHeight="1">
      <c r="A101" s="44">
        <f>'COMPRAS 2025'!$D101-TODAY()</f>
        <v>-181</v>
      </c>
      <c r="B101" s="77" t="s">
        <v>21</v>
      </c>
      <c r="C101" s="77" t="s">
        <v>49</v>
      </c>
      <c r="D101" s="78">
        <v>45867.0</v>
      </c>
      <c r="E101" s="78">
        <v>45867.0</v>
      </c>
      <c r="F101" s="47">
        <f>MONTH('COMPRAS 2025'!$E101)</f>
        <v>7</v>
      </c>
      <c r="G101" s="105">
        <v>605041.0</v>
      </c>
      <c r="H101" s="79" t="s">
        <v>77</v>
      </c>
      <c r="I101" s="79" t="s">
        <v>78</v>
      </c>
      <c r="J101" s="106">
        <v>98440.0</v>
      </c>
      <c r="K101" s="106">
        <v>18704.0</v>
      </c>
      <c r="L101" s="49">
        <f>'COMPRAS 2025'!$J101+'COMPRAS 2025'!$K101</f>
        <v>117144</v>
      </c>
      <c r="M101" s="50" t="s">
        <v>25</v>
      </c>
      <c r="N101" s="81"/>
      <c r="O101" s="52" t="s">
        <v>27</v>
      </c>
      <c r="P101" s="107"/>
    </row>
    <row r="102" ht="15.75" customHeight="1">
      <c r="A102" s="54">
        <f>'COMPRAS 2025'!$D102-TODAY()</f>
        <v>-151</v>
      </c>
      <c r="B102" s="84" t="s">
        <v>21</v>
      </c>
      <c r="C102" s="84" t="s">
        <v>22</v>
      </c>
      <c r="D102" s="72">
        <v>45897.0</v>
      </c>
      <c r="E102" s="72">
        <v>45867.0</v>
      </c>
      <c r="F102" s="58">
        <f>MONTH('COMPRAS 2025'!$E102)</f>
        <v>7</v>
      </c>
      <c r="G102" s="102">
        <v>405985.0</v>
      </c>
      <c r="H102" s="73" t="s">
        <v>28</v>
      </c>
      <c r="I102" s="73" t="s">
        <v>29</v>
      </c>
      <c r="J102" s="103">
        <v>72360.0</v>
      </c>
      <c r="K102" s="103">
        <v>13748.0</v>
      </c>
      <c r="L102" s="60">
        <f>'COMPRAS 2025'!$J102+'COMPRAS 2025'!$K102</f>
        <v>86108</v>
      </c>
      <c r="M102" s="61" t="s">
        <v>25</v>
      </c>
      <c r="N102" s="75"/>
      <c r="O102" s="63" t="s">
        <v>27</v>
      </c>
      <c r="P102" s="104"/>
    </row>
    <row r="103" ht="15.75" customHeight="1">
      <c r="A103" s="44">
        <f>'COMPRAS 2025'!$D103-TODAY()</f>
        <v>-151</v>
      </c>
      <c r="B103" s="77" t="s">
        <v>21</v>
      </c>
      <c r="C103" s="77" t="s">
        <v>22</v>
      </c>
      <c r="D103" s="78">
        <v>45897.0</v>
      </c>
      <c r="E103" s="78">
        <v>45867.0</v>
      </c>
      <c r="F103" s="47">
        <f>MONTH('COMPRAS 2025'!$E103)</f>
        <v>7</v>
      </c>
      <c r="G103" s="105">
        <v>405987.0</v>
      </c>
      <c r="H103" s="79" t="s">
        <v>28</v>
      </c>
      <c r="I103" s="79" t="s">
        <v>29</v>
      </c>
      <c r="J103" s="106">
        <v>17990.0</v>
      </c>
      <c r="K103" s="106">
        <v>3418.0</v>
      </c>
      <c r="L103" s="49">
        <f>'COMPRAS 2025'!$J103+'COMPRAS 2025'!$K103</f>
        <v>21408</v>
      </c>
      <c r="M103" s="50" t="s">
        <v>25</v>
      </c>
      <c r="N103" s="81"/>
      <c r="O103" s="52" t="s">
        <v>27</v>
      </c>
      <c r="P103" s="107"/>
    </row>
    <row r="104" ht="15.75" customHeight="1">
      <c r="A104" s="54">
        <f>'COMPRAS 2025'!$D104-TODAY()</f>
        <v>-151</v>
      </c>
      <c r="B104" s="84" t="s">
        <v>21</v>
      </c>
      <c r="C104" s="84" t="s">
        <v>22</v>
      </c>
      <c r="D104" s="72">
        <v>45897.0</v>
      </c>
      <c r="E104" s="72">
        <v>45867.0</v>
      </c>
      <c r="F104" s="58">
        <f>MONTH('COMPRAS 2025'!$E104)</f>
        <v>7</v>
      </c>
      <c r="G104" s="102">
        <v>405988.0</v>
      </c>
      <c r="H104" s="73" t="s">
        <v>28</v>
      </c>
      <c r="I104" s="73" t="s">
        <v>29</v>
      </c>
      <c r="J104" s="103">
        <v>64740.0</v>
      </c>
      <c r="K104" s="103">
        <v>12301.0</v>
      </c>
      <c r="L104" s="60">
        <f>'COMPRAS 2025'!$J104+'COMPRAS 2025'!$K104</f>
        <v>77041</v>
      </c>
      <c r="M104" s="61" t="s">
        <v>25</v>
      </c>
      <c r="N104" s="75"/>
      <c r="O104" s="63" t="s">
        <v>27</v>
      </c>
      <c r="P104" s="104"/>
    </row>
    <row r="105" ht="15.75" customHeight="1">
      <c r="A105" s="44">
        <f>'COMPRAS 2025'!$D105-TODAY()</f>
        <v>-145</v>
      </c>
      <c r="B105" s="77" t="s">
        <v>21</v>
      </c>
      <c r="C105" s="77" t="s">
        <v>22</v>
      </c>
      <c r="D105" s="78">
        <v>45903.0</v>
      </c>
      <c r="E105" s="78">
        <v>45873.0</v>
      </c>
      <c r="F105" s="47">
        <f>MONTH('COMPRAS 2025'!$E105)</f>
        <v>8</v>
      </c>
      <c r="G105" s="105">
        <v>406490.0</v>
      </c>
      <c r="H105" s="79" t="s">
        <v>28</v>
      </c>
      <c r="I105" s="79" t="s">
        <v>29</v>
      </c>
      <c r="J105" s="106">
        <v>38980.0</v>
      </c>
      <c r="K105" s="106">
        <v>7406.0</v>
      </c>
      <c r="L105" s="49">
        <f>'COMPRAS 2025'!$J105+'COMPRAS 2025'!$K105</f>
        <v>46386</v>
      </c>
      <c r="M105" s="50" t="s">
        <v>25</v>
      </c>
      <c r="N105" s="81"/>
      <c r="O105" s="52" t="s">
        <v>27</v>
      </c>
      <c r="P105" s="107"/>
    </row>
    <row r="106" ht="15.75" customHeight="1">
      <c r="A106" s="54">
        <f>'COMPRAS 2025'!$D106-TODAY()</f>
        <v>-145</v>
      </c>
      <c r="B106" s="84" t="s">
        <v>21</v>
      </c>
      <c r="C106" s="84" t="s">
        <v>22</v>
      </c>
      <c r="D106" s="72">
        <v>45903.0</v>
      </c>
      <c r="E106" s="72">
        <v>45873.0</v>
      </c>
      <c r="F106" s="58">
        <f>MONTH('COMPRAS 2025'!$E106)</f>
        <v>8</v>
      </c>
      <c r="G106" s="102">
        <v>406491.0</v>
      </c>
      <c r="H106" s="73" t="s">
        <v>28</v>
      </c>
      <c r="I106" s="73" t="s">
        <v>29</v>
      </c>
      <c r="J106" s="103">
        <v>87657.0</v>
      </c>
      <c r="K106" s="103">
        <v>16655.0</v>
      </c>
      <c r="L106" s="60">
        <f>'COMPRAS 2025'!$J106+'COMPRAS 2025'!$K106</f>
        <v>104312</v>
      </c>
      <c r="M106" s="61" t="s">
        <v>25</v>
      </c>
      <c r="N106" s="75"/>
      <c r="O106" s="63" t="s">
        <v>27</v>
      </c>
      <c r="P106" s="104"/>
    </row>
    <row r="107" ht="15.75" customHeight="1">
      <c r="A107" s="44">
        <f>'COMPRAS 2025'!$D107-TODAY()</f>
        <v>-145</v>
      </c>
      <c r="B107" s="77" t="s">
        <v>21</v>
      </c>
      <c r="C107" s="77" t="s">
        <v>22</v>
      </c>
      <c r="D107" s="78">
        <v>45903.0</v>
      </c>
      <c r="E107" s="78">
        <v>45873.0</v>
      </c>
      <c r="F107" s="47">
        <f>MONTH('COMPRAS 2025'!$E107)</f>
        <v>8</v>
      </c>
      <c r="G107" s="105">
        <v>406492.0</v>
      </c>
      <c r="H107" s="79" t="s">
        <v>28</v>
      </c>
      <c r="I107" s="79" t="s">
        <v>29</v>
      </c>
      <c r="J107" s="106">
        <v>9490.0</v>
      </c>
      <c r="K107" s="106">
        <v>1803.0</v>
      </c>
      <c r="L107" s="49">
        <f>'COMPRAS 2025'!$J107+'COMPRAS 2025'!$K107</f>
        <v>11293</v>
      </c>
      <c r="M107" s="50" t="s">
        <v>25</v>
      </c>
      <c r="N107" s="81"/>
      <c r="O107" s="52" t="s">
        <v>27</v>
      </c>
      <c r="P107" s="107"/>
    </row>
    <row r="108" ht="15.75" customHeight="1">
      <c r="A108" s="54">
        <f>'COMPRAS 2025'!$D108-TODAY()</f>
        <v>-138</v>
      </c>
      <c r="B108" s="84" t="s">
        <v>21</v>
      </c>
      <c r="C108" s="84" t="s">
        <v>49</v>
      </c>
      <c r="D108" s="72">
        <v>45910.0</v>
      </c>
      <c r="E108" s="72">
        <v>45880.0</v>
      </c>
      <c r="F108" s="58">
        <f>MONTH('COMPRAS 2025'!$E108)</f>
        <v>8</v>
      </c>
      <c r="G108" s="102">
        <v>407483.0</v>
      </c>
      <c r="H108" s="73" t="s">
        <v>28</v>
      </c>
      <c r="I108" s="73" t="s">
        <v>29</v>
      </c>
      <c r="J108" s="103">
        <v>114338.0</v>
      </c>
      <c r="K108" s="103">
        <v>21724.0</v>
      </c>
      <c r="L108" s="60">
        <f>'COMPRAS 2025'!$J108+'COMPRAS 2025'!$K108</f>
        <v>136062</v>
      </c>
      <c r="M108" s="61" t="s">
        <v>25</v>
      </c>
      <c r="N108" s="75"/>
      <c r="O108" s="63" t="s">
        <v>27</v>
      </c>
      <c r="P108" s="104"/>
    </row>
    <row r="109" ht="15.75" customHeight="1">
      <c r="A109" s="44">
        <f>'COMPRAS 2025'!$D109-TODAY()</f>
        <v>-138</v>
      </c>
      <c r="B109" s="77" t="s">
        <v>21</v>
      </c>
      <c r="C109" s="77" t="s">
        <v>49</v>
      </c>
      <c r="D109" s="78">
        <v>45910.0</v>
      </c>
      <c r="E109" s="78">
        <v>45880.0</v>
      </c>
      <c r="F109" s="47">
        <f>MONTH('COMPRAS 2025'!$E109)</f>
        <v>8</v>
      </c>
      <c r="G109" s="105">
        <v>407482.0</v>
      </c>
      <c r="H109" s="79" t="s">
        <v>28</v>
      </c>
      <c r="I109" s="79" t="s">
        <v>29</v>
      </c>
      <c r="J109" s="106">
        <v>186223.0</v>
      </c>
      <c r="K109" s="106">
        <v>35382.0</v>
      </c>
      <c r="L109" s="49">
        <f>'COMPRAS 2025'!$J109+'COMPRAS 2025'!$K109</f>
        <v>221605</v>
      </c>
      <c r="M109" s="50" t="s">
        <v>25</v>
      </c>
      <c r="N109" s="81"/>
      <c r="O109" s="52" t="s">
        <v>27</v>
      </c>
      <c r="P109" s="107"/>
    </row>
    <row r="110" ht="15.75" customHeight="1">
      <c r="A110" s="54">
        <f>'COMPRAS 2025'!$D110-TODAY()</f>
        <v>-137</v>
      </c>
      <c r="B110" s="84" t="s">
        <v>21</v>
      </c>
      <c r="C110" s="84" t="s">
        <v>49</v>
      </c>
      <c r="D110" s="72">
        <v>45911.0</v>
      </c>
      <c r="E110" s="72">
        <v>45881.0</v>
      </c>
      <c r="F110" s="58">
        <f>MONTH('COMPRAS 2025'!$E110)</f>
        <v>8</v>
      </c>
      <c r="G110" s="102">
        <v>103981.0</v>
      </c>
      <c r="H110" s="73" t="s">
        <v>64</v>
      </c>
      <c r="I110" s="73" t="s">
        <v>65</v>
      </c>
      <c r="J110" s="103">
        <v>82639.0</v>
      </c>
      <c r="K110" s="103">
        <v>15701.0</v>
      </c>
      <c r="L110" s="60">
        <f>'COMPRAS 2025'!$J110+'COMPRAS 2025'!$K110</f>
        <v>98340</v>
      </c>
      <c r="M110" s="61" t="s">
        <v>25</v>
      </c>
      <c r="N110" s="75"/>
      <c r="O110" s="63" t="s">
        <v>27</v>
      </c>
      <c r="P110" s="104"/>
    </row>
    <row r="111" ht="15.75" customHeight="1">
      <c r="A111" s="44">
        <f>'COMPRAS 2025'!$D111-TODAY()</f>
        <v>-129</v>
      </c>
      <c r="B111" s="77" t="s">
        <v>21</v>
      </c>
      <c r="C111" s="77" t="s">
        <v>22</v>
      </c>
      <c r="D111" s="78">
        <v>45919.0</v>
      </c>
      <c r="E111" s="78">
        <v>45889.0</v>
      </c>
      <c r="F111" s="47">
        <f>MONTH('COMPRAS 2025'!$E111)</f>
        <v>8</v>
      </c>
      <c r="G111" s="105">
        <v>52850.0</v>
      </c>
      <c r="H111" s="79" t="s">
        <v>41</v>
      </c>
      <c r="I111" s="79" t="s">
        <v>42</v>
      </c>
      <c r="J111" s="106">
        <v>131621.0</v>
      </c>
      <c r="K111" s="106">
        <v>25008.0</v>
      </c>
      <c r="L111" s="49">
        <f>'COMPRAS 2025'!$J111+'COMPRAS 2025'!$K111</f>
        <v>156629</v>
      </c>
      <c r="M111" s="50" t="s">
        <v>25</v>
      </c>
      <c r="N111" s="81"/>
      <c r="O111" s="52" t="s">
        <v>27</v>
      </c>
      <c r="P111" s="107"/>
    </row>
    <row r="112" ht="15.75" customHeight="1">
      <c r="A112" s="54">
        <f>'COMPRAS 2025'!$D112-TODAY()</f>
        <v>-153</v>
      </c>
      <c r="B112" s="84" t="s">
        <v>21</v>
      </c>
      <c r="C112" s="84" t="s">
        <v>22</v>
      </c>
      <c r="D112" s="72">
        <v>45895.0</v>
      </c>
      <c r="E112" s="72">
        <v>45895.0</v>
      </c>
      <c r="F112" s="58">
        <f>MONTH('COMPRAS 2025'!$E112)</f>
        <v>8</v>
      </c>
      <c r="G112" s="102">
        <v>17843.0</v>
      </c>
      <c r="H112" s="73">
        <v>1.67748139E8</v>
      </c>
      <c r="I112" s="73" t="s">
        <v>37</v>
      </c>
      <c r="J112" s="103">
        <v>5883.0</v>
      </c>
      <c r="K112" s="103">
        <v>1118.0</v>
      </c>
      <c r="L112" s="60">
        <f>'COMPRAS 2025'!$J112+'COMPRAS 2025'!$K112</f>
        <v>7001</v>
      </c>
      <c r="M112" s="61" t="s">
        <v>25</v>
      </c>
      <c r="N112" s="75" t="s">
        <v>26</v>
      </c>
      <c r="O112" s="63" t="s">
        <v>27</v>
      </c>
      <c r="P112" s="104"/>
    </row>
    <row r="113" ht="15.75" customHeight="1">
      <c r="A113" s="44">
        <f>'COMPRAS 2025'!$D113-TODAY()</f>
        <v>-120</v>
      </c>
      <c r="B113" s="77" t="s">
        <v>21</v>
      </c>
      <c r="C113" s="77" t="s">
        <v>49</v>
      </c>
      <c r="D113" s="78">
        <v>45928.0</v>
      </c>
      <c r="E113" s="78">
        <v>45898.0</v>
      </c>
      <c r="F113" s="47">
        <f>MONTH('COMPRAS 2025'!$E113)</f>
        <v>8</v>
      </c>
      <c r="G113" s="105">
        <v>2444615.0</v>
      </c>
      <c r="H113" s="79" t="s">
        <v>75</v>
      </c>
      <c r="I113" s="79" t="s">
        <v>76</v>
      </c>
      <c r="J113" s="106">
        <v>73896.0</v>
      </c>
      <c r="K113" s="106">
        <v>14040.0</v>
      </c>
      <c r="L113" s="49">
        <f>'COMPRAS 2025'!$J113+'COMPRAS 2025'!$K113</f>
        <v>87936</v>
      </c>
      <c r="M113" s="50" t="s">
        <v>25</v>
      </c>
      <c r="N113" s="81"/>
      <c r="O113" s="52" t="s">
        <v>27</v>
      </c>
      <c r="P113" s="107"/>
    </row>
    <row r="114" ht="15.75" customHeight="1">
      <c r="A114" s="54">
        <f>'COMPRAS 2025'!$D114-TODAY()</f>
        <v>-120</v>
      </c>
      <c r="B114" s="84" t="s">
        <v>21</v>
      </c>
      <c r="C114" s="84" t="s">
        <v>49</v>
      </c>
      <c r="D114" s="72">
        <v>45928.0</v>
      </c>
      <c r="E114" s="72">
        <v>45898.0</v>
      </c>
      <c r="F114" s="58">
        <f>MONTH('COMPRAS 2025'!$E114)</f>
        <v>8</v>
      </c>
      <c r="G114" s="102">
        <v>2444605.0</v>
      </c>
      <c r="H114" s="73" t="s">
        <v>75</v>
      </c>
      <c r="I114" s="73" t="s">
        <v>76</v>
      </c>
      <c r="J114" s="103">
        <v>94062.0</v>
      </c>
      <c r="K114" s="103">
        <v>17872.0</v>
      </c>
      <c r="L114" s="60">
        <f>'COMPRAS 2025'!$J114+'COMPRAS 2025'!$K114</f>
        <v>111934</v>
      </c>
      <c r="M114" s="61" t="s">
        <v>25</v>
      </c>
      <c r="N114" s="75"/>
      <c r="O114" s="63" t="s">
        <v>27</v>
      </c>
      <c r="P114" s="104"/>
    </row>
    <row r="115" ht="15.75" customHeight="1">
      <c r="A115" s="44">
        <f>'COMPRAS 2025'!$D115-TODAY()</f>
        <v>-115</v>
      </c>
      <c r="B115" s="77" t="s">
        <v>21</v>
      </c>
      <c r="C115" s="77" t="s">
        <v>22</v>
      </c>
      <c r="D115" s="78">
        <v>45933.0</v>
      </c>
      <c r="E115" s="78">
        <v>45903.0</v>
      </c>
      <c r="F115" s="47">
        <f>MONTH('COMPRAS 2025'!$E115)</f>
        <v>9</v>
      </c>
      <c r="G115" s="105">
        <v>11853.0</v>
      </c>
      <c r="H115" s="79" t="s">
        <v>62</v>
      </c>
      <c r="I115" s="79" t="s">
        <v>63</v>
      </c>
      <c r="J115" s="106">
        <v>90000.0</v>
      </c>
      <c r="K115" s="106">
        <v>17100.0</v>
      </c>
      <c r="L115" s="49">
        <f>'COMPRAS 2025'!$J115+'COMPRAS 2025'!$K115</f>
        <v>107100</v>
      </c>
      <c r="M115" s="50" t="s">
        <v>25</v>
      </c>
      <c r="N115" s="81"/>
      <c r="O115" s="52" t="s">
        <v>27</v>
      </c>
      <c r="P115" s="107"/>
    </row>
    <row r="116" ht="15.75" customHeight="1">
      <c r="A116" s="54">
        <f>'COMPRAS 2025'!$D116-TODAY()</f>
        <v>-108</v>
      </c>
      <c r="B116" s="84" t="s">
        <v>21</v>
      </c>
      <c r="C116" s="84" t="s">
        <v>49</v>
      </c>
      <c r="D116" s="72">
        <v>45940.0</v>
      </c>
      <c r="E116" s="72">
        <v>45910.0</v>
      </c>
      <c r="F116" s="58">
        <f>MONTH('COMPRAS 2025'!$E116)</f>
        <v>9</v>
      </c>
      <c r="G116" s="102">
        <v>2453233.0</v>
      </c>
      <c r="H116" s="73" t="s">
        <v>75</v>
      </c>
      <c r="I116" s="73" t="s">
        <v>76</v>
      </c>
      <c r="J116" s="103">
        <v>80451.0</v>
      </c>
      <c r="K116" s="103">
        <v>15286.0</v>
      </c>
      <c r="L116" s="60">
        <f>'COMPRAS 2025'!$J116+'COMPRAS 2025'!$K116</f>
        <v>95737</v>
      </c>
      <c r="M116" s="61" t="s">
        <v>25</v>
      </c>
      <c r="N116" s="75"/>
      <c r="O116" s="63" t="s">
        <v>27</v>
      </c>
      <c r="P116" s="104"/>
    </row>
    <row r="117" ht="15.75" customHeight="1">
      <c r="A117" s="44">
        <f>'COMPRAS 2025'!$D117-TODAY()</f>
        <v>-108</v>
      </c>
      <c r="B117" s="77" t="s">
        <v>21</v>
      </c>
      <c r="C117" s="77" t="s">
        <v>22</v>
      </c>
      <c r="D117" s="78">
        <v>45940.0</v>
      </c>
      <c r="E117" s="78">
        <v>45910.0</v>
      </c>
      <c r="F117" s="47">
        <f>MONTH('COMPRAS 2025'!$E117)</f>
        <v>9</v>
      </c>
      <c r="G117" s="105">
        <v>2453253.0</v>
      </c>
      <c r="H117" s="79" t="s">
        <v>75</v>
      </c>
      <c r="I117" s="79" t="s">
        <v>76</v>
      </c>
      <c r="J117" s="106">
        <v>31294.0</v>
      </c>
      <c r="K117" s="106">
        <v>5946.0</v>
      </c>
      <c r="L117" s="49">
        <f>'COMPRAS 2025'!$J117+'COMPRAS 2025'!$K117</f>
        <v>37240</v>
      </c>
      <c r="M117" s="50" t="s">
        <v>25</v>
      </c>
      <c r="N117" s="81"/>
      <c r="O117" s="52" t="s">
        <v>27</v>
      </c>
      <c r="P117" s="107"/>
    </row>
    <row r="118" ht="15.75" customHeight="1">
      <c r="A118" s="54">
        <f>'COMPRAS 2025'!$D118-TODAY()</f>
        <v>-92</v>
      </c>
      <c r="B118" s="84" t="s">
        <v>21</v>
      </c>
      <c r="C118" s="84" t="s">
        <v>49</v>
      </c>
      <c r="D118" s="72">
        <v>45956.0</v>
      </c>
      <c r="E118" s="72">
        <v>45926.0</v>
      </c>
      <c r="F118" s="58">
        <f>MONTH('COMPRAS 2025'!$E118)</f>
        <v>9</v>
      </c>
      <c r="G118" s="102">
        <v>2464103.0</v>
      </c>
      <c r="H118" s="73" t="s">
        <v>75</v>
      </c>
      <c r="I118" s="73" t="s">
        <v>76</v>
      </c>
      <c r="J118" s="103">
        <v>67649.0</v>
      </c>
      <c r="K118" s="103">
        <v>12853.0</v>
      </c>
      <c r="L118" s="60">
        <f>'COMPRAS 2025'!$J118+'COMPRAS 2025'!$K118</f>
        <v>80502</v>
      </c>
      <c r="M118" s="61" t="s">
        <v>25</v>
      </c>
      <c r="N118" s="75"/>
      <c r="O118" s="63" t="s">
        <v>27</v>
      </c>
      <c r="P118" s="104"/>
    </row>
    <row r="119" ht="15.75" customHeight="1">
      <c r="A119" s="44">
        <f>'COMPRAS 2025'!$D119-TODAY()</f>
        <v>-92</v>
      </c>
      <c r="B119" s="77" t="s">
        <v>21</v>
      </c>
      <c r="C119" s="77" t="s">
        <v>49</v>
      </c>
      <c r="D119" s="78">
        <v>45956.0</v>
      </c>
      <c r="E119" s="78">
        <v>45926.0</v>
      </c>
      <c r="F119" s="47">
        <f>MONTH('COMPRAS 2025'!$E119)</f>
        <v>9</v>
      </c>
      <c r="G119" s="105">
        <v>2464116.0</v>
      </c>
      <c r="H119" s="79" t="s">
        <v>75</v>
      </c>
      <c r="I119" s="79" t="s">
        <v>76</v>
      </c>
      <c r="J119" s="106">
        <v>9800.0</v>
      </c>
      <c r="K119" s="106">
        <v>1862.0</v>
      </c>
      <c r="L119" s="49">
        <f>'COMPRAS 2025'!$J119+'COMPRAS 2025'!$K119</f>
        <v>11662</v>
      </c>
      <c r="M119" s="50" t="s">
        <v>25</v>
      </c>
      <c r="N119" s="81"/>
      <c r="O119" s="52" t="s">
        <v>27</v>
      </c>
      <c r="P119" s="107"/>
    </row>
    <row r="120" ht="15.75" customHeight="1">
      <c r="A120" s="54">
        <f>'COMPRAS 2025'!$D120-TODAY()</f>
        <v>-92</v>
      </c>
      <c r="B120" s="84" t="s">
        <v>21</v>
      </c>
      <c r="C120" s="84" t="s">
        <v>49</v>
      </c>
      <c r="D120" s="72">
        <v>45956.0</v>
      </c>
      <c r="E120" s="72">
        <v>45926.0</v>
      </c>
      <c r="F120" s="58">
        <f>MONTH('COMPRAS 2025'!$E120)</f>
        <v>9</v>
      </c>
      <c r="G120" s="102">
        <v>2464106.0</v>
      </c>
      <c r="H120" s="73" t="s">
        <v>75</v>
      </c>
      <c r="I120" s="73" t="s">
        <v>76</v>
      </c>
      <c r="J120" s="103">
        <v>40448.0</v>
      </c>
      <c r="K120" s="103">
        <v>7685.0</v>
      </c>
      <c r="L120" s="60">
        <f>'COMPRAS 2025'!$J120+'COMPRAS 2025'!$K120</f>
        <v>48133</v>
      </c>
      <c r="M120" s="61" t="s">
        <v>25</v>
      </c>
      <c r="N120" s="75"/>
      <c r="O120" s="63" t="s">
        <v>27</v>
      </c>
      <c r="P120" s="104"/>
    </row>
    <row r="121" ht="15.75" customHeight="1">
      <c r="A121" s="44">
        <f>'COMPRAS 2025'!$D121-TODAY()</f>
        <v>-74</v>
      </c>
      <c r="B121" s="77" t="s">
        <v>21</v>
      </c>
      <c r="C121" s="77" t="s">
        <v>22</v>
      </c>
      <c r="D121" s="78">
        <v>45974.0</v>
      </c>
      <c r="E121" s="78">
        <v>45944.0</v>
      </c>
      <c r="F121" s="47">
        <f>MONTH('COMPRAS 2025'!$E121)</f>
        <v>10</v>
      </c>
      <c r="G121" s="105">
        <v>415842.0</v>
      </c>
      <c r="H121" s="79" t="s">
        <v>28</v>
      </c>
      <c r="I121" s="79" t="s">
        <v>29</v>
      </c>
      <c r="J121" s="106">
        <v>23990.0</v>
      </c>
      <c r="K121" s="106">
        <v>4558.0</v>
      </c>
      <c r="L121" s="49">
        <f>'COMPRAS 2025'!$J121+'COMPRAS 2025'!$K121</f>
        <v>28548</v>
      </c>
      <c r="M121" s="50" t="s">
        <v>25</v>
      </c>
      <c r="N121" s="81"/>
      <c r="O121" s="52" t="s">
        <v>27</v>
      </c>
      <c r="P121" s="107"/>
    </row>
    <row r="122" ht="15.75" customHeight="1">
      <c r="A122" s="54">
        <f>'COMPRAS 2025'!$D122-TODAY()</f>
        <v>-74</v>
      </c>
      <c r="B122" s="84" t="s">
        <v>21</v>
      </c>
      <c r="C122" s="84" t="s">
        <v>22</v>
      </c>
      <c r="D122" s="72">
        <v>45974.0</v>
      </c>
      <c r="E122" s="72">
        <v>45944.0</v>
      </c>
      <c r="F122" s="58">
        <f>MONTH('COMPRAS 2025'!$E122)</f>
        <v>10</v>
      </c>
      <c r="G122" s="102">
        <v>415761.0</v>
      </c>
      <c r="H122" s="73" t="s">
        <v>28</v>
      </c>
      <c r="I122" s="73" t="s">
        <v>29</v>
      </c>
      <c r="J122" s="103">
        <v>100940.0</v>
      </c>
      <c r="K122" s="103">
        <v>19179.0</v>
      </c>
      <c r="L122" s="60">
        <f>'COMPRAS 2025'!$J122+'COMPRAS 2025'!$K122</f>
        <v>120119</v>
      </c>
      <c r="M122" s="61" t="s">
        <v>25</v>
      </c>
      <c r="N122" s="75"/>
      <c r="O122" s="63" t="s">
        <v>27</v>
      </c>
      <c r="P122" s="104"/>
    </row>
    <row r="123" ht="15.75" customHeight="1">
      <c r="A123" s="44">
        <f>'COMPRAS 2025'!$D123-TODAY()</f>
        <v>-74</v>
      </c>
      <c r="B123" s="77" t="s">
        <v>21</v>
      </c>
      <c r="C123" s="77" t="s">
        <v>22</v>
      </c>
      <c r="D123" s="78">
        <v>45974.0</v>
      </c>
      <c r="E123" s="78">
        <v>45944.0</v>
      </c>
      <c r="F123" s="47">
        <f>MONTH('COMPRAS 2025'!$E123)</f>
        <v>10</v>
      </c>
      <c r="G123" s="105">
        <v>415843.0</v>
      </c>
      <c r="H123" s="79" t="s">
        <v>28</v>
      </c>
      <c r="I123" s="79" t="s">
        <v>29</v>
      </c>
      <c r="J123" s="106">
        <v>70230.0</v>
      </c>
      <c r="K123" s="106">
        <v>13344.0</v>
      </c>
      <c r="L123" s="49">
        <f>'COMPRAS 2025'!$J123+'COMPRAS 2025'!$K123</f>
        <v>83574</v>
      </c>
      <c r="M123" s="50" t="s">
        <v>25</v>
      </c>
      <c r="N123" s="81"/>
      <c r="O123" s="52" t="s">
        <v>27</v>
      </c>
      <c r="P123" s="107"/>
    </row>
    <row r="124" ht="15.75" customHeight="1">
      <c r="A124" s="54">
        <f>'COMPRAS 2025'!$D124-TODAY()</f>
        <v>-68</v>
      </c>
      <c r="B124" s="84" t="s">
        <v>21</v>
      </c>
      <c r="C124" s="84" t="s">
        <v>22</v>
      </c>
      <c r="D124" s="72">
        <v>45980.0</v>
      </c>
      <c r="E124" s="72">
        <v>45950.0</v>
      </c>
      <c r="F124" s="58">
        <f>MONTH('COMPRAS 2025'!$E124)</f>
        <v>10</v>
      </c>
      <c r="G124" s="102">
        <v>12128.0</v>
      </c>
      <c r="H124" s="73" t="s">
        <v>62</v>
      </c>
      <c r="I124" s="73" t="s">
        <v>63</v>
      </c>
      <c r="J124" s="103">
        <v>95000.0</v>
      </c>
      <c r="K124" s="103">
        <v>18050.0</v>
      </c>
      <c r="L124" s="60">
        <f>'COMPRAS 2025'!$J124+'COMPRAS 2025'!$K124</f>
        <v>113050</v>
      </c>
      <c r="M124" s="61" t="s">
        <v>25</v>
      </c>
      <c r="N124" s="75"/>
      <c r="O124" s="63" t="s">
        <v>27</v>
      </c>
      <c r="P124" s="104"/>
    </row>
    <row r="125" ht="15.75" customHeight="1">
      <c r="A125" s="44">
        <f>'COMPRAS 2025'!$D125-TODAY()</f>
        <v>-95</v>
      </c>
      <c r="B125" s="77" t="s">
        <v>21</v>
      </c>
      <c r="C125" s="77" t="s">
        <v>49</v>
      </c>
      <c r="D125" s="78">
        <v>45953.0</v>
      </c>
      <c r="E125" s="78">
        <v>45953.0</v>
      </c>
      <c r="F125" s="47">
        <f>MONTH('COMPRAS 2025'!$E125)</f>
        <v>10</v>
      </c>
      <c r="G125" s="105">
        <v>48043.0</v>
      </c>
      <c r="H125" s="79" t="s">
        <v>50</v>
      </c>
      <c r="I125" s="79" t="s">
        <v>51</v>
      </c>
      <c r="J125" s="106">
        <v>39220.0</v>
      </c>
      <c r="K125" s="106">
        <v>7452.0</v>
      </c>
      <c r="L125" s="49">
        <f>'COMPRAS 2025'!$J125+'COMPRAS 2025'!$K125</f>
        <v>46672</v>
      </c>
      <c r="M125" s="50" t="s">
        <v>25</v>
      </c>
      <c r="N125" s="81" t="s">
        <v>79</v>
      </c>
      <c r="O125" s="52" t="s">
        <v>27</v>
      </c>
      <c r="P125" s="107"/>
    </row>
    <row r="126" ht="15.75" customHeight="1">
      <c r="A126" s="54">
        <f>'COMPRAS 2025'!$D126-TODAY()</f>
        <v>-58</v>
      </c>
      <c r="B126" s="84" t="s">
        <v>21</v>
      </c>
      <c r="C126" s="84" t="s">
        <v>49</v>
      </c>
      <c r="D126" s="72">
        <v>45990.0</v>
      </c>
      <c r="E126" s="72">
        <v>45960.0</v>
      </c>
      <c r="F126" s="58">
        <f>MONTH('COMPRAS 2025'!$E126)</f>
        <v>10</v>
      </c>
      <c r="G126" s="102">
        <v>106287.0</v>
      </c>
      <c r="H126" s="73" t="s">
        <v>64</v>
      </c>
      <c r="I126" s="73" t="s">
        <v>65</v>
      </c>
      <c r="J126" s="103">
        <v>123560.0</v>
      </c>
      <c r="K126" s="103">
        <v>23476.0</v>
      </c>
      <c r="L126" s="60">
        <f>'COMPRAS 2025'!$J126+'COMPRAS 2025'!$K126</f>
        <v>147036</v>
      </c>
      <c r="M126" s="61" t="s">
        <v>25</v>
      </c>
      <c r="N126" s="75"/>
      <c r="O126" s="63" t="s">
        <v>27</v>
      </c>
      <c r="P126" s="104"/>
    </row>
    <row r="127" ht="15.75" customHeight="1">
      <c r="A127" s="44">
        <f>'COMPRAS 2025'!$D127-TODAY()</f>
        <v>-54</v>
      </c>
      <c r="B127" s="77" t="s">
        <v>21</v>
      </c>
      <c r="C127" s="77" t="s">
        <v>22</v>
      </c>
      <c r="D127" s="78">
        <v>45994.0</v>
      </c>
      <c r="E127" s="78">
        <v>45964.0</v>
      </c>
      <c r="F127" s="47">
        <f>MONTH('COMPRAS 2025'!$E127)</f>
        <v>11</v>
      </c>
      <c r="G127" s="105">
        <v>418297.0</v>
      </c>
      <c r="H127" s="79" t="s">
        <v>28</v>
      </c>
      <c r="I127" s="79" t="s">
        <v>29</v>
      </c>
      <c r="J127" s="106">
        <v>49790.0</v>
      </c>
      <c r="K127" s="106">
        <v>9460.0</v>
      </c>
      <c r="L127" s="49">
        <f>'COMPRAS 2025'!$J127+'COMPRAS 2025'!$K127</f>
        <v>59250</v>
      </c>
      <c r="M127" s="50" t="s">
        <v>25</v>
      </c>
      <c r="N127" s="81"/>
      <c r="O127" s="52" t="s">
        <v>27</v>
      </c>
      <c r="P127" s="107"/>
    </row>
    <row r="128" ht="15.75" customHeight="1">
      <c r="A128" s="54">
        <f>'COMPRAS 2025'!$D128-TODAY()</f>
        <v>-54</v>
      </c>
      <c r="B128" s="84" t="s">
        <v>21</v>
      </c>
      <c r="C128" s="84" t="s">
        <v>49</v>
      </c>
      <c r="D128" s="72">
        <v>45994.0</v>
      </c>
      <c r="E128" s="72">
        <v>45964.0</v>
      </c>
      <c r="F128" s="58">
        <f>MONTH('COMPRAS 2025'!$E128)</f>
        <v>11</v>
      </c>
      <c r="G128" s="102">
        <v>418316.0</v>
      </c>
      <c r="H128" s="73" t="s">
        <v>28</v>
      </c>
      <c r="I128" s="73" t="s">
        <v>29</v>
      </c>
      <c r="J128" s="103">
        <v>240995.0</v>
      </c>
      <c r="K128" s="103">
        <v>45789.0</v>
      </c>
      <c r="L128" s="60">
        <f>'COMPRAS 2025'!$J128+'COMPRAS 2025'!$K128</f>
        <v>286784</v>
      </c>
      <c r="M128" s="61" t="s">
        <v>25</v>
      </c>
      <c r="N128" s="75"/>
      <c r="O128" s="63" t="s">
        <v>27</v>
      </c>
      <c r="P128" s="104"/>
    </row>
    <row r="129" ht="15.75" customHeight="1">
      <c r="A129" s="44">
        <f>'COMPRAS 2025'!$D129-TODAY()</f>
        <v>-54</v>
      </c>
      <c r="B129" s="77" t="s">
        <v>21</v>
      </c>
      <c r="C129" s="77" t="s">
        <v>22</v>
      </c>
      <c r="D129" s="78">
        <v>45994.0</v>
      </c>
      <c r="E129" s="78">
        <v>45964.0</v>
      </c>
      <c r="F129" s="47">
        <f>MONTH('COMPRAS 2025'!$E129)</f>
        <v>11</v>
      </c>
      <c r="G129" s="105">
        <v>418296.0</v>
      </c>
      <c r="H129" s="79" t="s">
        <v>28</v>
      </c>
      <c r="I129" s="79" t="s">
        <v>29</v>
      </c>
      <c r="J129" s="106">
        <v>51476.0</v>
      </c>
      <c r="K129" s="106">
        <v>9780.0</v>
      </c>
      <c r="L129" s="49">
        <f>'COMPRAS 2025'!$J129+'COMPRAS 2025'!$K129</f>
        <v>61256</v>
      </c>
      <c r="M129" s="50" t="s">
        <v>25</v>
      </c>
      <c r="N129" s="81"/>
      <c r="O129" s="52" t="s">
        <v>27</v>
      </c>
      <c r="P129" s="107"/>
    </row>
    <row r="130" ht="15.75" customHeight="1">
      <c r="A130" s="54">
        <f>'COMPRAS 2025'!$D130-TODAY()</f>
        <v>-46</v>
      </c>
      <c r="B130" s="84" t="s">
        <v>21</v>
      </c>
      <c r="C130" s="84" t="s">
        <v>49</v>
      </c>
      <c r="D130" s="72">
        <v>46002.0</v>
      </c>
      <c r="E130" s="72">
        <v>45972.0</v>
      </c>
      <c r="F130" s="58">
        <f>MONTH('COMPRAS 2025'!$E130)</f>
        <v>11</v>
      </c>
      <c r="G130" s="102">
        <v>3.8882976E7</v>
      </c>
      <c r="H130" s="73" t="s">
        <v>80</v>
      </c>
      <c r="I130" s="73" t="s">
        <v>81</v>
      </c>
      <c r="J130" s="103">
        <v>148232.0</v>
      </c>
      <c r="K130" s="103">
        <v>28164.0</v>
      </c>
      <c r="L130" s="60">
        <f>'COMPRAS 2025'!$J130+'COMPRAS 2025'!$K130</f>
        <v>176396</v>
      </c>
      <c r="M130" s="61" t="s">
        <v>25</v>
      </c>
      <c r="N130" s="75"/>
      <c r="O130" s="63" t="s">
        <v>27</v>
      </c>
      <c r="P130" s="104"/>
    </row>
    <row r="131" ht="15.75" customHeight="1">
      <c r="A131" s="44">
        <f>'COMPRAS 2025'!$D131-TODAY()</f>
        <v>-80</v>
      </c>
      <c r="B131" s="77" t="s">
        <v>21</v>
      </c>
      <c r="C131" s="77" t="s">
        <v>49</v>
      </c>
      <c r="D131" s="78">
        <v>45968.0</v>
      </c>
      <c r="E131" s="78">
        <v>45968.0</v>
      </c>
      <c r="F131" s="47">
        <f>MONTH('COMPRAS 2025'!$E131)</f>
        <v>11</v>
      </c>
      <c r="G131" s="105">
        <v>231976.0</v>
      </c>
      <c r="H131" s="79" t="s">
        <v>82</v>
      </c>
      <c r="I131" s="79" t="s">
        <v>83</v>
      </c>
      <c r="J131" s="106">
        <v>152191.0</v>
      </c>
      <c r="K131" s="106">
        <v>28916.0</v>
      </c>
      <c r="L131" s="49">
        <f>'COMPRAS 2025'!$J131+'COMPRAS 2025'!$K131</f>
        <v>181107</v>
      </c>
      <c r="M131" s="50" t="s">
        <v>25</v>
      </c>
      <c r="N131" s="81"/>
      <c r="O131" s="52" t="s">
        <v>27</v>
      </c>
      <c r="P131" s="107"/>
    </row>
    <row r="132" ht="15.75" customHeight="1">
      <c r="A132" s="54">
        <f>'COMPRAS 2025'!$D132-TODAY()</f>
        <v>-75</v>
      </c>
      <c r="B132" s="84" t="s">
        <v>21</v>
      </c>
      <c r="C132" s="84" t="s">
        <v>49</v>
      </c>
      <c r="D132" s="72">
        <v>45973.0</v>
      </c>
      <c r="E132" s="72">
        <v>45973.0</v>
      </c>
      <c r="F132" s="58">
        <f>MONTH('COMPRAS 2025'!$E132)</f>
        <v>11</v>
      </c>
      <c r="G132" s="102">
        <v>2501515.0</v>
      </c>
      <c r="H132" s="73" t="s">
        <v>75</v>
      </c>
      <c r="I132" s="73" t="s">
        <v>76</v>
      </c>
      <c r="J132" s="103">
        <v>100892.0</v>
      </c>
      <c r="K132" s="103">
        <v>19169.0</v>
      </c>
      <c r="L132" s="60">
        <f>'COMPRAS 2025'!$J132+'COMPRAS 2025'!$K132</f>
        <v>120061</v>
      </c>
      <c r="M132" s="61" t="s">
        <v>25</v>
      </c>
      <c r="N132" s="75"/>
      <c r="O132" s="63" t="s">
        <v>27</v>
      </c>
      <c r="P132" s="104"/>
    </row>
    <row r="133" ht="15.75" customHeight="1">
      <c r="A133" s="44">
        <f>'COMPRAS 2025'!$D133-TODAY()</f>
        <v>-44</v>
      </c>
      <c r="B133" s="77" t="s">
        <v>21</v>
      </c>
      <c r="C133" s="77" t="s">
        <v>22</v>
      </c>
      <c r="D133" s="78">
        <v>46004.0</v>
      </c>
      <c r="E133" s="78">
        <v>45974.0</v>
      </c>
      <c r="F133" s="47">
        <f>MONTH('COMPRAS 2025'!$E133)</f>
        <v>11</v>
      </c>
      <c r="G133" s="105">
        <v>419977.0</v>
      </c>
      <c r="H133" s="79" t="s">
        <v>28</v>
      </c>
      <c r="I133" s="79" t="s">
        <v>29</v>
      </c>
      <c r="J133" s="106">
        <v>101367.0</v>
      </c>
      <c r="K133" s="106">
        <v>19260.0</v>
      </c>
      <c r="L133" s="49">
        <f>'COMPRAS 2025'!$J133+'COMPRAS 2025'!$K133</f>
        <v>120627</v>
      </c>
      <c r="M133" s="50" t="s">
        <v>25</v>
      </c>
      <c r="N133" s="81"/>
      <c r="O133" s="52" t="s">
        <v>27</v>
      </c>
      <c r="P133" s="107"/>
    </row>
    <row r="134" ht="15.75" customHeight="1">
      <c r="A134" s="54">
        <f>'COMPRAS 2025'!$D134-TODAY()</f>
        <v>-51</v>
      </c>
      <c r="B134" s="84" t="s">
        <v>21</v>
      </c>
      <c r="C134" s="84" t="s">
        <v>22</v>
      </c>
      <c r="D134" s="72">
        <v>45997.0</v>
      </c>
      <c r="E134" s="72">
        <v>45967.0</v>
      </c>
      <c r="F134" s="58">
        <f>MONTH('COMPRAS 2025'!$E134)</f>
        <v>11</v>
      </c>
      <c r="G134" s="102">
        <v>118448.0</v>
      </c>
      <c r="H134" s="73" t="s">
        <v>60</v>
      </c>
      <c r="I134" s="73" t="s">
        <v>61</v>
      </c>
      <c r="J134" s="103">
        <v>181400.0</v>
      </c>
      <c r="K134" s="103">
        <v>34466.0</v>
      </c>
      <c r="L134" s="60">
        <f>'COMPRAS 2025'!$J134+'COMPRAS 2025'!$K134</f>
        <v>215866</v>
      </c>
      <c r="M134" s="61" t="s">
        <v>25</v>
      </c>
      <c r="N134" s="75"/>
      <c r="O134" s="63" t="s">
        <v>27</v>
      </c>
      <c r="P134" s="104"/>
    </row>
    <row r="135" ht="15.75" customHeight="1">
      <c r="A135" s="44">
        <f>'COMPRAS 2025'!$D135-TODAY()</f>
        <v>-44</v>
      </c>
      <c r="B135" s="77" t="s">
        <v>21</v>
      </c>
      <c r="C135" s="77" t="s">
        <v>49</v>
      </c>
      <c r="D135" s="78">
        <v>46004.0</v>
      </c>
      <c r="E135" s="78">
        <v>45974.0</v>
      </c>
      <c r="F135" s="47">
        <f>MONTH('COMPRAS 2025'!$E135)</f>
        <v>11</v>
      </c>
      <c r="G135" s="105">
        <v>419898.0</v>
      </c>
      <c r="H135" s="79" t="s">
        <v>28</v>
      </c>
      <c r="I135" s="79" t="s">
        <v>29</v>
      </c>
      <c r="J135" s="106">
        <v>100135.0</v>
      </c>
      <c r="K135" s="106">
        <v>19026.0</v>
      </c>
      <c r="L135" s="49">
        <f>'COMPRAS 2025'!$J135+'COMPRAS 2025'!$K135</f>
        <v>119161</v>
      </c>
      <c r="M135" s="50" t="s">
        <v>25</v>
      </c>
      <c r="N135" s="81"/>
      <c r="O135" s="52" t="s">
        <v>27</v>
      </c>
      <c r="P135" s="107"/>
    </row>
    <row r="136" ht="15.75" customHeight="1">
      <c r="A136" s="54">
        <f>'COMPRAS 2025'!$D136-TODAY()</f>
        <v>-32</v>
      </c>
      <c r="B136" s="84" t="s">
        <v>21</v>
      </c>
      <c r="C136" s="84" t="s">
        <v>22</v>
      </c>
      <c r="D136" s="72">
        <v>46016.0</v>
      </c>
      <c r="E136" s="72">
        <v>45986.0</v>
      </c>
      <c r="F136" s="58">
        <f>MONTH('COMPRAS 2025'!$E136)</f>
        <v>11</v>
      </c>
      <c r="G136" s="102">
        <v>421426.0</v>
      </c>
      <c r="H136" s="73">
        <v>7.60809829E8</v>
      </c>
      <c r="I136" s="73" t="s">
        <v>29</v>
      </c>
      <c r="J136" s="103">
        <v>64700.0</v>
      </c>
      <c r="K136" s="103">
        <v>12293.0</v>
      </c>
      <c r="L136" s="60">
        <f>'COMPRAS 2025'!$J136+'COMPRAS 2025'!$K136</f>
        <v>76993</v>
      </c>
      <c r="M136" s="61" t="s">
        <v>25</v>
      </c>
      <c r="N136" s="75"/>
      <c r="O136" s="63" t="s">
        <v>27</v>
      </c>
      <c r="P136" s="104"/>
    </row>
    <row r="137" ht="15.75" customHeight="1">
      <c r="A137" s="44">
        <f>'COMPRAS 2025'!$D137-TODAY()</f>
        <v>-32</v>
      </c>
      <c r="B137" s="77" t="s">
        <v>21</v>
      </c>
      <c r="C137" s="77" t="s">
        <v>22</v>
      </c>
      <c r="D137" s="78">
        <v>46016.0</v>
      </c>
      <c r="E137" s="78">
        <v>45986.0</v>
      </c>
      <c r="F137" s="47">
        <f>MONTH('COMPRAS 2025'!$E137)</f>
        <v>11</v>
      </c>
      <c r="G137" s="105">
        <v>421427.0</v>
      </c>
      <c r="H137" s="79">
        <v>7.60809829E8</v>
      </c>
      <c r="I137" s="79" t="s">
        <v>29</v>
      </c>
      <c r="J137" s="106">
        <v>14390.0</v>
      </c>
      <c r="K137" s="106">
        <v>2734.0</v>
      </c>
      <c r="L137" s="49">
        <f>'COMPRAS 2025'!$J137+'COMPRAS 2025'!$K137</f>
        <v>17124</v>
      </c>
      <c r="M137" s="50" t="s">
        <v>25</v>
      </c>
      <c r="N137" s="81"/>
      <c r="O137" s="52" t="s">
        <v>27</v>
      </c>
      <c r="P137" s="107"/>
    </row>
    <row r="138" ht="15.75" customHeight="1">
      <c r="A138" s="54">
        <f>'COMPRAS 2025'!$D138-TODAY()</f>
        <v>-32</v>
      </c>
      <c r="B138" s="84" t="s">
        <v>21</v>
      </c>
      <c r="C138" s="84" t="s">
        <v>22</v>
      </c>
      <c r="D138" s="72">
        <v>46016.0</v>
      </c>
      <c r="E138" s="72">
        <v>45986.0</v>
      </c>
      <c r="F138" s="58">
        <f>MONTH('COMPRAS 2025'!$E138)</f>
        <v>11</v>
      </c>
      <c r="G138" s="102">
        <v>421428.0</v>
      </c>
      <c r="H138" s="73">
        <v>7.60809829E8</v>
      </c>
      <c r="I138" s="73" t="s">
        <v>29</v>
      </c>
      <c r="J138" s="103">
        <v>51369.0</v>
      </c>
      <c r="K138" s="103">
        <v>9760.0</v>
      </c>
      <c r="L138" s="60">
        <f>'COMPRAS 2025'!$J138+'COMPRAS 2025'!$K138</f>
        <v>61129</v>
      </c>
      <c r="M138" s="61" t="s">
        <v>25</v>
      </c>
      <c r="N138" s="75"/>
      <c r="O138" s="63" t="s">
        <v>27</v>
      </c>
      <c r="P138" s="104"/>
    </row>
    <row r="139" ht="15.75" customHeight="1">
      <c r="A139" s="44">
        <f>'COMPRAS 2025'!$D139-TODAY()</f>
        <v>-25</v>
      </c>
      <c r="B139" s="77" t="s">
        <v>21</v>
      </c>
      <c r="C139" s="77" t="s">
        <v>49</v>
      </c>
      <c r="D139" s="78">
        <v>46023.0</v>
      </c>
      <c r="E139" s="78">
        <v>45993.0</v>
      </c>
      <c r="F139" s="47">
        <f>MONTH('COMPRAS 2025'!$E139)</f>
        <v>12</v>
      </c>
      <c r="G139" s="105">
        <v>422544.0</v>
      </c>
      <c r="H139" s="79" t="s">
        <v>28</v>
      </c>
      <c r="I139" s="79" t="s">
        <v>29</v>
      </c>
      <c r="J139" s="106">
        <v>102950.0</v>
      </c>
      <c r="K139" s="106">
        <v>19561.0</v>
      </c>
      <c r="L139" s="49">
        <f>'COMPRAS 2025'!$J139+'COMPRAS 2025'!$K139</f>
        <v>122511</v>
      </c>
      <c r="M139" s="50" t="s">
        <v>25</v>
      </c>
      <c r="N139" s="81"/>
      <c r="O139" s="52" t="s">
        <v>27</v>
      </c>
      <c r="P139" s="107"/>
    </row>
    <row r="140" ht="15.75" customHeight="1">
      <c r="A140" s="54">
        <f>'COMPRAS 2025'!$D140-TODAY()</f>
        <v>-18</v>
      </c>
      <c r="B140" s="84" t="s">
        <v>21</v>
      </c>
      <c r="C140" s="84" t="s">
        <v>22</v>
      </c>
      <c r="D140" s="72">
        <v>46030.0</v>
      </c>
      <c r="E140" s="72">
        <v>46000.0</v>
      </c>
      <c r="F140" s="58">
        <f>MONTH('COMPRAS 2025'!$E140)</f>
        <v>12</v>
      </c>
      <c r="G140" s="102">
        <v>423204.0</v>
      </c>
      <c r="H140" s="73" t="s">
        <v>28</v>
      </c>
      <c r="I140" s="73" t="s">
        <v>29</v>
      </c>
      <c r="J140" s="103">
        <v>154036.0</v>
      </c>
      <c r="K140" s="103">
        <v>29267.0</v>
      </c>
      <c r="L140" s="60">
        <f>'COMPRAS 2025'!$J140+'COMPRAS 2025'!$K140</f>
        <v>183303</v>
      </c>
      <c r="M140" s="61" t="s">
        <v>25</v>
      </c>
      <c r="N140" s="75"/>
      <c r="O140" s="63" t="s">
        <v>27</v>
      </c>
      <c r="P140" s="104"/>
    </row>
    <row r="141" ht="15.75" customHeight="1">
      <c r="A141" s="44">
        <f>'COMPRAS 2025'!$D141-TODAY()</f>
        <v>-56</v>
      </c>
      <c r="B141" s="77" t="s">
        <v>21</v>
      </c>
      <c r="C141" s="77" t="s">
        <v>22</v>
      </c>
      <c r="D141" s="78">
        <v>45992.0</v>
      </c>
      <c r="E141" s="78">
        <v>45992.0</v>
      </c>
      <c r="F141" s="47">
        <f>MONTH('COMPRAS 2025'!$E141)</f>
        <v>12</v>
      </c>
      <c r="G141" s="105">
        <v>244360.0</v>
      </c>
      <c r="H141" s="79" t="s">
        <v>33</v>
      </c>
      <c r="I141" s="79" t="s">
        <v>34</v>
      </c>
      <c r="J141" s="106">
        <v>9244.0</v>
      </c>
      <c r="K141" s="106">
        <v>1756.0</v>
      </c>
      <c r="L141" s="49">
        <f>'COMPRAS 2025'!$J141+'COMPRAS 2025'!$K141</f>
        <v>11000</v>
      </c>
      <c r="M141" s="50" t="s">
        <v>25</v>
      </c>
      <c r="N141" s="81" t="s">
        <v>35</v>
      </c>
      <c r="O141" s="52" t="s">
        <v>27</v>
      </c>
      <c r="P141" s="107"/>
    </row>
    <row r="142" ht="15.75" customHeight="1">
      <c r="A142" s="54">
        <f>'COMPRAS 2025'!$D142-TODAY()</f>
        <v>-56</v>
      </c>
      <c r="B142" s="84" t="s">
        <v>21</v>
      </c>
      <c r="C142" s="84" t="s">
        <v>22</v>
      </c>
      <c r="D142" s="72">
        <v>45992.0</v>
      </c>
      <c r="E142" s="72">
        <v>45992.0</v>
      </c>
      <c r="F142" s="58">
        <f>MONTH('COMPRAS 2025'!$E142)</f>
        <v>12</v>
      </c>
      <c r="G142" s="102">
        <v>18440.0</v>
      </c>
      <c r="H142" s="73" t="s">
        <v>36</v>
      </c>
      <c r="I142" s="73" t="s">
        <v>84</v>
      </c>
      <c r="J142" s="103">
        <v>21008.0</v>
      </c>
      <c r="K142" s="103">
        <v>3992.0</v>
      </c>
      <c r="L142" s="60">
        <f>'COMPRAS 2025'!$J142+'COMPRAS 2025'!$K142</f>
        <v>25000</v>
      </c>
      <c r="M142" s="61" t="s">
        <v>25</v>
      </c>
      <c r="N142" s="75" t="s">
        <v>35</v>
      </c>
      <c r="O142" s="63" t="s">
        <v>27</v>
      </c>
      <c r="P142" s="104"/>
    </row>
    <row r="143" ht="15.75" customHeight="1">
      <c r="A143" s="44">
        <f>'COMPRAS 2025'!$D143-TODAY()</f>
        <v>-373</v>
      </c>
      <c r="B143" s="77" t="s">
        <v>21</v>
      </c>
      <c r="C143" s="77" t="s">
        <v>22</v>
      </c>
      <c r="D143" s="78">
        <v>45675.0</v>
      </c>
      <c r="E143" s="78">
        <v>46010.0</v>
      </c>
      <c r="F143" s="47">
        <f>MONTH('COMPRAS 2025'!$E143)</f>
        <v>12</v>
      </c>
      <c r="G143" s="105">
        <v>424958.0</v>
      </c>
      <c r="H143" s="79" t="s">
        <v>28</v>
      </c>
      <c r="I143" s="79" t="s">
        <v>29</v>
      </c>
      <c r="J143" s="106">
        <v>16900.0</v>
      </c>
      <c r="K143" s="106">
        <v>3211.0</v>
      </c>
      <c r="L143" s="49">
        <f>'COMPRAS 2025'!$J143+'COMPRAS 2025'!$K143</f>
        <v>20111</v>
      </c>
      <c r="M143" s="50" t="s">
        <v>25</v>
      </c>
      <c r="N143" s="81"/>
      <c r="O143" s="52" t="s">
        <v>27</v>
      </c>
      <c r="P143" s="107"/>
    </row>
    <row r="144" ht="15.75" customHeight="1">
      <c r="A144" s="54">
        <f>'COMPRAS 2025'!$D144-TODAY()</f>
        <v>-373</v>
      </c>
      <c r="B144" s="84" t="s">
        <v>21</v>
      </c>
      <c r="C144" s="84" t="s">
        <v>22</v>
      </c>
      <c r="D144" s="72">
        <v>45675.0</v>
      </c>
      <c r="E144" s="72">
        <v>46010.0</v>
      </c>
      <c r="F144" s="58">
        <f>MONTH('COMPRAS 2025'!$E144)</f>
        <v>12</v>
      </c>
      <c r="G144" s="102">
        <v>424959.0</v>
      </c>
      <c r="H144" s="73" t="s">
        <v>85</v>
      </c>
      <c r="I144" s="73" t="s">
        <v>29</v>
      </c>
      <c r="J144" s="103">
        <v>132620.0</v>
      </c>
      <c r="K144" s="103">
        <v>25198.0</v>
      </c>
      <c r="L144" s="60">
        <f>'COMPRAS 2025'!$J144+'COMPRAS 2025'!$K144</f>
        <v>157818</v>
      </c>
      <c r="M144" s="61" t="s">
        <v>25</v>
      </c>
      <c r="N144" s="75"/>
      <c r="O144" s="63" t="s">
        <v>27</v>
      </c>
      <c r="P144" s="104"/>
    </row>
    <row r="145" ht="15.75" customHeight="1">
      <c r="A145" s="44">
        <f>'COMPRAS 2025'!$D145-TODAY()</f>
        <v>2</v>
      </c>
      <c r="B145" s="77" t="s">
        <v>21</v>
      </c>
      <c r="C145" s="77" t="s">
        <v>22</v>
      </c>
      <c r="D145" s="78">
        <v>46050.0</v>
      </c>
      <c r="E145" s="78">
        <v>46020.0</v>
      </c>
      <c r="F145" s="47">
        <f>MONTH('COMPRAS 2025'!$E145)</f>
        <v>12</v>
      </c>
      <c r="G145" s="105">
        <v>425709.0</v>
      </c>
      <c r="H145" s="79" t="s">
        <v>28</v>
      </c>
      <c r="I145" s="79" t="s">
        <v>29</v>
      </c>
      <c r="J145" s="106">
        <v>73360.0</v>
      </c>
      <c r="K145" s="106">
        <v>13938.0</v>
      </c>
      <c r="L145" s="49">
        <f>'COMPRAS 2025'!$J145+'COMPRAS 2025'!$K145</f>
        <v>87298</v>
      </c>
      <c r="M145" s="50" t="s">
        <v>25</v>
      </c>
      <c r="N145" s="81"/>
      <c r="O145" s="52" t="s">
        <v>27</v>
      </c>
      <c r="P145" s="107"/>
    </row>
    <row r="146" ht="15.75" customHeight="1">
      <c r="A146" s="54">
        <f>'COMPRAS 2025'!$D146-TODAY()</f>
        <v>2</v>
      </c>
      <c r="B146" s="84" t="s">
        <v>21</v>
      </c>
      <c r="C146" s="84" t="s">
        <v>22</v>
      </c>
      <c r="D146" s="72">
        <v>46050.0</v>
      </c>
      <c r="E146" s="72">
        <v>46020.0</v>
      </c>
      <c r="F146" s="58">
        <f>MONTH('COMPRAS 2025'!$E146)</f>
        <v>12</v>
      </c>
      <c r="G146" s="102">
        <v>4255708.0</v>
      </c>
      <c r="H146" s="73" t="s">
        <v>28</v>
      </c>
      <c r="I146" s="73" t="s">
        <v>29</v>
      </c>
      <c r="J146" s="103">
        <v>43060.0</v>
      </c>
      <c r="K146" s="103">
        <v>8181.0</v>
      </c>
      <c r="L146" s="60">
        <f>'COMPRAS 2025'!$J146+'COMPRAS 2025'!$K146</f>
        <v>51241</v>
      </c>
      <c r="M146" s="61" t="s">
        <v>25</v>
      </c>
      <c r="N146" s="75"/>
      <c r="O146" s="63" t="s">
        <v>27</v>
      </c>
      <c r="P146" s="104"/>
    </row>
    <row r="147" ht="15.75" customHeight="1">
      <c r="A147" s="44">
        <f>'COMPRAS 2025'!$D147-TODAY()</f>
        <v>-46048</v>
      </c>
      <c r="B147" s="77"/>
      <c r="C147" s="77"/>
      <c r="D147" s="78"/>
      <c r="E147" s="78"/>
      <c r="F147" s="47">
        <f>MONTH('COMPRAS 2025'!$E147)</f>
        <v>12</v>
      </c>
      <c r="G147" s="105"/>
      <c r="H147" s="79"/>
      <c r="I147" s="79"/>
      <c r="J147" s="106"/>
      <c r="K147" s="106"/>
      <c r="L147" s="49">
        <f>'COMPRAS 2025'!$J147+'COMPRAS 2025'!$K147</f>
        <v>0</v>
      </c>
      <c r="M147" s="50" t="s">
        <v>86</v>
      </c>
      <c r="N147" s="81"/>
      <c r="O147" s="52" t="s">
        <v>27</v>
      </c>
      <c r="P147" s="107"/>
    </row>
    <row r="148" ht="15.75" customHeight="1">
      <c r="A148" s="54">
        <f>'COMPRAS 2025'!$D148-TODAY()</f>
        <v>-46048</v>
      </c>
      <c r="B148" s="84"/>
      <c r="C148" s="84"/>
      <c r="D148" s="72"/>
      <c r="E148" s="72"/>
      <c r="F148" s="58">
        <f>MONTH('COMPRAS 2025'!$E148)</f>
        <v>12</v>
      </c>
      <c r="G148" s="102"/>
      <c r="H148" s="73"/>
      <c r="I148" s="73"/>
      <c r="J148" s="103"/>
      <c r="K148" s="103"/>
      <c r="L148" s="60">
        <f>'COMPRAS 2025'!$J148+'COMPRAS 2025'!$K148</f>
        <v>0</v>
      </c>
      <c r="M148" s="61" t="s">
        <v>86</v>
      </c>
      <c r="N148" s="75"/>
      <c r="O148" s="63" t="s">
        <v>27</v>
      </c>
      <c r="P148" s="104"/>
    </row>
    <row r="149" ht="15.75" customHeight="1">
      <c r="A149" s="44">
        <f>'COMPRAS 2025'!$D149-TODAY()</f>
        <v>-46048</v>
      </c>
      <c r="B149" s="77"/>
      <c r="C149" s="77"/>
      <c r="D149" s="78"/>
      <c r="E149" s="78"/>
      <c r="F149" s="47">
        <f>MONTH('COMPRAS 2025'!$E149)</f>
        <v>12</v>
      </c>
      <c r="G149" s="105"/>
      <c r="H149" s="79"/>
      <c r="I149" s="79"/>
      <c r="J149" s="106"/>
      <c r="K149" s="106"/>
      <c r="L149" s="49">
        <f>'COMPRAS 2025'!$J149+'COMPRAS 2025'!$K149</f>
        <v>0</v>
      </c>
      <c r="M149" s="50" t="s">
        <v>86</v>
      </c>
      <c r="N149" s="81"/>
      <c r="O149" s="52" t="s">
        <v>27</v>
      </c>
      <c r="P149" s="107"/>
    </row>
    <row r="150" ht="15.75" customHeight="1">
      <c r="A150" s="54">
        <f>'COMPRAS 2025'!$D150-TODAY()</f>
        <v>-46048</v>
      </c>
      <c r="B150" s="84"/>
      <c r="C150" s="84"/>
      <c r="D150" s="72"/>
      <c r="E150" s="72"/>
      <c r="F150" s="58">
        <f>MONTH('COMPRAS 2025'!$E150)</f>
        <v>12</v>
      </c>
      <c r="G150" s="102"/>
      <c r="H150" s="73"/>
      <c r="I150" s="73"/>
      <c r="J150" s="103"/>
      <c r="K150" s="103"/>
      <c r="L150" s="60">
        <f>'COMPRAS 2025'!$J150+'COMPRAS 2025'!$K150</f>
        <v>0</v>
      </c>
      <c r="M150" s="61" t="s">
        <v>86</v>
      </c>
      <c r="N150" s="75"/>
      <c r="O150" s="63" t="s">
        <v>27</v>
      </c>
      <c r="P150" s="104"/>
    </row>
    <row r="151" ht="15.75" customHeight="1">
      <c r="A151" s="44">
        <f>'COMPRAS 2025'!$D151-TODAY()</f>
        <v>-46048</v>
      </c>
      <c r="B151" s="77"/>
      <c r="C151" s="77"/>
      <c r="D151" s="78"/>
      <c r="E151" s="78"/>
      <c r="F151" s="47">
        <f>MONTH('COMPRAS 2025'!$E151)</f>
        <v>12</v>
      </c>
      <c r="G151" s="105"/>
      <c r="H151" s="79"/>
      <c r="I151" s="79"/>
      <c r="J151" s="106"/>
      <c r="K151" s="106"/>
      <c r="L151" s="49">
        <f>'COMPRAS 2025'!$J151+'COMPRAS 2025'!$K151</f>
        <v>0</v>
      </c>
      <c r="M151" s="50" t="s">
        <v>86</v>
      </c>
      <c r="N151" s="81"/>
      <c r="O151" s="52" t="s">
        <v>27</v>
      </c>
      <c r="P151" s="107"/>
    </row>
    <row r="152" ht="15.75" customHeight="1">
      <c r="A152" s="54">
        <f>'COMPRAS 2025'!$D152-TODAY()</f>
        <v>-46048</v>
      </c>
      <c r="B152" s="84"/>
      <c r="C152" s="84"/>
      <c r="D152" s="72"/>
      <c r="E152" s="72"/>
      <c r="F152" s="58">
        <f>MONTH('COMPRAS 2025'!$E152)</f>
        <v>12</v>
      </c>
      <c r="G152" s="102"/>
      <c r="H152" s="73"/>
      <c r="I152" s="73"/>
      <c r="J152" s="103"/>
      <c r="K152" s="103"/>
      <c r="L152" s="60">
        <f>'COMPRAS 2025'!$J152+'COMPRAS 2025'!$K152</f>
        <v>0</v>
      </c>
      <c r="M152" s="61" t="s">
        <v>86</v>
      </c>
      <c r="N152" s="75"/>
      <c r="O152" s="63" t="s">
        <v>27</v>
      </c>
      <c r="P152" s="104"/>
    </row>
    <row r="153" ht="15.75" customHeight="1">
      <c r="A153" s="44">
        <f>'COMPRAS 2025'!$D153-TODAY()</f>
        <v>-46048</v>
      </c>
      <c r="B153" s="77"/>
      <c r="C153" s="77"/>
      <c r="D153" s="78"/>
      <c r="E153" s="78"/>
      <c r="F153" s="47">
        <f>MONTH('COMPRAS 2025'!$E153)</f>
        <v>12</v>
      </c>
      <c r="G153" s="105"/>
      <c r="H153" s="79"/>
      <c r="I153" s="79"/>
      <c r="J153" s="106"/>
      <c r="K153" s="106"/>
      <c r="L153" s="49">
        <f>'COMPRAS 2025'!$J153+'COMPRAS 2025'!$K153</f>
        <v>0</v>
      </c>
      <c r="M153" s="50" t="s">
        <v>86</v>
      </c>
      <c r="N153" s="81"/>
      <c r="O153" s="52" t="s">
        <v>27</v>
      </c>
      <c r="P153" s="107"/>
    </row>
    <row r="154" ht="15.75" customHeight="1">
      <c r="A154" s="54">
        <f>'COMPRAS 2025'!$D154-TODAY()</f>
        <v>-46048</v>
      </c>
      <c r="B154" s="84"/>
      <c r="C154" s="84"/>
      <c r="D154" s="72"/>
      <c r="E154" s="72"/>
      <c r="F154" s="58">
        <f>MONTH('COMPRAS 2025'!$E154)</f>
        <v>12</v>
      </c>
      <c r="G154" s="102"/>
      <c r="H154" s="73"/>
      <c r="I154" s="73"/>
      <c r="J154" s="103"/>
      <c r="K154" s="103"/>
      <c r="L154" s="60">
        <f>'COMPRAS 2025'!$J154+'COMPRAS 2025'!$K154</f>
        <v>0</v>
      </c>
      <c r="M154" s="61" t="s">
        <v>86</v>
      </c>
      <c r="N154" s="75"/>
      <c r="O154" s="63" t="s">
        <v>27</v>
      </c>
      <c r="P154" s="104"/>
    </row>
    <row r="155" ht="15.75" customHeight="1">
      <c r="A155" s="44">
        <f>'COMPRAS 2025'!$D155-TODAY()</f>
        <v>-46048</v>
      </c>
      <c r="B155" s="77"/>
      <c r="C155" s="77"/>
      <c r="D155" s="78"/>
      <c r="E155" s="78"/>
      <c r="F155" s="47">
        <f>MONTH('COMPRAS 2025'!$E155)</f>
        <v>12</v>
      </c>
      <c r="G155" s="105"/>
      <c r="H155" s="79"/>
      <c r="I155" s="79"/>
      <c r="J155" s="106"/>
      <c r="K155" s="106"/>
      <c r="L155" s="49">
        <f>'COMPRAS 2025'!$J155+'COMPRAS 2025'!$K155</f>
        <v>0</v>
      </c>
      <c r="M155" s="50" t="s">
        <v>86</v>
      </c>
      <c r="N155" s="81"/>
      <c r="O155" s="52" t="s">
        <v>27</v>
      </c>
      <c r="P155" s="107"/>
    </row>
    <row r="156" ht="15.75" customHeight="1">
      <c r="A156" s="54">
        <f>'COMPRAS 2025'!$D156-TODAY()</f>
        <v>-46048</v>
      </c>
      <c r="B156" s="84"/>
      <c r="C156" s="84"/>
      <c r="D156" s="72"/>
      <c r="E156" s="72"/>
      <c r="F156" s="58">
        <f>MONTH('COMPRAS 2025'!$E156)</f>
        <v>12</v>
      </c>
      <c r="G156" s="102"/>
      <c r="H156" s="73"/>
      <c r="I156" s="73"/>
      <c r="J156" s="103"/>
      <c r="K156" s="103"/>
      <c r="L156" s="60">
        <f>'COMPRAS 2025'!$J156+'COMPRAS 2025'!$K156</f>
        <v>0</v>
      </c>
      <c r="M156" s="61" t="s">
        <v>86</v>
      </c>
      <c r="N156" s="75"/>
      <c r="O156" s="63" t="s">
        <v>27</v>
      </c>
      <c r="P156" s="104"/>
    </row>
    <row r="157" ht="15.75" customHeight="1">
      <c r="A157" s="44">
        <f>'COMPRAS 2025'!$D157-TODAY()</f>
        <v>-46048</v>
      </c>
      <c r="B157" s="77"/>
      <c r="C157" s="77"/>
      <c r="D157" s="78"/>
      <c r="E157" s="78"/>
      <c r="F157" s="47">
        <f>MONTH('COMPRAS 2025'!$E157)</f>
        <v>12</v>
      </c>
      <c r="G157" s="105"/>
      <c r="H157" s="79"/>
      <c r="I157" s="79"/>
      <c r="J157" s="106"/>
      <c r="K157" s="106"/>
      <c r="L157" s="49">
        <f>'COMPRAS 2025'!$J157+'COMPRAS 2025'!$K157</f>
        <v>0</v>
      </c>
      <c r="M157" s="50" t="s">
        <v>86</v>
      </c>
      <c r="N157" s="81"/>
      <c r="O157" s="52" t="s">
        <v>27</v>
      </c>
      <c r="P157" s="107"/>
    </row>
    <row r="158" ht="15.75" customHeight="1">
      <c r="A158" s="54">
        <f>'COMPRAS 2025'!$D158-TODAY()</f>
        <v>-46048</v>
      </c>
      <c r="B158" s="84"/>
      <c r="C158" s="84"/>
      <c r="D158" s="72"/>
      <c r="E158" s="72"/>
      <c r="F158" s="58">
        <f>MONTH('COMPRAS 2025'!$E158)</f>
        <v>12</v>
      </c>
      <c r="G158" s="102"/>
      <c r="H158" s="73"/>
      <c r="I158" s="73"/>
      <c r="J158" s="103"/>
      <c r="K158" s="103"/>
      <c r="L158" s="60">
        <f>'COMPRAS 2025'!$J158+'COMPRAS 2025'!$K158</f>
        <v>0</v>
      </c>
      <c r="M158" s="61" t="s">
        <v>86</v>
      </c>
      <c r="N158" s="75"/>
      <c r="O158" s="63" t="s">
        <v>27</v>
      </c>
      <c r="P158" s="104"/>
    </row>
    <row r="159" ht="15.75" customHeight="1">
      <c r="A159" s="44">
        <f>'COMPRAS 2025'!$D159-TODAY()</f>
        <v>-46048</v>
      </c>
      <c r="B159" s="77"/>
      <c r="C159" s="77"/>
      <c r="D159" s="78"/>
      <c r="E159" s="78"/>
      <c r="F159" s="47">
        <f>MONTH('COMPRAS 2025'!$E159)</f>
        <v>12</v>
      </c>
      <c r="G159" s="105"/>
      <c r="H159" s="79"/>
      <c r="I159" s="79"/>
      <c r="J159" s="106"/>
      <c r="K159" s="106"/>
      <c r="L159" s="49">
        <f>'COMPRAS 2025'!$J159+'COMPRAS 2025'!$K159</f>
        <v>0</v>
      </c>
      <c r="M159" s="50" t="s">
        <v>86</v>
      </c>
      <c r="N159" s="81"/>
      <c r="O159" s="52" t="s">
        <v>27</v>
      </c>
      <c r="P159" s="107"/>
    </row>
    <row r="160" ht="15.75" customHeight="1">
      <c r="A160" s="54">
        <f>'COMPRAS 2025'!$D160-TODAY()</f>
        <v>-46048</v>
      </c>
      <c r="B160" s="84"/>
      <c r="C160" s="84"/>
      <c r="D160" s="72"/>
      <c r="E160" s="72"/>
      <c r="F160" s="58">
        <f>MONTH('COMPRAS 2025'!$E160)</f>
        <v>12</v>
      </c>
      <c r="G160" s="102"/>
      <c r="H160" s="73"/>
      <c r="I160" s="73"/>
      <c r="J160" s="103"/>
      <c r="K160" s="103"/>
      <c r="L160" s="60">
        <f>'COMPRAS 2025'!$J160+'COMPRAS 2025'!$K160</f>
        <v>0</v>
      </c>
      <c r="M160" s="61" t="s">
        <v>86</v>
      </c>
      <c r="N160" s="75"/>
      <c r="O160" s="63" t="s">
        <v>27</v>
      </c>
      <c r="P160" s="104"/>
    </row>
    <row r="161" ht="15.75" customHeight="1">
      <c r="A161" s="44">
        <f>'COMPRAS 2025'!$D161-TODAY()</f>
        <v>-46048</v>
      </c>
      <c r="B161" s="77"/>
      <c r="C161" s="77"/>
      <c r="D161" s="78"/>
      <c r="E161" s="78"/>
      <c r="F161" s="47">
        <f>MONTH('COMPRAS 2025'!$E161)</f>
        <v>12</v>
      </c>
      <c r="G161" s="105"/>
      <c r="H161" s="79"/>
      <c r="I161" s="79"/>
      <c r="J161" s="106"/>
      <c r="K161" s="106"/>
      <c r="L161" s="49">
        <f>'COMPRAS 2025'!$J161+'COMPRAS 2025'!$K161</f>
        <v>0</v>
      </c>
      <c r="M161" s="50" t="s">
        <v>86</v>
      </c>
      <c r="N161" s="81"/>
      <c r="O161" s="52" t="s">
        <v>27</v>
      </c>
      <c r="P161" s="107"/>
    </row>
    <row r="162" ht="15.75" customHeight="1">
      <c r="A162" s="54">
        <f>'COMPRAS 2025'!$D162-TODAY()</f>
        <v>-46048</v>
      </c>
      <c r="B162" s="84"/>
      <c r="C162" s="84"/>
      <c r="D162" s="72"/>
      <c r="E162" s="72"/>
      <c r="F162" s="58">
        <f>MONTH('COMPRAS 2025'!$E162)</f>
        <v>12</v>
      </c>
      <c r="G162" s="102"/>
      <c r="H162" s="73"/>
      <c r="I162" s="73"/>
      <c r="J162" s="103"/>
      <c r="K162" s="103"/>
      <c r="L162" s="60">
        <f>'COMPRAS 2025'!$J162+'COMPRAS 2025'!$K162</f>
        <v>0</v>
      </c>
      <c r="M162" s="61" t="s">
        <v>86</v>
      </c>
      <c r="N162" s="75"/>
      <c r="O162" s="63" t="s">
        <v>27</v>
      </c>
      <c r="P162" s="104"/>
    </row>
    <row r="163" ht="15.75" customHeight="1">
      <c r="A163" s="44">
        <f>'COMPRAS 2025'!$D163-TODAY()</f>
        <v>-46048</v>
      </c>
      <c r="B163" s="77"/>
      <c r="C163" s="77"/>
      <c r="D163" s="78"/>
      <c r="E163" s="78"/>
      <c r="F163" s="47">
        <f>MONTH('COMPRAS 2025'!$E163)</f>
        <v>12</v>
      </c>
      <c r="G163" s="105"/>
      <c r="H163" s="79"/>
      <c r="I163" s="79"/>
      <c r="J163" s="106"/>
      <c r="K163" s="106"/>
      <c r="L163" s="49">
        <f>'COMPRAS 2025'!$J163+'COMPRAS 2025'!$K163</f>
        <v>0</v>
      </c>
      <c r="M163" s="50" t="s">
        <v>86</v>
      </c>
      <c r="N163" s="81"/>
      <c r="O163" s="52" t="s">
        <v>27</v>
      </c>
      <c r="P163" s="107"/>
    </row>
    <row r="164" ht="15.75" customHeight="1">
      <c r="A164" s="54">
        <f>'COMPRAS 2025'!$D164-TODAY()</f>
        <v>-46048</v>
      </c>
      <c r="B164" s="84"/>
      <c r="C164" s="84"/>
      <c r="D164" s="72"/>
      <c r="E164" s="72"/>
      <c r="F164" s="58">
        <f>MONTH('COMPRAS 2025'!$E164)</f>
        <v>12</v>
      </c>
      <c r="G164" s="102"/>
      <c r="H164" s="73"/>
      <c r="I164" s="73"/>
      <c r="J164" s="103"/>
      <c r="K164" s="103"/>
      <c r="L164" s="60">
        <f>'COMPRAS 2025'!$J164+'COMPRAS 2025'!$K164</f>
        <v>0</v>
      </c>
      <c r="M164" s="113" t="s">
        <v>86</v>
      </c>
      <c r="N164" s="75"/>
      <c r="O164" s="63" t="s">
        <v>27</v>
      </c>
      <c r="P164" s="104"/>
    </row>
    <row r="165" ht="15.75" customHeight="1">
      <c r="A165" s="114"/>
      <c r="B165" s="115"/>
      <c r="C165" s="115"/>
      <c r="D165" s="116"/>
      <c r="E165" s="116"/>
      <c r="F165" s="117"/>
      <c r="G165" s="118"/>
      <c r="H165" s="118"/>
      <c r="I165" s="119" t="s">
        <v>87</v>
      </c>
      <c r="J165" s="120">
        <f t="shared" ref="J165:K165" si="1">SUBTOTAL(9,J7:J69)</f>
        <v>3609447</v>
      </c>
      <c r="K165" s="121">
        <f t="shared" si="1"/>
        <v>685978</v>
      </c>
      <c r="L165" s="122">
        <f>SUBTOTAL(9,L6:L164)</f>
        <v>11164430</v>
      </c>
      <c r="M165" s="123" t="s">
        <v>86</v>
      </c>
      <c r="N165" s="124"/>
      <c r="O165" s="125"/>
      <c r="P165" s="126"/>
    </row>
    <row r="166" ht="15.75" customHeight="1">
      <c r="A166" s="127"/>
      <c r="B166" s="127"/>
      <c r="C166" s="127"/>
      <c r="D166" s="127"/>
      <c r="E166" s="127"/>
      <c r="F166" s="127"/>
      <c r="G166" s="127"/>
      <c r="H166" s="127"/>
      <c r="I166" s="128"/>
      <c r="J166" s="129"/>
      <c r="K166" s="129"/>
      <c r="L166" s="129"/>
      <c r="M166" s="130"/>
      <c r="N166" s="131"/>
      <c r="O166" s="132"/>
      <c r="P166" s="128"/>
    </row>
    <row r="167" ht="15.75" customHeight="1">
      <c r="A167" s="133"/>
      <c r="B167" s="134"/>
      <c r="C167" s="134"/>
      <c r="D167" s="135"/>
      <c r="E167" s="135"/>
      <c r="F167" s="136"/>
      <c r="G167" s="137"/>
      <c r="H167" s="137"/>
      <c r="I167" s="137"/>
      <c r="J167" s="138"/>
      <c r="K167" s="138"/>
      <c r="L167" s="138"/>
      <c r="M167" s="139"/>
      <c r="N167" s="139"/>
      <c r="O167" s="140"/>
      <c r="P167" s="137"/>
    </row>
    <row r="168" ht="15.75" customHeight="1">
      <c r="A168" s="133"/>
      <c r="B168" s="134"/>
      <c r="C168" s="134"/>
      <c r="D168" s="135"/>
      <c r="E168" s="135"/>
      <c r="F168" s="136"/>
      <c r="G168" s="137"/>
      <c r="H168" s="137"/>
      <c r="I168" s="141"/>
      <c r="J168" s="142"/>
      <c r="K168" s="143" t="s">
        <v>88</v>
      </c>
      <c r="L168" s="144">
        <v>1000000.0</v>
      </c>
      <c r="M168" s="145" t="s">
        <v>89</v>
      </c>
      <c r="N168" s="139"/>
      <c r="O168" s="140"/>
      <c r="P168" s="137"/>
    </row>
    <row r="169" ht="15.75" customHeight="1">
      <c r="A169" s="133"/>
      <c r="B169" s="134"/>
      <c r="C169" s="134"/>
      <c r="D169" s="135"/>
      <c r="E169" s="135"/>
      <c r="F169" s="136"/>
      <c r="G169" s="137"/>
      <c r="H169" s="137"/>
      <c r="I169" s="141"/>
      <c r="J169" s="146">
        <v>1.0</v>
      </c>
      <c r="K169" s="147" t="s">
        <v>90</v>
      </c>
      <c r="L169" s="148">
        <f>SUMIFS($L:$L,$O:$O,DATOS!$A$2,'COMPRAS 2025'!$F:$F,'COMPRAS 2025'!J169)</f>
        <v>892331</v>
      </c>
      <c r="M169" s="149">
        <f t="shared" ref="M169:M180" si="2">$L$168-L169</f>
        <v>107669</v>
      </c>
      <c r="N169" s="150"/>
      <c r="O169" s="151"/>
      <c r="P169" s="137"/>
    </row>
    <row r="170" ht="15.75" customHeight="1">
      <c r="A170" s="133"/>
      <c r="B170" s="134"/>
      <c r="C170" s="134"/>
      <c r="D170" s="135"/>
      <c r="E170" s="135"/>
      <c r="F170" s="136"/>
      <c r="G170" s="137"/>
      <c r="H170" s="137"/>
      <c r="I170" s="152"/>
      <c r="J170" s="146">
        <v>2.0</v>
      </c>
      <c r="K170" s="147" t="s">
        <v>91</v>
      </c>
      <c r="L170" s="148">
        <f>SUMIFS($L:$L,$O:$O,DATOS!$A$2,'COMPRAS 2025'!$F:$F,'COMPRAS 2025'!J170)</f>
        <v>771333</v>
      </c>
      <c r="M170" s="149">
        <f t="shared" si="2"/>
        <v>228667</v>
      </c>
      <c r="N170" s="150"/>
      <c r="O170" s="151"/>
      <c r="P170" s="137"/>
    </row>
    <row r="171" ht="15.75" customHeight="1">
      <c r="A171" s="133"/>
      <c r="B171" s="134"/>
      <c r="C171" s="134"/>
      <c r="D171" s="135"/>
      <c r="E171" s="135"/>
      <c r="F171" s="136"/>
      <c r="G171" s="137"/>
      <c r="H171" s="137"/>
      <c r="I171" s="152"/>
      <c r="J171" s="146">
        <v>3.0</v>
      </c>
      <c r="K171" s="147" t="s">
        <v>92</v>
      </c>
      <c r="L171" s="148">
        <f>SUMIFS($L:$L,$O:$O,DATOS!$A$2,'COMPRAS 2025'!$F:$F,'COMPRAS 2025'!J171)</f>
        <v>1094588</v>
      </c>
      <c r="M171" s="149">
        <f t="shared" si="2"/>
        <v>-94588</v>
      </c>
      <c r="N171" s="150"/>
      <c r="O171" s="151"/>
      <c r="P171" s="137"/>
    </row>
    <row r="172" ht="15.75" customHeight="1">
      <c r="A172" s="133"/>
      <c r="B172" s="134"/>
      <c r="C172" s="134"/>
      <c r="D172" s="135"/>
      <c r="E172" s="135"/>
      <c r="F172" s="136"/>
      <c r="G172" s="137"/>
      <c r="H172" s="137"/>
      <c r="I172" s="152"/>
      <c r="J172" s="146">
        <v>4.0</v>
      </c>
      <c r="K172" s="147" t="s">
        <v>93</v>
      </c>
      <c r="L172" s="148">
        <f>SUMIFS($L:$L,$O:$O,DATOS!$A$2,'COMPRAS 2025'!$F:$F,'COMPRAS 2025'!J172)</f>
        <v>707901</v>
      </c>
      <c r="M172" s="153">
        <f t="shared" si="2"/>
        <v>292099</v>
      </c>
      <c r="N172" s="150"/>
      <c r="O172" s="151"/>
      <c r="P172" s="137"/>
    </row>
    <row r="173" ht="15.75" customHeight="1">
      <c r="A173" s="133"/>
      <c r="B173" s="134"/>
      <c r="C173" s="134"/>
      <c r="D173" s="135"/>
      <c r="E173" s="135"/>
      <c r="F173" s="136"/>
      <c r="G173" s="137"/>
      <c r="H173" s="137"/>
      <c r="I173" s="141"/>
      <c r="J173" s="146">
        <v>5.0</v>
      </c>
      <c r="K173" s="147" t="s">
        <v>94</v>
      </c>
      <c r="L173" s="148">
        <f>SUMIFS($L:$L,$O:$O,DATOS!$A$2,'COMPRAS 2025'!$F:$F,'COMPRAS 2025'!J173)</f>
        <v>601382</v>
      </c>
      <c r="M173" s="153">
        <f t="shared" si="2"/>
        <v>398618</v>
      </c>
      <c r="N173" s="150"/>
      <c r="O173" s="151"/>
      <c r="P173" s="137"/>
    </row>
    <row r="174" ht="15.75" customHeight="1">
      <c r="A174" s="133"/>
      <c r="B174" s="134"/>
      <c r="C174" s="134"/>
      <c r="D174" s="135"/>
      <c r="E174" s="135"/>
      <c r="F174" s="136"/>
      <c r="G174" s="137"/>
      <c r="H174" s="137"/>
      <c r="I174" s="141"/>
      <c r="J174" s="146">
        <v>6.0</v>
      </c>
      <c r="K174" s="147" t="s">
        <v>95</v>
      </c>
      <c r="L174" s="148">
        <f>SUMIFS($L:$L,$O:$O,DATOS!$A$2,'COMPRAS 2025'!$F:$F,'COMPRAS 2025'!J174)</f>
        <v>599925</v>
      </c>
      <c r="M174" s="153">
        <f t="shared" si="2"/>
        <v>400075</v>
      </c>
      <c r="N174" s="150"/>
      <c r="O174" s="151"/>
      <c r="P174" s="137"/>
    </row>
    <row r="175" ht="15.75" customHeight="1">
      <c r="A175" s="133"/>
      <c r="B175" s="134"/>
      <c r="C175" s="134"/>
      <c r="D175" s="135"/>
      <c r="E175" s="135"/>
      <c r="F175" s="136"/>
      <c r="G175" s="137"/>
      <c r="H175" s="137"/>
      <c r="I175" s="141"/>
      <c r="J175" s="146">
        <v>7.0</v>
      </c>
      <c r="K175" s="147" t="s">
        <v>96</v>
      </c>
      <c r="L175" s="148">
        <f>SUMIFS($L:$L,$O:$O,DATOS!$A$2,'COMPRAS 2025'!$F:$F,'COMPRAS 2025'!J175)</f>
        <v>1742073</v>
      </c>
      <c r="M175" s="153">
        <f t="shared" si="2"/>
        <v>-742073</v>
      </c>
      <c r="N175" s="150"/>
      <c r="O175" s="151"/>
      <c r="P175" s="137"/>
    </row>
    <row r="176" ht="15.75" customHeight="1">
      <c r="A176" s="133"/>
      <c r="B176" s="134"/>
      <c r="C176" s="134"/>
      <c r="D176" s="135"/>
      <c r="E176" s="135"/>
      <c r="F176" s="136"/>
      <c r="G176" s="137"/>
      <c r="H176" s="137"/>
      <c r="I176" s="141"/>
      <c r="J176" s="146">
        <v>8.0</v>
      </c>
      <c r="K176" s="147" t="s">
        <v>97</v>
      </c>
      <c r="L176" s="148">
        <f>SUMIFS($L:$L,$O:$O,DATOS!$A$2,'COMPRAS 2025'!$F:$F,'COMPRAS 2025'!J176)</f>
        <v>981498</v>
      </c>
      <c r="M176" s="153">
        <f t="shared" si="2"/>
        <v>18502</v>
      </c>
      <c r="N176" s="150"/>
      <c r="O176" s="151"/>
      <c r="P176" s="137"/>
    </row>
    <row r="177" ht="15.75" customHeight="1">
      <c r="A177" s="133"/>
      <c r="B177" s="134"/>
      <c r="C177" s="134"/>
      <c r="D177" s="135"/>
      <c r="E177" s="135"/>
      <c r="F177" s="136"/>
      <c r="G177" s="137"/>
      <c r="H177" s="137"/>
      <c r="I177" s="141"/>
      <c r="J177" s="146">
        <v>9.0</v>
      </c>
      <c r="K177" s="147" t="s">
        <v>98</v>
      </c>
      <c r="L177" s="148">
        <f>SUMIFS($L:$L,$O:$O,DATOS!$A$2,'COMPRAS 2025'!$F:$F,'COMPRAS 2025'!J177)</f>
        <v>380374</v>
      </c>
      <c r="M177" s="153">
        <f t="shared" si="2"/>
        <v>619626</v>
      </c>
      <c r="N177" s="150"/>
      <c r="O177" s="151"/>
      <c r="P177" s="137"/>
    </row>
    <row r="178" ht="15.75" customHeight="1">
      <c r="A178" s="133"/>
      <c r="B178" s="134"/>
      <c r="C178" s="134"/>
      <c r="D178" s="135"/>
      <c r="E178" s="135"/>
      <c r="F178" s="136"/>
      <c r="G178" s="137"/>
      <c r="H178" s="137"/>
      <c r="I178" s="141"/>
      <c r="J178" s="146">
        <v>10.0</v>
      </c>
      <c r="K178" s="147" t="s">
        <v>99</v>
      </c>
      <c r="L178" s="148">
        <f>SUMIFS($L:$L,$O:$O,DATOS!$A$2,'COMPRAS 2025'!$F:$F,'COMPRAS 2025'!J178)</f>
        <v>538999</v>
      </c>
      <c r="M178" s="153">
        <f t="shared" si="2"/>
        <v>461001</v>
      </c>
      <c r="N178" s="150"/>
      <c r="O178" s="151"/>
      <c r="P178" s="137"/>
    </row>
    <row r="179" ht="15.75" customHeight="1">
      <c r="A179" s="133"/>
      <c r="B179" s="134"/>
      <c r="C179" s="134"/>
      <c r="D179" s="135"/>
      <c r="E179" s="135"/>
      <c r="F179" s="136"/>
      <c r="G179" s="137"/>
      <c r="H179" s="137"/>
      <c r="I179" s="141"/>
      <c r="J179" s="146">
        <v>11.0</v>
      </c>
      <c r="K179" s="147" t="s">
        <v>100</v>
      </c>
      <c r="L179" s="148">
        <f>SUMIFS($L:$L,$O:$O,DATOS!$A$2,'COMPRAS 2025'!$F:$F,'COMPRAS 2025'!J179)</f>
        <v>1495754</v>
      </c>
      <c r="M179" s="153">
        <f t="shared" si="2"/>
        <v>-495754</v>
      </c>
      <c r="O179" s="151"/>
      <c r="P179" s="137"/>
    </row>
    <row r="180" ht="15.75" customHeight="1">
      <c r="A180" s="133"/>
      <c r="B180" s="134"/>
      <c r="C180" s="134"/>
      <c r="D180" s="135"/>
      <c r="E180" s="135"/>
      <c r="F180" s="136"/>
      <c r="G180" s="137"/>
      <c r="H180" s="137"/>
      <c r="I180" s="141"/>
      <c r="J180" s="146">
        <v>12.0</v>
      </c>
      <c r="K180" s="147" t="s">
        <v>101</v>
      </c>
      <c r="L180" s="148">
        <f>SUMIFS($L:$L,$O:$O,DATOS!$A$2,'COMPRAS 2025'!$F:$F,'COMPRAS 2025'!J180)</f>
        <v>658282</v>
      </c>
      <c r="M180" s="153">
        <f t="shared" si="2"/>
        <v>341718</v>
      </c>
      <c r="O180" s="151"/>
      <c r="P180" s="137"/>
    </row>
    <row r="181" ht="15.75" customHeight="1">
      <c r="A181" s="133"/>
      <c r="B181" s="134"/>
      <c r="C181" s="134"/>
      <c r="D181" s="135"/>
      <c r="E181" s="135"/>
      <c r="F181" s="136"/>
      <c r="G181" s="137"/>
      <c r="H181" s="137"/>
      <c r="I181" s="154"/>
      <c r="J181" s="155"/>
      <c r="K181" s="138"/>
      <c r="L181" s="156"/>
      <c r="O181" s="157"/>
      <c r="P181" s="137"/>
    </row>
    <row r="182" ht="15.75" customHeight="1">
      <c r="A182" s="133"/>
      <c r="B182" s="134"/>
      <c r="C182" s="134"/>
      <c r="D182" s="135"/>
      <c r="E182" s="135"/>
      <c r="F182" s="136"/>
      <c r="G182" s="137"/>
      <c r="H182" s="137"/>
      <c r="I182" s="154"/>
      <c r="J182" s="158"/>
      <c r="K182" s="138"/>
      <c r="L182" s="156"/>
      <c r="M182" s="140"/>
      <c r="N182" s="159"/>
      <c r="O182" s="140"/>
      <c r="P182" s="137"/>
    </row>
    <row r="183" ht="15.75" customHeight="1">
      <c r="A183" s="133"/>
      <c r="B183" s="134"/>
      <c r="C183" s="134"/>
      <c r="D183" s="135"/>
      <c r="E183" s="135"/>
      <c r="F183" s="136"/>
      <c r="G183" s="137"/>
      <c r="H183" s="137"/>
      <c r="I183" s="154"/>
      <c r="J183" s="158"/>
      <c r="K183" s="138"/>
      <c r="L183" s="156"/>
      <c r="M183" s="140"/>
      <c r="N183" s="159"/>
      <c r="O183" s="140"/>
      <c r="P183" s="137"/>
    </row>
    <row r="184" ht="15.75" customHeight="1">
      <c r="A184" s="133"/>
      <c r="B184" s="134"/>
      <c r="C184" s="134"/>
      <c r="D184" s="135"/>
      <c r="E184" s="135"/>
      <c r="F184" s="136"/>
      <c r="G184" s="137"/>
      <c r="H184" s="137"/>
      <c r="I184" s="137"/>
      <c r="J184" s="160"/>
      <c r="K184" s="161"/>
      <c r="L184" s="138"/>
      <c r="M184" s="140"/>
      <c r="N184" s="139"/>
      <c r="O184" s="140"/>
      <c r="P184" s="137"/>
    </row>
    <row r="185" ht="15.75" customHeight="1">
      <c r="A185" s="133"/>
      <c r="B185" s="134"/>
      <c r="C185" s="134"/>
      <c r="D185" s="135"/>
      <c r="E185" s="135"/>
      <c r="F185" s="136"/>
      <c r="G185" s="137"/>
      <c r="H185" s="137"/>
      <c r="I185" s="137"/>
      <c r="J185" s="138"/>
      <c r="K185" s="161"/>
      <c r="L185" s="138"/>
      <c r="M185" s="139"/>
      <c r="N185" s="162"/>
      <c r="O185" s="140"/>
      <c r="P185" s="137"/>
    </row>
    <row r="186" ht="15.75" customHeight="1">
      <c r="A186" s="133"/>
      <c r="B186" s="134"/>
      <c r="C186" s="134"/>
      <c r="D186" s="135"/>
      <c r="E186" s="135"/>
      <c r="F186" s="136"/>
      <c r="G186" s="137"/>
      <c r="H186" s="137"/>
      <c r="I186" s="137"/>
      <c r="J186" s="138"/>
      <c r="K186" s="161"/>
      <c r="L186" s="138"/>
      <c r="M186" s="139"/>
      <c r="N186" s="139"/>
      <c r="O186" s="140"/>
      <c r="P186" s="137"/>
    </row>
    <row r="187" ht="15.75" customHeight="1">
      <c r="A187" s="133"/>
      <c r="B187" s="134"/>
      <c r="C187" s="134"/>
      <c r="D187" s="135"/>
      <c r="E187" s="135"/>
      <c r="F187" s="136"/>
      <c r="G187" s="137"/>
      <c r="H187" s="137"/>
      <c r="I187" s="137"/>
      <c r="J187" s="138"/>
      <c r="K187" s="138"/>
      <c r="L187" s="138"/>
      <c r="M187" s="139"/>
      <c r="N187" s="139"/>
      <c r="O187" s="140"/>
      <c r="P187" s="137"/>
    </row>
    <row r="188" ht="15.75" customHeight="1">
      <c r="A188" s="133"/>
      <c r="B188" s="134"/>
      <c r="C188" s="134"/>
      <c r="D188" s="135"/>
      <c r="E188" s="135"/>
      <c r="F188" s="136"/>
      <c r="G188" s="137"/>
      <c r="H188" s="137"/>
      <c r="I188" s="137"/>
      <c r="J188" s="138"/>
      <c r="K188" s="138"/>
      <c r="L188" s="138"/>
      <c r="M188" s="139"/>
      <c r="N188" s="139"/>
      <c r="O188" s="140"/>
      <c r="P188" s="137"/>
    </row>
    <row r="189" ht="15.75" customHeight="1">
      <c r="A189" s="133"/>
      <c r="B189" s="134"/>
      <c r="C189" s="134"/>
      <c r="D189" s="135"/>
      <c r="E189" s="135"/>
      <c r="F189" s="136"/>
      <c r="G189" s="137"/>
      <c r="H189" s="137"/>
      <c r="I189" s="137"/>
      <c r="J189" s="138"/>
      <c r="K189" s="138"/>
      <c r="L189" s="138"/>
      <c r="M189" s="139"/>
      <c r="N189" s="139"/>
      <c r="O189" s="140"/>
      <c r="P189" s="137"/>
    </row>
    <row r="190" ht="15.75" customHeight="1">
      <c r="A190" s="133"/>
      <c r="B190" s="134"/>
      <c r="C190" s="134"/>
      <c r="D190" s="135"/>
      <c r="E190" s="135"/>
      <c r="F190" s="136"/>
      <c r="G190" s="137"/>
      <c r="H190" s="137"/>
      <c r="I190" s="137"/>
      <c r="J190" s="138"/>
      <c r="K190" s="138"/>
      <c r="L190" s="138"/>
      <c r="M190" s="139"/>
      <c r="N190" s="139"/>
      <c r="O190" s="140"/>
      <c r="P190" s="137"/>
    </row>
    <row r="191" ht="15.75" customHeight="1">
      <c r="A191" s="133"/>
      <c r="B191" s="134"/>
      <c r="C191" s="134"/>
      <c r="D191" s="135"/>
      <c r="E191" s="135"/>
      <c r="F191" s="136"/>
      <c r="G191" s="137"/>
      <c r="H191" s="137"/>
      <c r="I191" s="137"/>
      <c r="J191" s="138"/>
      <c r="K191" s="138"/>
      <c r="L191" s="138"/>
      <c r="M191" s="139"/>
      <c r="N191" s="139"/>
      <c r="O191" s="140"/>
      <c r="P191" s="137"/>
    </row>
    <row r="192" ht="15.75" customHeight="1">
      <c r="A192" s="133"/>
      <c r="B192" s="134"/>
      <c r="C192" s="134"/>
      <c r="D192" s="135"/>
      <c r="E192" s="135"/>
      <c r="F192" s="136"/>
      <c r="G192" s="137"/>
      <c r="H192" s="137"/>
      <c r="I192" s="137"/>
      <c r="J192" s="138"/>
      <c r="K192" s="138"/>
      <c r="L192" s="138"/>
      <c r="M192" s="139"/>
      <c r="N192" s="139"/>
      <c r="O192" s="140"/>
      <c r="P192" s="137"/>
    </row>
    <row r="193" ht="15.75" customHeight="1">
      <c r="A193" s="133"/>
      <c r="B193" s="134"/>
      <c r="C193" s="134"/>
      <c r="D193" s="135"/>
      <c r="E193" s="135"/>
      <c r="F193" s="136"/>
      <c r="G193" s="137"/>
      <c r="H193" s="137"/>
      <c r="I193" s="137"/>
      <c r="J193" s="138"/>
      <c r="K193" s="138"/>
      <c r="L193" s="138"/>
      <c r="M193" s="139"/>
      <c r="N193" s="139"/>
      <c r="O193" s="140"/>
      <c r="P193" s="137"/>
    </row>
    <row r="194" ht="15.75" customHeight="1">
      <c r="A194" s="133"/>
      <c r="B194" s="134"/>
      <c r="C194" s="134"/>
      <c r="D194" s="135"/>
      <c r="E194" s="135"/>
      <c r="F194" s="136"/>
      <c r="G194" s="137"/>
      <c r="H194" s="137"/>
      <c r="I194" s="137"/>
      <c r="J194" s="138"/>
      <c r="K194" s="138"/>
      <c r="L194" s="138"/>
      <c r="M194" s="139"/>
      <c r="N194" s="139"/>
      <c r="O194" s="140"/>
      <c r="P194" s="137"/>
    </row>
    <row r="195" ht="15.75" customHeight="1">
      <c r="A195" s="133"/>
      <c r="B195" s="134"/>
      <c r="C195" s="134"/>
      <c r="D195" s="135"/>
      <c r="E195" s="135"/>
      <c r="F195" s="136"/>
      <c r="G195" s="137"/>
      <c r="H195" s="137"/>
      <c r="I195" s="137"/>
      <c r="J195" s="138"/>
      <c r="K195" s="138"/>
      <c r="L195" s="138"/>
      <c r="M195" s="139"/>
      <c r="N195" s="139"/>
      <c r="O195" s="140"/>
      <c r="P195" s="137"/>
    </row>
    <row r="196" ht="15.75" customHeight="1">
      <c r="A196" s="133"/>
      <c r="B196" s="134"/>
      <c r="C196" s="134"/>
      <c r="D196" s="135"/>
      <c r="E196" s="135"/>
      <c r="F196" s="136"/>
      <c r="G196" s="137"/>
      <c r="H196" s="137"/>
      <c r="I196" s="137"/>
      <c r="J196" s="138"/>
      <c r="K196" s="138"/>
      <c r="L196" s="138"/>
      <c r="M196" s="139"/>
      <c r="N196" s="139"/>
      <c r="O196" s="140"/>
      <c r="P196" s="137"/>
    </row>
    <row r="197" ht="15.75" customHeight="1">
      <c r="A197" s="133"/>
      <c r="B197" s="134"/>
      <c r="C197" s="134"/>
      <c r="D197" s="135"/>
      <c r="E197" s="135"/>
      <c r="F197" s="136"/>
      <c r="G197" s="137"/>
      <c r="H197" s="137"/>
      <c r="I197" s="137"/>
      <c r="J197" s="138"/>
      <c r="K197" s="138"/>
      <c r="L197" s="138"/>
      <c r="M197" s="139"/>
      <c r="N197" s="139"/>
      <c r="O197" s="140"/>
      <c r="P197" s="137"/>
    </row>
    <row r="198" ht="15.75" customHeight="1">
      <c r="A198" s="133"/>
      <c r="B198" s="134"/>
      <c r="C198" s="134"/>
      <c r="D198" s="135"/>
      <c r="E198" s="135"/>
      <c r="F198" s="136"/>
      <c r="G198" s="137"/>
      <c r="H198" s="137"/>
      <c r="I198" s="137"/>
      <c r="J198" s="138"/>
      <c r="K198" s="138"/>
      <c r="L198" s="138"/>
      <c r="M198" s="139"/>
      <c r="N198" s="139"/>
      <c r="O198" s="140"/>
      <c r="P198" s="137"/>
    </row>
    <row r="199" ht="15.75" customHeight="1">
      <c r="A199" s="133"/>
      <c r="B199" s="134"/>
      <c r="C199" s="134"/>
      <c r="D199" s="135"/>
      <c r="E199" s="135"/>
      <c r="F199" s="136"/>
      <c r="G199" s="137"/>
      <c r="H199" s="137"/>
      <c r="I199" s="137"/>
      <c r="J199" s="138"/>
      <c r="K199" s="138"/>
      <c r="L199" s="138"/>
      <c r="M199" s="139"/>
      <c r="N199" s="139"/>
      <c r="O199" s="140"/>
      <c r="P199" s="137"/>
    </row>
    <row r="200" ht="15.75" customHeight="1">
      <c r="A200" s="133"/>
      <c r="B200" s="134"/>
      <c r="C200" s="134"/>
      <c r="D200" s="135"/>
      <c r="E200" s="135"/>
      <c r="F200" s="136"/>
      <c r="G200" s="137"/>
      <c r="H200" s="137"/>
      <c r="I200" s="137"/>
      <c r="J200" s="138"/>
      <c r="K200" s="138"/>
      <c r="L200" s="138"/>
      <c r="M200" s="139"/>
      <c r="N200" s="139"/>
      <c r="O200" s="140"/>
      <c r="P200" s="137"/>
    </row>
    <row r="201" ht="15.75" customHeight="1">
      <c r="A201" s="133"/>
      <c r="B201" s="134"/>
      <c r="C201" s="134"/>
      <c r="D201" s="135"/>
      <c r="E201" s="135"/>
      <c r="F201" s="136"/>
      <c r="G201" s="137"/>
      <c r="H201" s="137"/>
      <c r="I201" s="137"/>
      <c r="J201" s="138"/>
      <c r="K201" s="138"/>
      <c r="L201" s="138"/>
      <c r="M201" s="139"/>
      <c r="N201" s="139"/>
      <c r="O201" s="140"/>
      <c r="P201" s="137"/>
    </row>
    <row r="202" ht="15.75" customHeight="1">
      <c r="A202" s="133"/>
      <c r="B202" s="134"/>
      <c r="C202" s="134"/>
      <c r="D202" s="135"/>
      <c r="E202" s="135"/>
      <c r="F202" s="136"/>
      <c r="G202" s="137"/>
      <c r="H202" s="137"/>
      <c r="I202" s="137"/>
      <c r="J202" s="138"/>
      <c r="K202" s="138"/>
      <c r="L202" s="138"/>
      <c r="M202" s="139"/>
      <c r="N202" s="139"/>
      <c r="O202" s="140"/>
      <c r="P202" s="137"/>
    </row>
    <row r="203" ht="15.75" customHeight="1">
      <c r="A203" s="133"/>
      <c r="B203" s="134"/>
      <c r="C203" s="134"/>
      <c r="D203" s="135"/>
      <c r="E203" s="135"/>
      <c r="F203" s="136"/>
      <c r="G203" s="137"/>
      <c r="H203" s="137"/>
      <c r="I203" s="137"/>
      <c r="J203" s="138"/>
      <c r="K203" s="138"/>
      <c r="L203" s="138"/>
      <c r="M203" s="139"/>
      <c r="N203" s="139"/>
      <c r="O203" s="140"/>
      <c r="P203" s="137"/>
    </row>
    <row r="204" ht="15.75" customHeight="1">
      <c r="A204" s="133"/>
      <c r="B204" s="134"/>
      <c r="C204" s="134"/>
      <c r="D204" s="135"/>
      <c r="E204" s="135"/>
      <c r="F204" s="136"/>
      <c r="G204" s="137"/>
      <c r="H204" s="137"/>
      <c r="I204" s="137"/>
      <c r="J204" s="138"/>
      <c r="K204" s="138"/>
      <c r="L204" s="138"/>
      <c r="M204" s="139"/>
      <c r="N204" s="139"/>
      <c r="O204" s="140"/>
      <c r="P204" s="137"/>
    </row>
    <row r="205" ht="15.75" customHeight="1">
      <c r="A205" s="133"/>
      <c r="B205" s="134"/>
      <c r="C205" s="134"/>
      <c r="D205" s="135"/>
      <c r="E205" s="135"/>
      <c r="F205" s="136"/>
      <c r="G205" s="137"/>
      <c r="H205" s="137"/>
      <c r="I205" s="137"/>
      <c r="J205" s="138"/>
      <c r="K205" s="138"/>
      <c r="L205" s="138"/>
      <c r="M205" s="139"/>
      <c r="N205" s="139"/>
      <c r="O205" s="140"/>
      <c r="P205" s="137"/>
    </row>
    <row r="206" ht="15.75" customHeight="1">
      <c r="A206" s="133"/>
      <c r="B206" s="134"/>
      <c r="C206" s="134"/>
      <c r="D206" s="135"/>
      <c r="E206" s="135"/>
      <c r="F206" s="136"/>
      <c r="G206" s="137"/>
      <c r="H206" s="137"/>
      <c r="I206" s="137"/>
      <c r="J206" s="138"/>
      <c r="K206" s="138"/>
      <c r="L206" s="138"/>
      <c r="M206" s="139"/>
      <c r="N206" s="139"/>
      <c r="O206" s="140"/>
      <c r="P206" s="137"/>
    </row>
    <row r="207" ht="15.75" customHeight="1">
      <c r="A207" s="133"/>
      <c r="B207" s="134"/>
      <c r="C207" s="134"/>
      <c r="D207" s="135"/>
      <c r="E207" s="135"/>
      <c r="F207" s="136"/>
      <c r="G207" s="137"/>
      <c r="H207" s="137"/>
      <c r="I207" s="137"/>
      <c r="J207" s="138"/>
      <c r="K207" s="138"/>
      <c r="L207" s="138"/>
      <c r="M207" s="139"/>
      <c r="N207" s="139"/>
      <c r="O207" s="140"/>
      <c r="P207" s="137"/>
    </row>
    <row r="208" ht="15.75" customHeight="1">
      <c r="A208" s="133"/>
      <c r="B208" s="134"/>
      <c r="C208" s="134"/>
      <c r="D208" s="135"/>
      <c r="E208" s="135"/>
      <c r="F208" s="136"/>
      <c r="G208" s="137"/>
      <c r="H208" s="137"/>
      <c r="I208" s="137"/>
      <c r="J208" s="138"/>
      <c r="K208" s="138"/>
      <c r="L208" s="138"/>
      <c r="M208" s="139"/>
      <c r="N208" s="139"/>
      <c r="O208" s="140"/>
      <c r="P208" s="137"/>
    </row>
    <row r="209" ht="15.75" customHeight="1">
      <c r="A209" s="133"/>
      <c r="B209" s="134"/>
      <c r="C209" s="134"/>
      <c r="D209" s="135"/>
      <c r="E209" s="135"/>
      <c r="F209" s="136"/>
      <c r="G209" s="137"/>
      <c r="H209" s="137"/>
      <c r="I209" s="137"/>
      <c r="J209" s="138"/>
      <c r="K209" s="138"/>
      <c r="L209" s="138"/>
      <c r="M209" s="139"/>
      <c r="N209" s="139"/>
      <c r="O209" s="140"/>
      <c r="P209" s="137"/>
    </row>
    <row r="210" ht="15.75" customHeight="1">
      <c r="A210" s="133"/>
      <c r="B210" s="134"/>
      <c r="C210" s="134"/>
      <c r="D210" s="135"/>
      <c r="E210" s="135"/>
      <c r="F210" s="136"/>
      <c r="G210" s="137"/>
      <c r="H210" s="137"/>
      <c r="I210" s="137"/>
      <c r="J210" s="138"/>
      <c r="K210" s="138"/>
      <c r="L210" s="138"/>
      <c r="M210" s="139"/>
      <c r="N210" s="139"/>
      <c r="O210" s="140"/>
      <c r="P210" s="137"/>
    </row>
    <row r="211" ht="15.75" customHeight="1">
      <c r="A211" s="133"/>
      <c r="B211" s="134"/>
      <c r="C211" s="134"/>
      <c r="D211" s="135"/>
      <c r="E211" s="135"/>
      <c r="F211" s="136"/>
      <c r="G211" s="137"/>
      <c r="H211" s="137"/>
      <c r="I211" s="137"/>
      <c r="J211" s="138"/>
      <c r="K211" s="138"/>
      <c r="L211" s="138"/>
      <c r="M211" s="139"/>
      <c r="N211" s="139"/>
      <c r="O211" s="140"/>
      <c r="P211" s="137"/>
    </row>
    <row r="212" ht="15.75" customHeight="1">
      <c r="A212" s="133"/>
      <c r="B212" s="134"/>
      <c r="C212" s="134"/>
      <c r="D212" s="135"/>
      <c r="E212" s="135"/>
      <c r="F212" s="136"/>
      <c r="G212" s="137"/>
      <c r="H212" s="137"/>
      <c r="I212" s="137"/>
      <c r="J212" s="138"/>
      <c r="K212" s="138"/>
      <c r="L212" s="138"/>
      <c r="M212" s="139"/>
      <c r="N212" s="139"/>
      <c r="O212" s="140"/>
      <c r="P212" s="137"/>
    </row>
    <row r="213" ht="15.75" customHeight="1">
      <c r="A213" s="133"/>
      <c r="B213" s="134"/>
      <c r="C213" s="134"/>
      <c r="D213" s="135"/>
      <c r="E213" s="135"/>
      <c r="F213" s="136"/>
      <c r="G213" s="137"/>
      <c r="H213" s="137"/>
      <c r="I213" s="137"/>
      <c r="J213" s="138"/>
      <c r="K213" s="138"/>
      <c r="L213" s="138"/>
      <c r="M213" s="139"/>
      <c r="N213" s="139"/>
      <c r="O213" s="140"/>
      <c r="P213" s="137"/>
    </row>
    <row r="214" ht="15.75" customHeight="1">
      <c r="A214" s="133"/>
      <c r="B214" s="134"/>
      <c r="C214" s="134"/>
      <c r="D214" s="135"/>
      <c r="E214" s="135"/>
      <c r="F214" s="136"/>
      <c r="G214" s="137"/>
      <c r="H214" s="137"/>
      <c r="I214" s="137"/>
      <c r="J214" s="138"/>
      <c r="K214" s="138"/>
      <c r="L214" s="138"/>
      <c r="M214" s="139"/>
      <c r="N214" s="139"/>
      <c r="O214" s="140"/>
      <c r="P214" s="137"/>
    </row>
    <row r="215" ht="15.75" customHeight="1">
      <c r="A215" s="133"/>
      <c r="B215" s="134"/>
      <c r="C215" s="134"/>
      <c r="D215" s="135"/>
      <c r="E215" s="135"/>
      <c r="F215" s="136"/>
      <c r="G215" s="137"/>
      <c r="H215" s="137"/>
      <c r="I215" s="137"/>
      <c r="J215" s="138"/>
      <c r="K215" s="138"/>
      <c r="L215" s="138"/>
      <c r="M215" s="139"/>
      <c r="N215" s="139"/>
      <c r="O215" s="140"/>
      <c r="P215" s="137"/>
    </row>
    <row r="216" ht="15.75" customHeight="1">
      <c r="A216" s="133"/>
      <c r="B216" s="134"/>
      <c r="C216" s="134"/>
      <c r="D216" s="135"/>
      <c r="E216" s="135"/>
      <c r="F216" s="136"/>
      <c r="G216" s="137"/>
      <c r="H216" s="137"/>
      <c r="I216" s="137"/>
      <c r="J216" s="138"/>
      <c r="K216" s="138"/>
      <c r="L216" s="138"/>
      <c r="M216" s="139"/>
      <c r="N216" s="139"/>
      <c r="O216" s="140"/>
      <c r="P216" s="137"/>
    </row>
    <row r="217" ht="15.75" customHeight="1">
      <c r="A217" s="133"/>
      <c r="B217" s="134"/>
      <c r="C217" s="134"/>
      <c r="D217" s="135"/>
      <c r="E217" s="135"/>
      <c r="F217" s="136"/>
      <c r="G217" s="137"/>
      <c r="H217" s="137"/>
      <c r="I217" s="137"/>
      <c r="J217" s="138"/>
      <c r="K217" s="138"/>
      <c r="L217" s="138"/>
      <c r="M217" s="139"/>
      <c r="N217" s="139"/>
      <c r="O217" s="140"/>
      <c r="P217" s="137"/>
    </row>
    <row r="218" ht="15.75" customHeight="1">
      <c r="A218" s="133"/>
      <c r="B218" s="134"/>
      <c r="C218" s="134"/>
      <c r="D218" s="135"/>
      <c r="E218" s="135"/>
      <c r="F218" s="136"/>
      <c r="G218" s="137"/>
      <c r="H218" s="137"/>
      <c r="I218" s="137"/>
      <c r="J218" s="138"/>
      <c r="K218" s="138"/>
      <c r="L218" s="138"/>
      <c r="M218" s="139"/>
      <c r="N218" s="139"/>
      <c r="O218" s="140"/>
      <c r="P218" s="137"/>
    </row>
    <row r="219" ht="15.75" customHeight="1">
      <c r="A219" s="133"/>
      <c r="B219" s="134"/>
      <c r="C219" s="134"/>
      <c r="D219" s="135"/>
      <c r="E219" s="135"/>
      <c r="F219" s="136"/>
      <c r="G219" s="137"/>
      <c r="H219" s="137"/>
      <c r="I219" s="137"/>
      <c r="J219" s="138"/>
      <c r="K219" s="138"/>
      <c r="L219" s="138"/>
      <c r="M219" s="139"/>
      <c r="N219" s="139"/>
      <c r="O219" s="140"/>
      <c r="P219" s="137"/>
    </row>
    <row r="220" ht="15.75" customHeight="1">
      <c r="A220" s="133"/>
      <c r="B220" s="134"/>
      <c r="C220" s="134"/>
      <c r="D220" s="135"/>
      <c r="E220" s="135"/>
      <c r="F220" s="136"/>
      <c r="G220" s="137"/>
      <c r="H220" s="137"/>
      <c r="I220" s="137"/>
      <c r="J220" s="138"/>
      <c r="K220" s="138"/>
      <c r="L220" s="138"/>
      <c r="M220" s="139"/>
      <c r="N220" s="139"/>
      <c r="O220" s="140"/>
      <c r="P220" s="137"/>
    </row>
    <row r="221" ht="15.75" customHeight="1">
      <c r="A221" s="133"/>
      <c r="B221" s="134"/>
      <c r="C221" s="134"/>
      <c r="D221" s="135"/>
      <c r="E221" s="135"/>
      <c r="F221" s="136"/>
      <c r="G221" s="137"/>
      <c r="H221" s="137"/>
      <c r="I221" s="137"/>
      <c r="J221" s="138"/>
      <c r="K221" s="138"/>
      <c r="L221" s="138"/>
      <c r="M221" s="139"/>
      <c r="N221" s="139"/>
      <c r="O221" s="140"/>
      <c r="P221" s="137"/>
    </row>
    <row r="222" ht="15.75" customHeight="1">
      <c r="A222" s="133"/>
      <c r="B222" s="134"/>
      <c r="C222" s="134"/>
      <c r="D222" s="135"/>
      <c r="E222" s="135"/>
      <c r="F222" s="136"/>
      <c r="G222" s="137"/>
      <c r="H222" s="137"/>
      <c r="I222" s="137"/>
      <c r="J222" s="138"/>
      <c r="K222" s="138"/>
      <c r="L222" s="138"/>
      <c r="M222" s="139"/>
      <c r="N222" s="139"/>
      <c r="O222" s="140"/>
      <c r="P222" s="137"/>
    </row>
    <row r="223" ht="15.75" customHeight="1">
      <c r="A223" s="133"/>
      <c r="B223" s="134"/>
      <c r="C223" s="134"/>
      <c r="D223" s="135"/>
      <c r="E223" s="135"/>
      <c r="F223" s="136"/>
      <c r="G223" s="137"/>
      <c r="H223" s="137"/>
      <c r="I223" s="137"/>
      <c r="J223" s="138"/>
      <c r="K223" s="138"/>
      <c r="L223" s="138"/>
      <c r="M223" s="139"/>
      <c r="N223" s="139"/>
      <c r="O223" s="140"/>
      <c r="P223" s="137"/>
    </row>
    <row r="224" ht="15.75" customHeight="1">
      <c r="A224" s="133"/>
      <c r="B224" s="134"/>
      <c r="C224" s="134"/>
      <c r="D224" s="135"/>
      <c r="E224" s="135"/>
      <c r="F224" s="136"/>
      <c r="G224" s="137"/>
      <c r="H224" s="137"/>
      <c r="I224" s="137"/>
      <c r="J224" s="138"/>
      <c r="K224" s="138"/>
      <c r="L224" s="138"/>
      <c r="M224" s="139"/>
      <c r="N224" s="139"/>
      <c r="O224" s="140"/>
      <c r="P224" s="137"/>
    </row>
    <row r="225" ht="15.75" customHeight="1">
      <c r="A225" s="133"/>
      <c r="B225" s="134"/>
      <c r="C225" s="134"/>
      <c r="D225" s="135"/>
      <c r="E225" s="135"/>
      <c r="F225" s="136"/>
      <c r="G225" s="137"/>
      <c r="H225" s="137"/>
      <c r="I225" s="137"/>
      <c r="J225" s="138"/>
      <c r="K225" s="138"/>
      <c r="L225" s="138"/>
      <c r="M225" s="139"/>
      <c r="N225" s="139"/>
      <c r="O225" s="140"/>
      <c r="P225" s="137"/>
    </row>
    <row r="226" ht="15.75" customHeight="1">
      <c r="A226" s="133"/>
      <c r="B226" s="134"/>
      <c r="C226" s="134"/>
      <c r="D226" s="135"/>
      <c r="E226" s="135"/>
      <c r="F226" s="136"/>
      <c r="G226" s="137"/>
      <c r="H226" s="137"/>
      <c r="I226" s="137"/>
      <c r="J226" s="138"/>
      <c r="K226" s="138"/>
      <c r="L226" s="138"/>
      <c r="M226" s="139"/>
      <c r="N226" s="139"/>
      <c r="O226" s="140"/>
      <c r="P226" s="137"/>
    </row>
    <row r="227" ht="15.75" customHeight="1">
      <c r="A227" s="133"/>
      <c r="B227" s="134"/>
      <c r="C227" s="134"/>
      <c r="D227" s="135"/>
      <c r="E227" s="135"/>
      <c r="F227" s="136"/>
      <c r="G227" s="137"/>
      <c r="H227" s="137"/>
      <c r="I227" s="137"/>
      <c r="J227" s="138"/>
      <c r="K227" s="138"/>
      <c r="L227" s="138"/>
      <c r="M227" s="139"/>
      <c r="N227" s="139"/>
      <c r="O227" s="140"/>
      <c r="P227" s="137"/>
    </row>
    <row r="228" ht="15.75" customHeight="1">
      <c r="A228" s="133"/>
      <c r="B228" s="134"/>
      <c r="C228" s="134"/>
      <c r="D228" s="135"/>
      <c r="E228" s="135"/>
      <c r="F228" s="136"/>
      <c r="G228" s="137"/>
      <c r="H228" s="137"/>
      <c r="I228" s="137"/>
      <c r="J228" s="138"/>
      <c r="K228" s="138"/>
      <c r="L228" s="138"/>
      <c r="M228" s="139"/>
      <c r="N228" s="139"/>
      <c r="O228" s="140"/>
      <c r="P228" s="137"/>
    </row>
    <row r="229" ht="15.75" customHeight="1">
      <c r="A229" s="133"/>
      <c r="B229" s="134"/>
      <c r="C229" s="134"/>
      <c r="D229" s="135"/>
      <c r="E229" s="135"/>
      <c r="F229" s="136"/>
      <c r="G229" s="137"/>
      <c r="H229" s="137"/>
      <c r="I229" s="137"/>
      <c r="J229" s="138"/>
      <c r="K229" s="138"/>
      <c r="L229" s="138"/>
      <c r="M229" s="139"/>
      <c r="N229" s="139"/>
      <c r="O229" s="140"/>
      <c r="P229" s="137"/>
    </row>
    <row r="230" ht="15.75" customHeight="1">
      <c r="A230" s="133"/>
      <c r="B230" s="134"/>
      <c r="C230" s="134"/>
      <c r="D230" s="135"/>
      <c r="E230" s="135"/>
      <c r="F230" s="136"/>
      <c r="G230" s="137"/>
      <c r="H230" s="137"/>
      <c r="I230" s="137"/>
      <c r="J230" s="138"/>
      <c r="K230" s="138"/>
      <c r="L230" s="138"/>
      <c r="M230" s="139"/>
      <c r="N230" s="139"/>
      <c r="O230" s="140"/>
      <c r="P230" s="137"/>
    </row>
    <row r="231" ht="15.75" customHeight="1">
      <c r="A231" s="133"/>
      <c r="B231" s="134"/>
      <c r="C231" s="134"/>
      <c r="D231" s="135"/>
      <c r="E231" s="135"/>
      <c r="F231" s="136"/>
      <c r="G231" s="137"/>
      <c r="H231" s="137"/>
      <c r="I231" s="137"/>
      <c r="J231" s="138"/>
      <c r="K231" s="138"/>
      <c r="L231" s="138"/>
      <c r="M231" s="139"/>
      <c r="N231" s="139"/>
      <c r="O231" s="140"/>
      <c r="P231" s="137"/>
    </row>
    <row r="232" ht="15.75" customHeight="1">
      <c r="A232" s="133"/>
      <c r="B232" s="134"/>
      <c r="C232" s="134"/>
      <c r="D232" s="135"/>
      <c r="E232" s="135"/>
      <c r="F232" s="136"/>
      <c r="G232" s="137"/>
      <c r="H232" s="137"/>
      <c r="I232" s="137"/>
      <c r="J232" s="138"/>
      <c r="K232" s="138"/>
      <c r="L232" s="138"/>
      <c r="M232" s="139"/>
      <c r="N232" s="139"/>
      <c r="O232" s="140"/>
      <c r="P232" s="137"/>
    </row>
    <row r="233" ht="15.75" customHeight="1">
      <c r="A233" s="133"/>
      <c r="B233" s="134"/>
      <c r="C233" s="134"/>
      <c r="D233" s="135"/>
      <c r="E233" s="135"/>
      <c r="F233" s="136"/>
      <c r="G233" s="137"/>
      <c r="H233" s="137"/>
      <c r="I233" s="137"/>
      <c r="J233" s="138"/>
      <c r="K233" s="138"/>
      <c r="L233" s="138"/>
      <c r="M233" s="139"/>
      <c r="N233" s="139"/>
      <c r="O233" s="140"/>
      <c r="P233" s="137"/>
    </row>
    <row r="234" ht="15.75" customHeight="1">
      <c r="A234" s="133"/>
      <c r="B234" s="134"/>
      <c r="C234" s="134"/>
      <c r="D234" s="135"/>
      <c r="E234" s="135"/>
      <c r="F234" s="136"/>
      <c r="G234" s="137"/>
      <c r="H234" s="137"/>
      <c r="I234" s="137"/>
      <c r="J234" s="138"/>
      <c r="K234" s="138"/>
      <c r="L234" s="138"/>
      <c r="M234" s="139"/>
      <c r="N234" s="139"/>
      <c r="O234" s="140"/>
      <c r="P234" s="137"/>
    </row>
    <row r="235" ht="15.75" customHeight="1">
      <c r="A235" s="133"/>
      <c r="B235" s="134"/>
      <c r="C235" s="134"/>
      <c r="D235" s="135"/>
      <c r="E235" s="135"/>
      <c r="F235" s="136"/>
      <c r="G235" s="137"/>
      <c r="H235" s="137"/>
      <c r="I235" s="137"/>
      <c r="J235" s="138"/>
      <c r="K235" s="138"/>
      <c r="L235" s="138"/>
      <c r="M235" s="139"/>
      <c r="N235" s="139"/>
      <c r="O235" s="140"/>
      <c r="P235" s="137"/>
    </row>
    <row r="236" ht="15.75" customHeight="1">
      <c r="A236" s="133"/>
      <c r="B236" s="134"/>
      <c r="C236" s="134"/>
      <c r="D236" s="135"/>
      <c r="E236" s="135"/>
      <c r="F236" s="136"/>
      <c r="G236" s="137"/>
      <c r="H236" s="137"/>
      <c r="I236" s="137"/>
      <c r="J236" s="138"/>
      <c r="K236" s="138"/>
      <c r="L236" s="138"/>
      <c r="M236" s="139"/>
      <c r="N236" s="139"/>
      <c r="O236" s="140"/>
      <c r="P236" s="137"/>
    </row>
    <row r="237" ht="15.75" customHeight="1">
      <c r="A237" s="133"/>
      <c r="B237" s="134"/>
      <c r="C237" s="134"/>
      <c r="D237" s="135"/>
      <c r="E237" s="135"/>
      <c r="F237" s="136"/>
      <c r="G237" s="137"/>
      <c r="H237" s="137"/>
      <c r="I237" s="137"/>
      <c r="J237" s="138"/>
      <c r="K237" s="138"/>
      <c r="L237" s="138"/>
      <c r="M237" s="139"/>
      <c r="N237" s="139"/>
      <c r="O237" s="140"/>
      <c r="P237" s="137"/>
    </row>
    <row r="238" ht="15.75" customHeight="1">
      <c r="A238" s="133"/>
      <c r="B238" s="134"/>
      <c r="C238" s="134"/>
      <c r="D238" s="135"/>
      <c r="E238" s="135"/>
      <c r="F238" s="136"/>
      <c r="G238" s="137"/>
      <c r="H238" s="137"/>
      <c r="I238" s="137"/>
      <c r="J238" s="138"/>
      <c r="K238" s="138"/>
      <c r="L238" s="138"/>
      <c r="M238" s="139"/>
      <c r="N238" s="139"/>
      <c r="O238" s="140"/>
      <c r="P238" s="137"/>
    </row>
    <row r="239" ht="15.75" customHeight="1">
      <c r="A239" s="133"/>
      <c r="B239" s="134"/>
      <c r="C239" s="134"/>
      <c r="D239" s="135"/>
      <c r="E239" s="135"/>
      <c r="F239" s="136"/>
      <c r="G239" s="137"/>
      <c r="H239" s="137"/>
      <c r="I239" s="137"/>
      <c r="J239" s="138"/>
      <c r="K239" s="138"/>
      <c r="L239" s="138"/>
      <c r="M239" s="139"/>
      <c r="N239" s="139"/>
      <c r="O239" s="140"/>
      <c r="P239" s="137"/>
    </row>
    <row r="240" ht="15.75" customHeight="1">
      <c r="A240" s="133"/>
      <c r="B240" s="134"/>
      <c r="C240" s="134"/>
      <c r="D240" s="135"/>
      <c r="E240" s="135"/>
      <c r="F240" s="136"/>
      <c r="G240" s="137"/>
      <c r="H240" s="137"/>
      <c r="I240" s="137"/>
      <c r="J240" s="138"/>
      <c r="K240" s="138"/>
      <c r="L240" s="138"/>
      <c r="M240" s="139"/>
      <c r="N240" s="139"/>
      <c r="O240" s="140"/>
      <c r="P240" s="137"/>
    </row>
    <row r="241" ht="15.75" customHeight="1">
      <c r="A241" s="133"/>
      <c r="B241" s="134"/>
      <c r="C241" s="134"/>
      <c r="D241" s="135"/>
      <c r="E241" s="135"/>
      <c r="F241" s="136"/>
      <c r="G241" s="137"/>
      <c r="H241" s="137"/>
      <c r="I241" s="137"/>
      <c r="J241" s="138"/>
      <c r="K241" s="138"/>
      <c r="L241" s="138"/>
      <c r="M241" s="139"/>
      <c r="N241" s="139"/>
      <c r="O241" s="140"/>
      <c r="P241" s="137"/>
    </row>
    <row r="242" ht="15.75" customHeight="1">
      <c r="A242" s="133"/>
      <c r="B242" s="134"/>
      <c r="C242" s="134"/>
      <c r="D242" s="135"/>
      <c r="E242" s="135"/>
      <c r="F242" s="136"/>
      <c r="G242" s="137"/>
      <c r="H242" s="137"/>
      <c r="I242" s="137"/>
      <c r="J242" s="138"/>
      <c r="K242" s="138"/>
      <c r="L242" s="138"/>
      <c r="M242" s="139"/>
      <c r="N242" s="139"/>
      <c r="O242" s="140"/>
      <c r="P242" s="137"/>
    </row>
    <row r="243" ht="15.75" customHeight="1">
      <c r="A243" s="133"/>
      <c r="B243" s="134"/>
      <c r="C243" s="134"/>
      <c r="D243" s="135"/>
      <c r="E243" s="135"/>
      <c r="F243" s="136"/>
      <c r="G243" s="137"/>
      <c r="H243" s="137"/>
      <c r="I243" s="137"/>
      <c r="J243" s="138"/>
      <c r="K243" s="138"/>
      <c r="L243" s="138"/>
      <c r="M243" s="139"/>
      <c r="N243" s="139"/>
      <c r="O243" s="140"/>
      <c r="P243" s="137"/>
    </row>
    <row r="244" ht="15.75" customHeight="1">
      <c r="A244" s="133"/>
      <c r="B244" s="134"/>
      <c r="C244" s="134"/>
      <c r="D244" s="135"/>
      <c r="E244" s="135"/>
      <c r="F244" s="136"/>
      <c r="G244" s="137"/>
      <c r="H244" s="137"/>
      <c r="I244" s="137"/>
      <c r="J244" s="138"/>
      <c r="K244" s="138"/>
      <c r="L244" s="138"/>
      <c r="M244" s="139"/>
      <c r="N244" s="139"/>
      <c r="O244" s="140"/>
      <c r="P244" s="137"/>
    </row>
    <row r="245" ht="15.75" customHeight="1">
      <c r="A245" s="133"/>
      <c r="B245" s="134"/>
      <c r="C245" s="134"/>
      <c r="D245" s="135"/>
      <c r="E245" s="135"/>
      <c r="F245" s="136"/>
      <c r="G245" s="137"/>
      <c r="H245" s="137"/>
      <c r="I245" s="137"/>
      <c r="J245" s="138"/>
      <c r="K245" s="138"/>
      <c r="L245" s="138"/>
      <c r="M245" s="139"/>
      <c r="N245" s="139"/>
      <c r="O245" s="140"/>
      <c r="P245" s="137"/>
    </row>
    <row r="246" ht="15.75" customHeight="1">
      <c r="A246" s="133"/>
      <c r="B246" s="134"/>
      <c r="C246" s="134"/>
      <c r="D246" s="135"/>
      <c r="E246" s="135"/>
      <c r="F246" s="136"/>
      <c r="G246" s="137"/>
      <c r="H246" s="137"/>
      <c r="I246" s="137"/>
      <c r="J246" s="138"/>
      <c r="K246" s="138"/>
      <c r="L246" s="138"/>
      <c r="M246" s="139"/>
      <c r="N246" s="139"/>
      <c r="O246" s="140"/>
      <c r="P246" s="137"/>
    </row>
    <row r="247" ht="15.75" customHeight="1">
      <c r="A247" s="133"/>
      <c r="B247" s="134"/>
      <c r="C247" s="134"/>
      <c r="D247" s="135"/>
      <c r="E247" s="135"/>
      <c r="F247" s="136"/>
      <c r="G247" s="137"/>
      <c r="H247" s="137"/>
      <c r="I247" s="137"/>
      <c r="J247" s="138"/>
      <c r="K247" s="138"/>
      <c r="L247" s="138"/>
      <c r="M247" s="139"/>
      <c r="N247" s="139"/>
      <c r="O247" s="140"/>
      <c r="P247" s="137"/>
    </row>
    <row r="248" ht="15.75" customHeight="1">
      <c r="A248" s="133"/>
      <c r="B248" s="134"/>
      <c r="C248" s="134"/>
      <c r="D248" s="135"/>
      <c r="E248" s="135"/>
      <c r="F248" s="136"/>
      <c r="G248" s="137"/>
      <c r="H248" s="137"/>
      <c r="I248" s="137"/>
      <c r="J248" s="138"/>
      <c r="K248" s="138"/>
      <c r="L248" s="138"/>
      <c r="M248" s="139"/>
      <c r="N248" s="139"/>
      <c r="O248" s="140"/>
      <c r="P248" s="137"/>
    </row>
    <row r="249" ht="15.75" customHeight="1">
      <c r="A249" s="133"/>
      <c r="B249" s="134"/>
      <c r="C249" s="134"/>
      <c r="D249" s="135"/>
      <c r="E249" s="135"/>
      <c r="F249" s="136"/>
      <c r="G249" s="137"/>
      <c r="H249" s="137"/>
      <c r="I249" s="137"/>
      <c r="J249" s="138"/>
      <c r="K249" s="138"/>
      <c r="L249" s="138"/>
      <c r="M249" s="139"/>
      <c r="N249" s="139"/>
      <c r="O249" s="140"/>
      <c r="P249" s="137"/>
    </row>
    <row r="250" ht="15.75" customHeight="1">
      <c r="A250" s="133"/>
      <c r="B250" s="134"/>
      <c r="C250" s="134"/>
      <c r="D250" s="135"/>
      <c r="E250" s="135"/>
      <c r="F250" s="136"/>
      <c r="G250" s="137"/>
      <c r="H250" s="137"/>
      <c r="I250" s="137"/>
      <c r="J250" s="138"/>
      <c r="K250" s="138"/>
      <c r="L250" s="138"/>
      <c r="M250" s="139"/>
      <c r="N250" s="139"/>
      <c r="O250" s="140"/>
      <c r="P250" s="137"/>
    </row>
    <row r="251" ht="15.75" customHeight="1">
      <c r="A251" s="133"/>
      <c r="B251" s="134"/>
      <c r="C251" s="134"/>
      <c r="D251" s="135"/>
      <c r="E251" s="135"/>
      <c r="F251" s="136"/>
      <c r="G251" s="137"/>
      <c r="H251" s="137"/>
      <c r="I251" s="137"/>
      <c r="J251" s="138"/>
      <c r="K251" s="138"/>
      <c r="L251" s="138"/>
      <c r="M251" s="139"/>
      <c r="N251" s="139"/>
      <c r="O251" s="140"/>
      <c r="P251" s="137"/>
    </row>
    <row r="252" ht="15.75" customHeight="1">
      <c r="A252" s="133"/>
      <c r="B252" s="134"/>
      <c r="C252" s="134"/>
      <c r="D252" s="135"/>
      <c r="E252" s="135"/>
      <c r="F252" s="136"/>
      <c r="G252" s="137"/>
      <c r="H252" s="137"/>
      <c r="I252" s="137"/>
      <c r="J252" s="138"/>
      <c r="K252" s="138"/>
      <c r="L252" s="138"/>
      <c r="M252" s="139"/>
      <c r="N252" s="139"/>
      <c r="O252" s="140"/>
      <c r="P252" s="137"/>
    </row>
    <row r="253" ht="15.75" customHeight="1">
      <c r="A253" s="133"/>
      <c r="B253" s="134"/>
      <c r="C253" s="134"/>
      <c r="D253" s="135"/>
      <c r="E253" s="135"/>
      <c r="F253" s="136"/>
      <c r="G253" s="137"/>
      <c r="H253" s="137"/>
      <c r="I253" s="137"/>
      <c r="J253" s="138"/>
      <c r="K253" s="138"/>
      <c r="L253" s="138"/>
      <c r="M253" s="139"/>
      <c r="N253" s="139"/>
      <c r="O253" s="140"/>
      <c r="P253" s="137"/>
    </row>
    <row r="254" ht="15.75" customHeight="1">
      <c r="A254" s="133"/>
      <c r="B254" s="134"/>
      <c r="C254" s="134"/>
      <c r="D254" s="135"/>
      <c r="E254" s="135"/>
      <c r="F254" s="136"/>
      <c r="G254" s="137"/>
      <c r="H254" s="137"/>
      <c r="I254" s="137"/>
      <c r="J254" s="138"/>
      <c r="K254" s="138"/>
      <c r="L254" s="138"/>
      <c r="M254" s="139"/>
      <c r="N254" s="139"/>
      <c r="O254" s="140"/>
      <c r="P254" s="137"/>
    </row>
    <row r="255" ht="15.75" customHeight="1">
      <c r="A255" s="133"/>
      <c r="B255" s="134"/>
      <c r="C255" s="134"/>
      <c r="D255" s="135"/>
      <c r="E255" s="135"/>
      <c r="F255" s="136"/>
      <c r="G255" s="137"/>
      <c r="H255" s="137"/>
      <c r="I255" s="137"/>
      <c r="J255" s="138"/>
      <c r="K255" s="138"/>
      <c r="L255" s="138"/>
      <c r="M255" s="139"/>
      <c r="N255" s="139"/>
      <c r="O255" s="140"/>
      <c r="P255" s="137"/>
    </row>
    <row r="256" ht="15.75" customHeight="1">
      <c r="A256" s="133"/>
      <c r="B256" s="134"/>
      <c r="C256" s="134"/>
      <c r="D256" s="135"/>
      <c r="E256" s="135"/>
      <c r="F256" s="136"/>
      <c r="G256" s="137"/>
      <c r="H256" s="137"/>
      <c r="I256" s="137"/>
      <c r="J256" s="138"/>
      <c r="K256" s="138"/>
      <c r="L256" s="138"/>
      <c r="M256" s="139"/>
      <c r="N256" s="139"/>
      <c r="O256" s="140"/>
      <c r="P256" s="137"/>
    </row>
    <row r="257" ht="15.75" customHeight="1">
      <c r="A257" s="133"/>
      <c r="B257" s="134"/>
      <c r="C257" s="134"/>
      <c r="D257" s="135"/>
      <c r="E257" s="135"/>
      <c r="F257" s="136"/>
      <c r="G257" s="137"/>
      <c r="H257" s="137"/>
      <c r="I257" s="137"/>
      <c r="J257" s="138"/>
      <c r="K257" s="138"/>
      <c r="L257" s="138"/>
      <c r="M257" s="139"/>
      <c r="N257" s="139"/>
      <c r="O257" s="140"/>
      <c r="P257" s="137"/>
    </row>
    <row r="258" ht="15.75" customHeight="1">
      <c r="A258" s="133"/>
      <c r="B258" s="134"/>
      <c r="C258" s="134"/>
      <c r="D258" s="135"/>
      <c r="E258" s="135"/>
      <c r="F258" s="136"/>
      <c r="G258" s="137"/>
      <c r="H258" s="137"/>
      <c r="I258" s="137"/>
      <c r="J258" s="138"/>
      <c r="K258" s="138"/>
      <c r="L258" s="138"/>
      <c r="M258" s="139"/>
      <c r="N258" s="139"/>
      <c r="O258" s="140"/>
      <c r="P258" s="137"/>
    </row>
    <row r="259" ht="15.75" customHeight="1">
      <c r="A259" s="133"/>
      <c r="B259" s="134"/>
      <c r="C259" s="134"/>
      <c r="D259" s="135"/>
      <c r="E259" s="135"/>
      <c r="F259" s="136"/>
      <c r="G259" s="137"/>
      <c r="H259" s="137"/>
      <c r="I259" s="137"/>
      <c r="J259" s="138"/>
      <c r="K259" s="138"/>
      <c r="L259" s="138"/>
      <c r="M259" s="139"/>
      <c r="N259" s="139"/>
      <c r="O259" s="140"/>
      <c r="P259" s="137"/>
    </row>
    <row r="260" ht="15.75" customHeight="1">
      <c r="A260" s="133"/>
      <c r="B260" s="134"/>
      <c r="C260" s="134"/>
      <c r="D260" s="135"/>
      <c r="E260" s="135"/>
      <c r="F260" s="136"/>
      <c r="G260" s="137"/>
      <c r="H260" s="137"/>
      <c r="I260" s="137"/>
      <c r="J260" s="138"/>
      <c r="K260" s="138"/>
      <c r="L260" s="138"/>
      <c r="M260" s="139"/>
      <c r="N260" s="139"/>
      <c r="O260" s="140"/>
      <c r="P260" s="137"/>
    </row>
    <row r="261" ht="15.75" customHeight="1">
      <c r="A261" s="133"/>
      <c r="B261" s="134"/>
      <c r="C261" s="134"/>
      <c r="D261" s="135"/>
      <c r="E261" s="135"/>
      <c r="F261" s="136"/>
      <c r="G261" s="137"/>
      <c r="H261" s="137"/>
      <c r="I261" s="137"/>
      <c r="J261" s="138"/>
      <c r="K261" s="138"/>
      <c r="L261" s="138"/>
      <c r="M261" s="139"/>
      <c r="N261" s="139"/>
      <c r="O261" s="140"/>
      <c r="P261" s="137"/>
    </row>
    <row r="262" ht="15.75" customHeight="1">
      <c r="A262" s="133"/>
      <c r="B262" s="134"/>
      <c r="C262" s="134"/>
      <c r="D262" s="135"/>
      <c r="E262" s="135"/>
      <c r="F262" s="136"/>
      <c r="G262" s="137"/>
      <c r="H262" s="137"/>
      <c r="I262" s="137"/>
      <c r="J262" s="138"/>
      <c r="K262" s="138"/>
      <c r="L262" s="138"/>
      <c r="M262" s="139"/>
      <c r="N262" s="139"/>
      <c r="O262" s="140"/>
      <c r="P262" s="137"/>
    </row>
    <row r="263" ht="15.75" customHeight="1">
      <c r="A263" s="133"/>
      <c r="B263" s="134"/>
      <c r="C263" s="134"/>
      <c r="D263" s="135"/>
      <c r="E263" s="135"/>
      <c r="F263" s="136"/>
      <c r="G263" s="137"/>
      <c r="H263" s="137"/>
      <c r="I263" s="137"/>
      <c r="J263" s="138"/>
      <c r="K263" s="138"/>
      <c r="L263" s="138"/>
      <c r="M263" s="139"/>
      <c r="N263" s="139"/>
      <c r="O263" s="140"/>
      <c r="P263" s="137"/>
    </row>
    <row r="264" ht="15.75" customHeight="1">
      <c r="A264" s="133"/>
      <c r="B264" s="134"/>
      <c r="C264" s="134"/>
      <c r="D264" s="135"/>
      <c r="E264" s="135"/>
      <c r="F264" s="136"/>
      <c r="G264" s="137"/>
      <c r="H264" s="137"/>
      <c r="I264" s="137"/>
      <c r="J264" s="138"/>
      <c r="K264" s="138"/>
      <c r="L264" s="138"/>
      <c r="M264" s="139"/>
      <c r="N264" s="139"/>
      <c r="O264" s="140"/>
      <c r="P264" s="137"/>
    </row>
    <row r="265" ht="15.75" customHeight="1">
      <c r="A265" s="133"/>
      <c r="B265" s="134"/>
      <c r="C265" s="134"/>
      <c r="D265" s="135"/>
      <c r="E265" s="135"/>
      <c r="F265" s="136"/>
      <c r="G265" s="137"/>
      <c r="H265" s="137"/>
      <c r="I265" s="137"/>
      <c r="J265" s="138"/>
      <c r="K265" s="138"/>
      <c r="L265" s="138"/>
      <c r="M265" s="139"/>
      <c r="N265" s="139"/>
      <c r="O265" s="140"/>
      <c r="P265" s="137"/>
    </row>
    <row r="266" ht="15.75" customHeight="1">
      <c r="A266" s="133"/>
      <c r="B266" s="134"/>
      <c r="C266" s="134"/>
      <c r="D266" s="135"/>
      <c r="E266" s="135"/>
      <c r="F266" s="136"/>
      <c r="G266" s="137"/>
      <c r="H266" s="137"/>
      <c r="I266" s="137"/>
      <c r="J266" s="138"/>
      <c r="K266" s="138"/>
      <c r="L266" s="138"/>
      <c r="M266" s="139"/>
      <c r="N266" s="139"/>
      <c r="O266" s="140"/>
      <c r="P266" s="137"/>
    </row>
    <row r="267" ht="15.75" customHeight="1">
      <c r="A267" s="133"/>
      <c r="B267" s="134"/>
      <c r="C267" s="134"/>
      <c r="D267" s="135"/>
      <c r="E267" s="135"/>
      <c r="F267" s="136"/>
      <c r="G267" s="137"/>
      <c r="H267" s="137"/>
      <c r="I267" s="137"/>
      <c r="J267" s="138"/>
      <c r="K267" s="138"/>
      <c r="L267" s="138"/>
      <c r="M267" s="139"/>
      <c r="N267" s="139"/>
      <c r="O267" s="140"/>
      <c r="P267" s="137"/>
    </row>
    <row r="268" ht="15.75" customHeight="1">
      <c r="A268" s="133"/>
      <c r="B268" s="134"/>
      <c r="C268" s="134"/>
      <c r="D268" s="135"/>
      <c r="E268" s="135"/>
      <c r="F268" s="136"/>
      <c r="G268" s="137"/>
      <c r="H268" s="137"/>
      <c r="I268" s="137"/>
      <c r="J268" s="138"/>
      <c r="K268" s="138"/>
      <c r="L268" s="138"/>
      <c r="M268" s="139"/>
      <c r="N268" s="139"/>
      <c r="O268" s="140"/>
      <c r="P268" s="137"/>
    </row>
    <row r="269" ht="15.75" customHeight="1">
      <c r="A269" s="133"/>
      <c r="B269" s="134"/>
      <c r="C269" s="134"/>
      <c r="D269" s="135"/>
      <c r="E269" s="135"/>
      <c r="F269" s="136"/>
      <c r="G269" s="137"/>
      <c r="H269" s="137"/>
      <c r="I269" s="137"/>
      <c r="J269" s="138"/>
      <c r="K269" s="138"/>
      <c r="L269" s="138"/>
      <c r="M269" s="139"/>
      <c r="N269" s="139"/>
      <c r="O269" s="140"/>
      <c r="P269" s="137"/>
    </row>
    <row r="270" ht="15.75" customHeight="1">
      <c r="A270" s="133"/>
      <c r="B270" s="134"/>
      <c r="C270" s="134"/>
      <c r="D270" s="135"/>
      <c r="E270" s="135"/>
      <c r="F270" s="136"/>
      <c r="G270" s="137"/>
      <c r="H270" s="137"/>
      <c r="I270" s="137"/>
      <c r="J270" s="138"/>
      <c r="K270" s="138"/>
      <c r="L270" s="138"/>
      <c r="M270" s="139"/>
      <c r="N270" s="139"/>
      <c r="O270" s="140"/>
      <c r="P270" s="137"/>
    </row>
    <row r="271" ht="15.75" customHeight="1">
      <c r="A271" s="133"/>
      <c r="B271" s="134"/>
      <c r="C271" s="134"/>
      <c r="D271" s="135"/>
      <c r="E271" s="135"/>
      <c r="F271" s="136"/>
      <c r="G271" s="137"/>
      <c r="H271" s="137"/>
      <c r="I271" s="137"/>
      <c r="J271" s="138"/>
      <c r="K271" s="138"/>
      <c r="L271" s="138"/>
      <c r="M271" s="139"/>
      <c r="N271" s="139"/>
      <c r="O271" s="140"/>
      <c r="P271" s="137"/>
    </row>
    <row r="272" ht="15.75" customHeight="1">
      <c r="A272" s="133"/>
      <c r="B272" s="134"/>
      <c r="C272" s="134"/>
      <c r="D272" s="135"/>
      <c r="E272" s="135"/>
      <c r="F272" s="136"/>
      <c r="G272" s="137"/>
      <c r="H272" s="137"/>
      <c r="I272" s="137"/>
      <c r="J272" s="138"/>
      <c r="K272" s="138"/>
      <c r="L272" s="138"/>
      <c r="M272" s="139"/>
      <c r="N272" s="139"/>
      <c r="O272" s="140"/>
      <c r="P272" s="137"/>
    </row>
    <row r="273" ht="15.75" customHeight="1">
      <c r="A273" s="133"/>
      <c r="B273" s="134"/>
      <c r="C273" s="134"/>
      <c r="D273" s="135"/>
      <c r="E273" s="135"/>
      <c r="F273" s="136"/>
      <c r="G273" s="137"/>
      <c r="H273" s="137"/>
      <c r="I273" s="137"/>
      <c r="J273" s="138"/>
      <c r="K273" s="138"/>
      <c r="L273" s="138"/>
      <c r="M273" s="139"/>
      <c r="N273" s="139"/>
      <c r="O273" s="140"/>
      <c r="P273" s="137"/>
    </row>
    <row r="274" ht="15.75" customHeight="1">
      <c r="A274" s="133"/>
      <c r="B274" s="134"/>
      <c r="C274" s="134"/>
      <c r="D274" s="135"/>
      <c r="E274" s="135"/>
      <c r="F274" s="136"/>
      <c r="G274" s="137"/>
      <c r="H274" s="137"/>
      <c r="I274" s="137"/>
      <c r="J274" s="138"/>
      <c r="K274" s="138"/>
      <c r="L274" s="138"/>
      <c r="M274" s="139"/>
      <c r="N274" s="139"/>
      <c r="O274" s="140"/>
      <c r="P274" s="137"/>
    </row>
    <row r="275" ht="15.75" customHeight="1">
      <c r="A275" s="133"/>
      <c r="B275" s="134"/>
      <c r="C275" s="134"/>
      <c r="D275" s="135"/>
      <c r="E275" s="135"/>
      <c r="F275" s="136"/>
      <c r="G275" s="137"/>
      <c r="H275" s="137"/>
      <c r="I275" s="137"/>
      <c r="J275" s="138"/>
      <c r="K275" s="138"/>
      <c r="L275" s="138"/>
      <c r="M275" s="139"/>
      <c r="N275" s="139"/>
      <c r="O275" s="140"/>
      <c r="P275" s="137"/>
    </row>
    <row r="276" ht="15.75" customHeight="1">
      <c r="A276" s="133"/>
      <c r="B276" s="134"/>
      <c r="C276" s="134"/>
      <c r="D276" s="135"/>
      <c r="E276" s="135"/>
      <c r="F276" s="136"/>
      <c r="G276" s="137"/>
      <c r="H276" s="137"/>
      <c r="I276" s="137"/>
      <c r="J276" s="138"/>
      <c r="K276" s="138"/>
      <c r="L276" s="138"/>
      <c r="M276" s="139"/>
      <c r="N276" s="139"/>
      <c r="O276" s="140"/>
      <c r="P276" s="137"/>
    </row>
    <row r="277" ht="15.75" customHeight="1">
      <c r="A277" s="133"/>
      <c r="B277" s="134"/>
      <c r="C277" s="134"/>
      <c r="D277" s="135"/>
      <c r="E277" s="135"/>
      <c r="F277" s="136"/>
      <c r="G277" s="137"/>
      <c r="H277" s="137"/>
      <c r="I277" s="137"/>
      <c r="J277" s="138"/>
      <c r="K277" s="138"/>
      <c r="L277" s="138"/>
      <c r="M277" s="139"/>
      <c r="N277" s="139"/>
      <c r="O277" s="140"/>
      <c r="P277" s="137"/>
    </row>
    <row r="278" ht="15.75" customHeight="1">
      <c r="A278" s="133"/>
      <c r="B278" s="134"/>
      <c r="C278" s="134"/>
      <c r="D278" s="135"/>
      <c r="E278" s="135"/>
      <c r="F278" s="136"/>
      <c r="G278" s="137"/>
      <c r="H278" s="137"/>
      <c r="I278" s="137"/>
      <c r="J278" s="138"/>
      <c r="K278" s="138"/>
      <c r="L278" s="138"/>
      <c r="M278" s="139"/>
      <c r="N278" s="139"/>
      <c r="O278" s="140"/>
      <c r="P278" s="137"/>
    </row>
    <row r="279" ht="15.75" customHeight="1">
      <c r="A279" s="133"/>
      <c r="B279" s="134"/>
      <c r="C279" s="134"/>
      <c r="D279" s="135"/>
      <c r="E279" s="135"/>
      <c r="F279" s="136"/>
      <c r="G279" s="137"/>
      <c r="H279" s="137"/>
      <c r="I279" s="137"/>
      <c r="J279" s="138"/>
      <c r="K279" s="138"/>
      <c r="L279" s="138"/>
      <c r="M279" s="139"/>
      <c r="N279" s="139"/>
      <c r="O279" s="140"/>
      <c r="P279" s="137"/>
    </row>
    <row r="280" ht="15.75" customHeight="1">
      <c r="A280" s="133"/>
      <c r="B280" s="134"/>
      <c r="C280" s="134"/>
      <c r="D280" s="135"/>
      <c r="E280" s="135"/>
      <c r="F280" s="136"/>
      <c r="G280" s="137"/>
      <c r="H280" s="137"/>
      <c r="I280" s="137"/>
      <c r="J280" s="138"/>
      <c r="K280" s="138"/>
      <c r="L280" s="138"/>
      <c r="M280" s="139"/>
      <c r="N280" s="139"/>
      <c r="O280" s="140"/>
      <c r="P280" s="137"/>
    </row>
    <row r="281" ht="15.75" customHeight="1">
      <c r="A281" s="133"/>
      <c r="B281" s="134"/>
      <c r="C281" s="134"/>
      <c r="D281" s="135"/>
      <c r="E281" s="135"/>
      <c r="F281" s="136"/>
      <c r="G281" s="137"/>
      <c r="H281" s="137"/>
      <c r="I281" s="137"/>
      <c r="J281" s="138"/>
      <c r="K281" s="138"/>
      <c r="L281" s="138"/>
      <c r="M281" s="139"/>
      <c r="N281" s="139"/>
      <c r="O281" s="140"/>
      <c r="P281" s="137"/>
    </row>
    <row r="282" ht="15.75" customHeight="1">
      <c r="A282" s="133"/>
      <c r="B282" s="134"/>
      <c r="C282" s="134"/>
      <c r="D282" s="135"/>
      <c r="E282" s="135"/>
      <c r="F282" s="136"/>
      <c r="G282" s="137"/>
      <c r="H282" s="137"/>
      <c r="I282" s="137"/>
      <c r="J282" s="138"/>
      <c r="K282" s="138"/>
      <c r="L282" s="138"/>
      <c r="M282" s="139"/>
      <c r="N282" s="139"/>
      <c r="O282" s="140"/>
      <c r="P282" s="137"/>
    </row>
    <row r="283" ht="15.75" customHeight="1">
      <c r="A283" s="133"/>
      <c r="B283" s="134"/>
      <c r="C283" s="134"/>
      <c r="D283" s="135"/>
      <c r="E283" s="135"/>
      <c r="F283" s="136"/>
      <c r="G283" s="137"/>
      <c r="H283" s="137"/>
      <c r="I283" s="137"/>
      <c r="J283" s="138"/>
      <c r="K283" s="138"/>
      <c r="L283" s="138"/>
      <c r="M283" s="139"/>
      <c r="N283" s="139"/>
      <c r="O283" s="140"/>
      <c r="P283" s="137"/>
    </row>
    <row r="284" ht="15.75" customHeight="1">
      <c r="A284" s="133"/>
      <c r="B284" s="134"/>
      <c r="C284" s="134"/>
      <c r="D284" s="135"/>
      <c r="E284" s="135"/>
      <c r="F284" s="136"/>
      <c r="G284" s="137"/>
      <c r="H284" s="137"/>
      <c r="I284" s="137"/>
      <c r="J284" s="138"/>
      <c r="K284" s="138"/>
      <c r="L284" s="138"/>
      <c r="M284" s="139"/>
      <c r="N284" s="139"/>
      <c r="O284" s="140"/>
      <c r="P284" s="137"/>
    </row>
    <row r="285" ht="15.75" customHeight="1">
      <c r="A285" s="133"/>
      <c r="B285" s="134"/>
      <c r="C285" s="134"/>
      <c r="D285" s="135"/>
      <c r="E285" s="135"/>
      <c r="F285" s="136"/>
      <c r="G285" s="137"/>
      <c r="H285" s="137"/>
      <c r="I285" s="137"/>
      <c r="J285" s="138"/>
      <c r="K285" s="138"/>
      <c r="L285" s="138"/>
      <c r="M285" s="139"/>
      <c r="N285" s="139"/>
      <c r="O285" s="140"/>
      <c r="P285" s="137"/>
    </row>
    <row r="286" ht="15.75" customHeight="1">
      <c r="A286" s="133"/>
      <c r="B286" s="134"/>
      <c r="C286" s="134"/>
      <c r="D286" s="135"/>
      <c r="E286" s="135"/>
      <c r="F286" s="136"/>
      <c r="G286" s="137"/>
      <c r="H286" s="137"/>
      <c r="I286" s="137"/>
      <c r="J286" s="138"/>
      <c r="K286" s="138"/>
      <c r="L286" s="138"/>
      <c r="M286" s="139"/>
      <c r="N286" s="139"/>
      <c r="O286" s="140"/>
      <c r="P286" s="137"/>
    </row>
    <row r="287" ht="15.75" customHeight="1">
      <c r="A287" s="133"/>
      <c r="B287" s="134"/>
      <c r="C287" s="134"/>
      <c r="D287" s="135"/>
      <c r="E287" s="135"/>
      <c r="F287" s="136"/>
      <c r="G287" s="137"/>
      <c r="H287" s="137"/>
      <c r="I287" s="137"/>
      <c r="J287" s="138"/>
      <c r="K287" s="138"/>
      <c r="L287" s="138"/>
      <c r="M287" s="139"/>
      <c r="N287" s="139"/>
      <c r="O287" s="140"/>
      <c r="P287" s="137"/>
    </row>
    <row r="288" ht="15.75" customHeight="1">
      <c r="A288" s="133"/>
      <c r="B288" s="134"/>
      <c r="C288" s="134"/>
      <c r="D288" s="135"/>
      <c r="E288" s="135"/>
      <c r="F288" s="136"/>
      <c r="G288" s="137"/>
      <c r="H288" s="137"/>
      <c r="I288" s="137"/>
      <c r="J288" s="138"/>
      <c r="K288" s="138"/>
      <c r="L288" s="138"/>
      <c r="M288" s="139"/>
      <c r="N288" s="139"/>
      <c r="O288" s="140"/>
      <c r="P288" s="137"/>
    </row>
    <row r="289" ht="15.75" customHeight="1">
      <c r="A289" s="133"/>
      <c r="B289" s="134"/>
      <c r="C289" s="134"/>
      <c r="D289" s="135"/>
      <c r="E289" s="135"/>
      <c r="F289" s="136"/>
      <c r="G289" s="137"/>
      <c r="H289" s="137"/>
      <c r="I289" s="137"/>
      <c r="J289" s="138"/>
      <c r="K289" s="138"/>
      <c r="L289" s="138"/>
      <c r="M289" s="139"/>
      <c r="N289" s="139"/>
      <c r="O289" s="140"/>
      <c r="P289" s="137"/>
    </row>
    <row r="290" ht="15.75" customHeight="1">
      <c r="A290" s="133"/>
      <c r="B290" s="134"/>
      <c r="C290" s="134"/>
      <c r="D290" s="135"/>
      <c r="E290" s="135"/>
      <c r="F290" s="136"/>
      <c r="G290" s="137"/>
      <c r="H290" s="137"/>
      <c r="I290" s="137"/>
      <c r="J290" s="138"/>
      <c r="K290" s="138"/>
      <c r="L290" s="138"/>
      <c r="M290" s="139"/>
      <c r="N290" s="139"/>
      <c r="O290" s="140"/>
      <c r="P290" s="137"/>
    </row>
    <row r="291" ht="15.75" customHeight="1">
      <c r="A291" s="133"/>
      <c r="B291" s="134"/>
      <c r="C291" s="134"/>
      <c r="D291" s="135"/>
      <c r="E291" s="135"/>
      <c r="F291" s="136"/>
      <c r="G291" s="137"/>
      <c r="H291" s="137"/>
      <c r="I291" s="137"/>
      <c r="J291" s="138"/>
      <c r="K291" s="138"/>
      <c r="L291" s="138"/>
      <c r="M291" s="139"/>
      <c r="N291" s="139"/>
      <c r="O291" s="140"/>
      <c r="P291" s="137"/>
    </row>
    <row r="292" ht="15.75" customHeight="1">
      <c r="A292" s="133"/>
      <c r="B292" s="134"/>
      <c r="C292" s="134"/>
      <c r="D292" s="135"/>
      <c r="E292" s="135"/>
      <c r="F292" s="136"/>
      <c r="G292" s="137"/>
      <c r="H292" s="137"/>
      <c r="I292" s="137"/>
      <c r="J292" s="138"/>
      <c r="K292" s="138"/>
      <c r="L292" s="138"/>
      <c r="M292" s="139"/>
      <c r="N292" s="139"/>
      <c r="O292" s="140"/>
      <c r="P292" s="137"/>
    </row>
    <row r="293" ht="15.75" customHeight="1">
      <c r="A293" s="133"/>
      <c r="B293" s="134"/>
      <c r="C293" s="134"/>
      <c r="D293" s="135"/>
      <c r="E293" s="135"/>
      <c r="F293" s="136"/>
      <c r="G293" s="137"/>
      <c r="H293" s="137"/>
      <c r="I293" s="137"/>
      <c r="J293" s="138"/>
      <c r="K293" s="138"/>
      <c r="L293" s="138"/>
      <c r="M293" s="139"/>
      <c r="N293" s="139"/>
      <c r="O293" s="140"/>
      <c r="P293" s="137"/>
    </row>
    <row r="294" ht="15.75" customHeight="1">
      <c r="A294" s="133"/>
      <c r="B294" s="134"/>
      <c r="C294" s="134"/>
      <c r="D294" s="135"/>
      <c r="E294" s="135"/>
      <c r="F294" s="136"/>
      <c r="G294" s="137"/>
      <c r="H294" s="137"/>
      <c r="I294" s="137"/>
      <c r="J294" s="138"/>
      <c r="K294" s="138"/>
      <c r="L294" s="138"/>
      <c r="M294" s="139"/>
      <c r="N294" s="139"/>
      <c r="O294" s="140"/>
      <c r="P294" s="137"/>
    </row>
    <row r="295" ht="15.75" customHeight="1">
      <c r="A295" s="133"/>
      <c r="B295" s="134"/>
      <c r="C295" s="134"/>
      <c r="D295" s="135"/>
      <c r="E295" s="135"/>
      <c r="F295" s="136"/>
      <c r="G295" s="137"/>
      <c r="H295" s="137"/>
      <c r="I295" s="137"/>
      <c r="J295" s="138"/>
      <c r="K295" s="138"/>
      <c r="L295" s="138"/>
      <c r="M295" s="139"/>
      <c r="N295" s="139"/>
      <c r="O295" s="140"/>
      <c r="P295" s="137"/>
    </row>
    <row r="296" ht="15.75" customHeight="1">
      <c r="A296" s="133"/>
      <c r="B296" s="134"/>
      <c r="C296" s="134"/>
      <c r="D296" s="135"/>
      <c r="E296" s="135"/>
      <c r="F296" s="136"/>
      <c r="G296" s="137"/>
      <c r="H296" s="137"/>
      <c r="I296" s="137"/>
      <c r="J296" s="138"/>
      <c r="K296" s="138"/>
      <c r="L296" s="138"/>
      <c r="M296" s="139"/>
      <c r="N296" s="139"/>
      <c r="O296" s="140"/>
      <c r="P296" s="137"/>
    </row>
    <row r="297" ht="15.75" customHeight="1">
      <c r="A297" s="133"/>
      <c r="B297" s="134"/>
      <c r="C297" s="134"/>
      <c r="D297" s="135"/>
      <c r="E297" s="135"/>
      <c r="F297" s="136"/>
      <c r="G297" s="137"/>
      <c r="H297" s="137"/>
      <c r="I297" s="137"/>
      <c r="J297" s="138"/>
      <c r="K297" s="138"/>
      <c r="L297" s="138"/>
      <c r="M297" s="139"/>
      <c r="N297" s="139"/>
      <c r="O297" s="140"/>
      <c r="P297" s="137"/>
    </row>
    <row r="298" ht="15.75" customHeight="1">
      <c r="A298" s="133"/>
      <c r="B298" s="134"/>
      <c r="C298" s="134"/>
      <c r="D298" s="135"/>
      <c r="E298" s="135"/>
      <c r="F298" s="136"/>
      <c r="G298" s="137"/>
      <c r="H298" s="137"/>
      <c r="I298" s="137"/>
      <c r="J298" s="138"/>
      <c r="K298" s="138"/>
      <c r="L298" s="138"/>
      <c r="M298" s="139"/>
      <c r="N298" s="139"/>
      <c r="O298" s="140"/>
      <c r="P298" s="137"/>
    </row>
    <row r="299" ht="15.75" customHeight="1">
      <c r="A299" s="133"/>
      <c r="B299" s="134"/>
      <c r="C299" s="134"/>
      <c r="D299" s="135"/>
      <c r="E299" s="135"/>
      <c r="F299" s="136"/>
      <c r="G299" s="137"/>
      <c r="H299" s="137"/>
      <c r="I299" s="137"/>
      <c r="J299" s="138"/>
      <c r="K299" s="138"/>
      <c r="L299" s="138"/>
      <c r="M299" s="139"/>
      <c r="N299" s="139"/>
      <c r="O299" s="140"/>
      <c r="P299" s="137"/>
    </row>
    <row r="300" ht="15.75" customHeight="1">
      <c r="A300" s="133"/>
      <c r="B300" s="134"/>
      <c r="C300" s="134"/>
      <c r="D300" s="135"/>
      <c r="E300" s="135"/>
      <c r="F300" s="136"/>
      <c r="G300" s="137"/>
      <c r="H300" s="137"/>
      <c r="I300" s="137"/>
      <c r="J300" s="138"/>
      <c r="K300" s="138"/>
      <c r="L300" s="138"/>
      <c r="M300" s="139"/>
      <c r="N300" s="139"/>
      <c r="O300" s="140"/>
      <c r="P300" s="137"/>
    </row>
    <row r="301" ht="15.75" customHeight="1">
      <c r="A301" s="133"/>
      <c r="B301" s="134"/>
      <c r="C301" s="134"/>
      <c r="D301" s="135"/>
      <c r="E301" s="135"/>
      <c r="F301" s="136"/>
      <c r="G301" s="137"/>
      <c r="H301" s="137"/>
      <c r="I301" s="137"/>
      <c r="J301" s="138"/>
      <c r="K301" s="138"/>
      <c r="L301" s="138"/>
      <c r="M301" s="139"/>
      <c r="N301" s="139"/>
      <c r="O301" s="140"/>
      <c r="P301" s="137"/>
    </row>
    <row r="302" ht="15.75" customHeight="1">
      <c r="A302" s="133"/>
      <c r="B302" s="134"/>
      <c r="C302" s="134"/>
      <c r="D302" s="135"/>
      <c r="E302" s="135"/>
      <c r="F302" s="136"/>
      <c r="G302" s="137"/>
      <c r="H302" s="137"/>
      <c r="I302" s="137"/>
      <c r="J302" s="138"/>
      <c r="K302" s="138"/>
      <c r="L302" s="138"/>
      <c r="M302" s="139"/>
      <c r="N302" s="139"/>
      <c r="O302" s="140"/>
      <c r="P302" s="137"/>
    </row>
    <row r="303" ht="15.75" customHeight="1">
      <c r="A303" s="133"/>
      <c r="B303" s="134"/>
      <c r="C303" s="134"/>
      <c r="D303" s="135"/>
      <c r="E303" s="135"/>
      <c r="F303" s="136"/>
      <c r="G303" s="137"/>
      <c r="H303" s="137"/>
      <c r="I303" s="137"/>
      <c r="J303" s="138"/>
      <c r="K303" s="138"/>
      <c r="L303" s="138"/>
      <c r="M303" s="139"/>
      <c r="N303" s="139"/>
      <c r="O303" s="140"/>
      <c r="P303" s="137"/>
    </row>
    <row r="304" ht="15.75" customHeight="1">
      <c r="A304" s="133"/>
      <c r="B304" s="134"/>
      <c r="C304" s="134"/>
      <c r="D304" s="135"/>
      <c r="E304" s="135"/>
      <c r="F304" s="136"/>
      <c r="G304" s="137"/>
      <c r="H304" s="137"/>
      <c r="I304" s="137"/>
      <c r="J304" s="138"/>
      <c r="K304" s="138"/>
      <c r="L304" s="138"/>
      <c r="M304" s="139"/>
      <c r="N304" s="139"/>
      <c r="O304" s="140"/>
      <c r="P304" s="137"/>
    </row>
    <row r="305" ht="15.75" customHeight="1">
      <c r="A305" s="133"/>
      <c r="B305" s="134"/>
      <c r="C305" s="134"/>
      <c r="D305" s="135"/>
      <c r="E305" s="135"/>
      <c r="F305" s="136"/>
      <c r="G305" s="137"/>
      <c r="H305" s="137"/>
      <c r="I305" s="137"/>
      <c r="J305" s="138"/>
      <c r="K305" s="138"/>
      <c r="L305" s="138"/>
      <c r="M305" s="139"/>
      <c r="N305" s="139"/>
      <c r="O305" s="140"/>
      <c r="P305" s="137"/>
    </row>
    <row r="306" ht="15.75" customHeight="1">
      <c r="A306" s="133"/>
      <c r="B306" s="134"/>
      <c r="C306" s="134"/>
      <c r="D306" s="135"/>
      <c r="E306" s="135"/>
      <c r="F306" s="136"/>
      <c r="G306" s="137"/>
      <c r="H306" s="137"/>
      <c r="I306" s="137"/>
      <c r="J306" s="138"/>
      <c r="K306" s="138"/>
      <c r="L306" s="138"/>
      <c r="M306" s="139"/>
      <c r="N306" s="139"/>
      <c r="O306" s="140"/>
      <c r="P306" s="137"/>
    </row>
    <row r="307" ht="15.75" customHeight="1">
      <c r="A307" s="133"/>
      <c r="B307" s="134"/>
      <c r="C307" s="134"/>
      <c r="D307" s="135"/>
      <c r="E307" s="135"/>
      <c r="F307" s="136"/>
      <c r="G307" s="137"/>
      <c r="H307" s="137"/>
      <c r="I307" s="137"/>
      <c r="J307" s="138"/>
      <c r="K307" s="138"/>
      <c r="L307" s="138"/>
      <c r="M307" s="139"/>
      <c r="N307" s="139"/>
      <c r="O307" s="140"/>
      <c r="P307" s="137"/>
    </row>
    <row r="308" ht="15.75" customHeight="1">
      <c r="A308" s="133"/>
      <c r="B308" s="134"/>
      <c r="C308" s="134"/>
      <c r="D308" s="135"/>
      <c r="E308" s="135"/>
      <c r="F308" s="136"/>
      <c r="G308" s="137"/>
      <c r="H308" s="137"/>
      <c r="I308" s="137"/>
      <c r="J308" s="138"/>
      <c r="K308" s="138"/>
      <c r="L308" s="138"/>
      <c r="M308" s="139"/>
      <c r="N308" s="139"/>
      <c r="O308" s="140"/>
      <c r="P308" s="137"/>
    </row>
    <row r="309" ht="15.75" customHeight="1">
      <c r="A309" s="133"/>
      <c r="B309" s="134"/>
      <c r="C309" s="134"/>
      <c r="D309" s="135"/>
      <c r="E309" s="135"/>
      <c r="F309" s="136"/>
      <c r="G309" s="137"/>
      <c r="H309" s="137"/>
      <c r="I309" s="137"/>
      <c r="J309" s="138"/>
      <c r="K309" s="138"/>
      <c r="L309" s="138"/>
      <c r="M309" s="139"/>
      <c r="N309" s="139"/>
      <c r="O309" s="140"/>
      <c r="P309" s="137"/>
    </row>
    <row r="310" ht="15.75" customHeight="1">
      <c r="A310" s="133"/>
      <c r="B310" s="134"/>
      <c r="C310" s="134"/>
      <c r="D310" s="135"/>
      <c r="E310" s="135"/>
      <c r="F310" s="136"/>
      <c r="G310" s="137"/>
      <c r="H310" s="137"/>
      <c r="I310" s="137"/>
      <c r="J310" s="138"/>
      <c r="K310" s="138"/>
      <c r="L310" s="138"/>
      <c r="M310" s="139"/>
      <c r="N310" s="139"/>
      <c r="O310" s="140"/>
      <c r="P310" s="137"/>
    </row>
    <row r="311" ht="15.75" customHeight="1">
      <c r="A311" s="133"/>
      <c r="B311" s="134"/>
      <c r="C311" s="134"/>
      <c r="D311" s="135"/>
      <c r="E311" s="135"/>
      <c r="F311" s="136"/>
      <c r="G311" s="137"/>
      <c r="H311" s="137"/>
      <c r="I311" s="137"/>
      <c r="J311" s="138"/>
      <c r="K311" s="138"/>
      <c r="L311" s="138"/>
      <c r="M311" s="139"/>
      <c r="N311" s="139"/>
      <c r="O311" s="140"/>
      <c r="P311" s="137"/>
    </row>
    <row r="312" ht="15.75" customHeight="1">
      <c r="A312" s="133"/>
      <c r="B312" s="134"/>
      <c r="C312" s="134"/>
      <c r="D312" s="135"/>
      <c r="E312" s="135"/>
      <c r="F312" s="136"/>
      <c r="G312" s="137"/>
      <c r="H312" s="137"/>
      <c r="I312" s="137"/>
      <c r="J312" s="138"/>
      <c r="K312" s="138"/>
      <c r="L312" s="138"/>
      <c r="M312" s="139"/>
      <c r="N312" s="139"/>
      <c r="O312" s="140"/>
      <c r="P312" s="137"/>
    </row>
    <row r="313" ht="15.75" customHeight="1">
      <c r="A313" s="133"/>
      <c r="B313" s="134"/>
      <c r="C313" s="134"/>
      <c r="D313" s="135"/>
      <c r="E313" s="135"/>
      <c r="F313" s="136"/>
      <c r="G313" s="137"/>
      <c r="H313" s="137"/>
      <c r="I313" s="137"/>
      <c r="J313" s="138"/>
      <c r="K313" s="138"/>
      <c r="L313" s="138"/>
      <c r="M313" s="139"/>
      <c r="N313" s="139"/>
      <c r="O313" s="140"/>
      <c r="P313" s="137"/>
    </row>
    <row r="314" ht="15.75" customHeight="1">
      <c r="A314" s="133"/>
      <c r="B314" s="134"/>
      <c r="C314" s="134"/>
      <c r="D314" s="135"/>
      <c r="E314" s="135"/>
      <c r="F314" s="136"/>
      <c r="G314" s="137"/>
      <c r="H314" s="137"/>
      <c r="I314" s="137"/>
      <c r="J314" s="138"/>
      <c r="K314" s="138"/>
      <c r="L314" s="138"/>
      <c r="M314" s="139"/>
      <c r="N314" s="139"/>
      <c r="O314" s="140"/>
      <c r="P314" s="137"/>
    </row>
    <row r="315" ht="15.75" customHeight="1">
      <c r="A315" s="133"/>
      <c r="B315" s="134"/>
      <c r="C315" s="134"/>
      <c r="D315" s="135"/>
      <c r="E315" s="135"/>
      <c r="F315" s="136"/>
      <c r="G315" s="137"/>
      <c r="H315" s="137"/>
      <c r="I315" s="137"/>
      <c r="J315" s="138"/>
      <c r="K315" s="138"/>
      <c r="L315" s="138"/>
      <c r="M315" s="139"/>
      <c r="N315" s="139"/>
      <c r="O315" s="140"/>
      <c r="P315" s="137"/>
    </row>
    <row r="316" ht="15.75" customHeight="1">
      <c r="A316" s="133"/>
      <c r="B316" s="134"/>
      <c r="C316" s="134"/>
      <c r="D316" s="135"/>
      <c r="E316" s="135"/>
      <c r="F316" s="136"/>
      <c r="G316" s="137"/>
      <c r="H316" s="137"/>
      <c r="I316" s="137"/>
      <c r="J316" s="138"/>
      <c r="K316" s="138"/>
      <c r="L316" s="138"/>
      <c r="M316" s="139"/>
      <c r="N316" s="139"/>
      <c r="O316" s="140"/>
      <c r="P316" s="137"/>
    </row>
    <row r="317" ht="15.75" customHeight="1">
      <c r="A317" s="133"/>
      <c r="B317" s="134"/>
      <c r="C317" s="134"/>
      <c r="D317" s="135"/>
      <c r="E317" s="135"/>
      <c r="F317" s="136"/>
      <c r="G317" s="137"/>
      <c r="H317" s="137"/>
      <c r="I317" s="137"/>
      <c r="J317" s="138"/>
      <c r="K317" s="138"/>
      <c r="L317" s="138"/>
      <c r="M317" s="139"/>
      <c r="N317" s="139"/>
      <c r="O317" s="140"/>
      <c r="P317" s="137"/>
    </row>
    <row r="318" ht="15.75" customHeight="1">
      <c r="A318" s="133"/>
      <c r="B318" s="134"/>
      <c r="C318" s="134"/>
      <c r="D318" s="135"/>
      <c r="E318" s="135"/>
      <c r="F318" s="136"/>
      <c r="G318" s="137"/>
      <c r="H318" s="137"/>
      <c r="I318" s="137"/>
      <c r="J318" s="138"/>
      <c r="K318" s="138"/>
      <c r="L318" s="138"/>
      <c r="M318" s="139"/>
      <c r="N318" s="139"/>
      <c r="O318" s="140"/>
      <c r="P318" s="137"/>
    </row>
    <row r="319" ht="15.75" customHeight="1">
      <c r="A319" s="133"/>
      <c r="B319" s="134"/>
      <c r="C319" s="134"/>
      <c r="D319" s="135"/>
      <c r="E319" s="135"/>
      <c r="F319" s="136"/>
      <c r="G319" s="137"/>
      <c r="H319" s="137"/>
      <c r="I319" s="137"/>
      <c r="J319" s="138"/>
      <c r="K319" s="138"/>
      <c r="L319" s="138"/>
      <c r="M319" s="139"/>
      <c r="N319" s="139"/>
      <c r="O319" s="140"/>
      <c r="P319" s="137"/>
    </row>
    <row r="320" ht="15.75" customHeight="1">
      <c r="A320" s="133"/>
      <c r="B320" s="134"/>
      <c r="C320" s="134"/>
      <c r="D320" s="135"/>
      <c r="E320" s="135"/>
      <c r="F320" s="136"/>
      <c r="G320" s="137"/>
      <c r="H320" s="137"/>
      <c r="I320" s="137"/>
      <c r="J320" s="138"/>
      <c r="K320" s="138"/>
      <c r="L320" s="138"/>
      <c r="M320" s="139"/>
      <c r="N320" s="139"/>
      <c r="O320" s="140"/>
      <c r="P320" s="137"/>
    </row>
    <row r="321" ht="15.75" customHeight="1">
      <c r="A321" s="133"/>
      <c r="B321" s="134"/>
      <c r="C321" s="134"/>
      <c r="D321" s="135"/>
      <c r="E321" s="135"/>
      <c r="F321" s="136"/>
      <c r="G321" s="137"/>
      <c r="H321" s="137"/>
      <c r="I321" s="137"/>
      <c r="J321" s="138"/>
      <c r="K321" s="138"/>
      <c r="L321" s="138"/>
      <c r="M321" s="139"/>
      <c r="N321" s="139"/>
      <c r="O321" s="140"/>
      <c r="P321" s="137"/>
    </row>
    <row r="322" ht="15.75" customHeight="1">
      <c r="A322" s="133"/>
      <c r="B322" s="134"/>
      <c r="C322" s="134"/>
      <c r="D322" s="135"/>
      <c r="E322" s="135"/>
      <c r="F322" s="136"/>
      <c r="G322" s="137"/>
      <c r="H322" s="137"/>
      <c r="I322" s="137"/>
      <c r="J322" s="138"/>
      <c r="K322" s="138"/>
      <c r="L322" s="138"/>
      <c r="M322" s="139"/>
      <c r="N322" s="139"/>
      <c r="O322" s="140"/>
      <c r="P322" s="137"/>
    </row>
    <row r="323" ht="15.75" customHeight="1">
      <c r="A323" s="133"/>
      <c r="B323" s="134"/>
      <c r="C323" s="134"/>
      <c r="D323" s="135"/>
      <c r="E323" s="135"/>
      <c r="F323" s="136"/>
      <c r="G323" s="137"/>
      <c r="H323" s="137"/>
      <c r="I323" s="137"/>
      <c r="J323" s="138"/>
      <c r="K323" s="138"/>
      <c r="L323" s="138"/>
      <c r="M323" s="139"/>
      <c r="N323" s="139"/>
      <c r="O323" s="140"/>
      <c r="P323" s="137"/>
    </row>
    <row r="324" ht="15.75" customHeight="1">
      <c r="A324" s="133"/>
      <c r="B324" s="134"/>
      <c r="C324" s="134"/>
      <c r="D324" s="135"/>
      <c r="E324" s="135"/>
      <c r="F324" s="136"/>
      <c r="G324" s="137"/>
      <c r="H324" s="137"/>
      <c r="I324" s="137"/>
      <c r="J324" s="138"/>
      <c r="K324" s="138"/>
      <c r="L324" s="138"/>
      <c r="M324" s="139"/>
      <c r="N324" s="139"/>
      <c r="O324" s="140"/>
      <c r="P324" s="137"/>
    </row>
    <row r="325" ht="15.75" customHeight="1">
      <c r="A325" s="133"/>
      <c r="B325" s="134"/>
      <c r="C325" s="134"/>
      <c r="D325" s="135"/>
      <c r="E325" s="135"/>
      <c r="F325" s="136"/>
      <c r="G325" s="137"/>
      <c r="H325" s="137"/>
      <c r="I325" s="137"/>
      <c r="J325" s="138"/>
      <c r="K325" s="138"/>
      <c r="L325" s="138"/>
      <c r="M325" s="139"/>
      <c r="N325" s="139"/>
      <c r="O325" s="140"/>
      <c r="P325" s="137"/>
    </row>
    <row r="326" ht="15.75" customHeight="1">
      <c r="A326" s="133"/>
      <c r="B326" s="134"/>
      <c r="C326" s="134"/>
      <c r="D326" s="135"/>
      <c r="E326" s="135"/>
      <c r="F326" s="136"/>
      <c r="G326" s="137"/>
      <c r="H326" s="137"/>
      <c r="I326" s="137"/>
      <c r="J326" s="138"/>
      <c r="K326" s="138"/>
      <c r="L326" s="138"/>
      <c r="M326" s="139"/>
      <c r="N326" s="139"/>
      <c r="O326" s="140"/>
      <c r="P326" s="137"/>
    </row>
    <row r="327" ht="15.75" customHeight="1">
      <c r="A327" s="133"/>
      <c r="B327" s="134"/>
      <c r="C327" s="134"/>
      <c r="D327" s="135"/>
      <c r="E327" s="135"/>
      <c r="F327" s="136"/>
      <c r="G327" s="137"/>
      <c r="H327" s="137"/>
      <c r="I327" s="137"/>
      <c r="J327" s="138"/>
      <c r="K327" s="138"/>
      <c r="L327" s="138"/>
      <c r="M327" s="139"/>
      <c r="N327" s="139"/>
      <c r="O327" s="140"/>
      <c r="P327" s="137"/>
    </row>
    <row r="328" ht="15.75" customHeight="1">
      <c r="A328" s="133"/>
      <c r="B328" s="134"/>
      <c r="C328" s="134"/>
      <c r="D328" s="135"/>
      <c r="E328" s="135"/>
      <c r="F328" s="136"/>
      <c r="G328" s="137"/>
      <c r="H328" s="137"/>
      <c r="I328" s="137"/>
      <c r="J328" s="138"/>
      <c r="K328" s="138"/>
      <c r="L328" s="138"/>
      <c r="M328" s="139"/>
      <c r="N328" s="139"/>
      <c r="O328" s="140"/>
      <c r="P328" s="137"/>
    </row>
    <row r="329" ht="15.75" customHeight="1">
      <c r="A329" s="133"/>
      <c r="B329" s="134"/>
      <c r="C329" s="134"/>
      <c r="D329" s="135"/>
      <c r="E329" s="135"/>
      <c r="F329" s="136"/>
      <c r="G329" s="137"/>
      <c r="H329" s="137"/>
      <c r="I329" s="137"/>
      <c r="J329" s="138"/>
      <c r="K329" s="138"/>
      <c r="L329" s="138"/>
      <c r="M329" s="139"/>
      <c r="N329" s="139"/>
      <c r="O329" s="140"/>
      <c r="P329" s="137"/>
    </row>
    <row r="330" ht="15.75" customHeight="1">
      <c r="A330" s="133"/>
      <c r="B330" s="134"/>
      <c r="C330" s="134"/>
      <c r="D330" s="135"/>
      <c r="E330" s="135"/>
      <c r="F330" s="136"/>
      <c r="G330" s="137"/>
      <c r="H330" s="137"/>
      <c r="I330" s="137"/>
      <c r="J330" s="138"/>
      <c r="K330" s="138"/>
      <c r="L330" s="138"/>
      <c r="M330" s="139"/>
      <c r="N330" s="139"/>
      <c r="O330" s="140"/>
      <c r="P330" s="137"/>
    </row>
    <row r="331" ht="15.75" customHeight="1">
      <c r="A331" s="133"/>
      <c r="B331" s="134"/>
      <c r="C331" s="134"/>
      <c r="D331" s="135"/>
      <c r="E331" s="135"/>
      <c r="F331" s="136"/>
      <c r="G331" s="137"/>
      <c r="H331" s="137"/>
      <c r="I331" s="137"/>
      <c r="J331" s="138"/>
      <c r="K331" s="138"/>
      <c r="L331" s="138"/>
      <c r="M331" s="139"/>
      <c r="N331" s="139"/>
      <c r="O331" s="140"/>
      <c r="P331" s="137"/>
    </row>
    <row r="332" ht="15.75" customHeight="1">
      <c r="A332" s="133"/>
      <c r="B332" s="134"/>
      <c r="C332" s="134"/>
      <c r="D332" s="135"/>
      <c r="E332" s="135"/>
      <c r="F332" s="136"/>
      <c r="G332" s="137"/>
      <c r="H332" s="137"/>
      <c r="I332" s="137"/>
      <c r="J332" s="138"/>
      <c r="K332" s="138"/>
      <c r="L332" s="138"/>
      <c r="M332" s="139"/>
      <c r="N332" s="139"/>
      <c r="O332" s="140"/>
      <c r="P332" s="137"/>
    </row>
    <row r="333" ht="15.75" customHeight="1">
      <c r="A333" s="133"/>
      <c r="B333" s="134"/>
      <c r="C333" s="134"/>
      <c r="D333" s="135"/>
      <c r="E333" s="135"/>
      <c r="F333" s="136"/>
      <c r="G333" s="137"/>
      <c r="H333" s="137"/>
      <c r="I333" s="137"/>
      <c r="J333" s="138"/>
      <c r="K333" s="138"/>
      <c r="L333" s="138"/>
      <c r="M333" s="139"/>
      <c r="N333" s="139"/>
      <c r="O333" s="140"/>
      <c r="P333" s="137"/>
    </row>
    <row r="334" ht="15.75" customHeight="1">
      <c r="A334" s="133"/>
      <c r="B334" s="134"/>
      <c r="C334" s="134"/>
      <c r="D334" s="135"/>
      <c r="E334" s="135"/>
      <c r="F334" s="136"/>
      <c r="G334" s="137"/>
      <c r="H334" s="137"/>
      <c r="I334" s="137"/>
      <c r="J334" s="138"/>
      <c r="K334" s="138"/>
      <c r="L334" s="138"/>
      <c r="M334" s="139"/>
      <c r="N334" s="139"/>
      <c r="O334" s="140"/>
      <c r="P334" s="137"/>
    </row>
    <row r="335" ht="15.75" customHeight="1">
      <c r="A335" s="133"/>
      <c r="B335" s="134"/>
      <c r="C335" s="134"/>
      <c r="D335" s="135"/>
      <c r="E335" s="135"/>
      <c r="F335" s="136"/>
      <c r="G335" s="137"/>
      <c r="H335" s="137"/>
      <c r="I335" s="137"/>
      <c r="J335" s="138"/>
      <c r="K335" s="138"/>
      <c r="L335" s="138"/>
      <c r="M335" s="139"/>
      <c r="N335" s="139"/>
      <c r="O335" s="140"/>
      <c r="P335" s="137"/>
    </row>
    <row r="336" ht="15.75" customHeight="1">
      <c r="A336" s="133"/>
      <c r="B336" s="134"/>
      <c r="C336" s="134"/>
      <c r="D336" s="135"/>
      <c r="E336" s="135"/>
      <c r="F336" s="136"/>
      <c r="G336" s="137"/>
      <c r="H336" s="137"/>
      <c r="I336" s="137"/>
      <c r="J336" s="138"/>
      <c r="K336" s="138"/>
      <c r="L336" s="138"/>
      <c r="M336" s="139"/>
      <c r="N336" s="139"/>
      <c r="O336" s="140"/>
      <c r="P336" s="137"/>
    </row>
    <row r="337" ht="15.75" customHeight="1">
      <c r="A337" s="133"/>
      <c r="B337" s="134"/>
      <c r="C337" s="134"/>
      <c r="D337" s="135"/>
      <c r="E337" s="135"/>
      <c r="F337" s="136"/>
      <c r="G337" s="137"/>
      <c r="H337" s="137"/>
      <c r="I337" s="137"/>
      <c r="J337" s="138"/>
      <c r="K337" s="138"/>
      <c r="L337" s="138"/>
      <c r="M337" s="139"/>
      <c r="N337" s="139"/>
      <c r="O337" s="140"/>
      <c r="P337" s="137"/>
    </row>
    <row r="338" ht="15.75" customHeight="1">
      <c r="A338" s="133"/>
      <c r="B338" s="134"/>
      <c r="C338" s="134"/>
      <c r="D338" s="135"/>
      <c r="E338" s="135"/>
      <c r="F338" s="136"/>
      <c r="G338" s="137"/>
      <c r="H338" s="137"/>
      <c r="I338" s="137"/>
      <c r="J338" s="138"/>
      <c r="K338" s="138"/>
      <c r="L338" s="138"/>
      <c r="M338" s="139"/>
      <c r="N338" s="139"/>
      <c r="O338" s="140"/>
      <c r="P338" s="137"/>
    </row>
    <row r="339" ht="15.75" customHeight="1">
      <c r="A339" s="133"/>
      <c r="B339" s="134"/>
      <c r="C339" s="134"/>
      <c r="D339" s="135"/>
      <c r="E339" s="135"/>
      <c r="F339" s="136"/>
      <c r="G339" s="137"/>
      <c r="H339" s="137"/>
      <c r="I339" s="137"/>
      <c r="J339" s="138"/>
      <c r="K339" s="138"/>
      <c r="L339" s="138"/>
      <c r="M339" s="139"/>
      <c r="N339" s="139"/>
      <c r="O339" s="140"/>
      <c r="P339" s="137"/>
    </row>
    <row r="340" ht="15.75" customHeight="1">
      <c r="A340" s="133"/>
      <c r="B340" s="134"/>
      <c r="C340" s="134"/>
      <c r="D340" s="135"/>
      <c r="E340" s="135"/>
      <c r="F340" s="136"/>
      <c r="G340" s="137"/>
      <c r="H340" s="137"/>
      <c r="I340" s="137"/>
      <c r="J340" s="138"/>
      <c r="K340" s="138"/>
      <c r="L340" s="138"/>
      <c r="M340" s="139"/>
      <c r="N340" s="139"/>
      <c r="O340" s="140"/>
      <c r="P340" s="137"/>
    </row>
    <row r="341" ht="15.75" customHeight="1">
      <c r="A341" s="133"/>
      <c r="B341" s="134"/>
      <c r="C341" s="134"/>
      <c r="D341" s="135"/>
      <c r="E341" s="135"/>
      <c r="F341" s="136"/>
      <c r="G341" s="137"/>
      <c r="H341" s="137"/>
      <c r="I341" s="137"/>
      <c r="J341" s="138"/>
      <c r="K341" s="138"/>
      <c r="L341" s="138"/>
      <c r="M341" s="139"/>
      <c r="N341" s="139"/>
      <c r="O341" s="140"/>
      <c r="P341" s="137"/>
    </row>
    <row r="342" ht="15.75" customHeight="1">
      <c r="A342" s="133"/>
      <c r="B342" s="134"/>
      <c r="C342" s="134"/>
      <c r="D342" s="135"/>
      <c r="E342" s="135"/>
      <c r="F342" s="136"/>
      <c r="G342" s="137"/>
      <c r="H342" s="137"/>
      <c r="I342" s="137"/>
      <c r="J342" s="138"/>
      <c r="K342" s="138"/>
      <c r="L342" s="138"/>
      <c r="M342" s="139"/>
      <c r="N342" s="139"/>
      <c r="O342" s="140"/>
      <c r="P342" s="137"/>
    </row>
    <row r="343" ht="15.75" customHeight="1">
      <c r="A343" s="133"/>
      <c r="B343" s="134"/>
      <c r="C343" s="134"/>
      <c r="D343" s="135"/>
      <c r="E343" s="135"/>
      <c r="F343" s="136"/>
      <c r="G343" s="137"/>
      <c r="H343" s="137"/>
      <c r="I343" s="137"/>
      <c r="J343" s="138"/>
      <c r="K343" s="138"/>
      <c r="L343" s="138"/>
      <c r="M343" s="139"/>
      <c r="N343" s="139"/>
      <c r="O343" s="140"/>
      <c r="P343" s="137"/>
    </row>
    <row r="344" ht="15.75" customHeight="1">
      <c r="A344" s="133"/>
      <c r="B344" s="134"/>
      <c r="C344" s="134"/>
      <c r="D344" s="135"/>
      <c r="E344" s="135"/>
      <c r="F344" s="136"/>
      <c r="G344" s="137"/>
      <c r="H344" s="137"/>
      <c r="I344" s="137"/>
      <c r="J344" s="138"/>
      <c r="K344" s="138"/>
      <c r="L344" s="138"/>
      <c r="M344" s="139"/>
      <c r="N344" s="139"/>
      <c r="O344" s="140"/>
      <c r="P344" s="137"/>
    </row>
    <row r="345" ht="15.75" customHeight="1">
      <c r="A345" s="133"/>
      <c r="B345" s="134"/>
      <c r="C345" s="134"/>
      <c r="D345" s="135"/>
      <c r="E345" s="135"/>
      <c r="F345" s="136"/>
      <c r="G345" s="137"/>
      <c r="H345" s="137"/>
      <c r="I345" s="137"/>
      <c r="J345" s="138"/>
      <c r="K345" s="138"/>
      <c r="L345" s="138"/>
      <c r="M345" s="139"/>
      <c r="N345" s="139"/>
      <c r="O345" s="140"/>
      <c r="P345" s="137"/>
    </row>
    <row r="346" ht="15.75" customHeight="1">
      <c r="A346" s="133"/>
      <c r="B346" s="134"/>
      <c r="C346" s="134"/>
      <c r="D346" s="135"/>
      <c r="E346" s="135"/>
      <c r="F346" s="136"/>
      <c r="G346" s="137"/>
      <c r="H346" s="137"/>
      <c r="I346" s="137"/>
      <c r="J346" s="138"/>
      <c r="K346" s="138"/>
      <c r="L346" s="138"/>
      <c r="M346" s="139"/>
      <c r="N346" s="139"/>
      <c r="O346" s="140"/>
      <c r="P346" s="137"/>
    </row>
    <row r="347" ht="15.75" customHeight="1">
      <c r="A347" s="133"/>
      <c r="B347" s="134"/>
      <c r="C347" s="134"/>
      <c r="D347" s="135"/>
      <c r="E347" s="135"/>
      <c r="F347" s="136"/>
      <c r="G347" s="137"/>
      <c r="H347" s="137"/>
      <c r="I347" s="137"/>
      <c r="J347" s="138"/>
      <c r="K347" s="138"/>
      <c r="L347" s="138"/>
      <c r="M347" s="139"/>
      <c r="N347" s="139"/>
      <c r="O347" s="140"/>
      <c r="P347" s="137"/>
    </row>
    <row r="348" ht="15.75" customHeight="1">
      <c r="A348" s="133"/>
      <c r="B348" s="134"/>
      <c r="C348" s="134"/>
      <c r="D348" s="135"/>
      <c r="E348" s="135"/>
      <c r="F348" s="136"/>
      <c r="G348" s="137"/>
      <c r="H348" s="137"/>
      <c r="I348" s="137"/>
      <c r="J348" s="138"/>
      <c r="K348" s="138"/>
      <c r="L348" s="138"/>
      <c r="M348" s="139"/>
      <c r="N348" s="139"/>
      <c r="O348" s="140"/>
      <c r="P348" s="137"/>
    </row>
    <row r="349" ht="15.75" customHeight="1">
      <c r="A349" s="133"/>
      <c r="B349" s="134"/>
      <c r="C349" s="134"/>
      <c r="D349" s="135"/>
      <c r="E349" s="135"/>
      <c r="F349" s="136"/>
      <c r="G349" s="137"/>
      <c r="H349" s="137"/>
      <c r="I349" s="137"/>
      <c r="J349" s="138"/>
      <c r="K349" s="138"/>
      <c r="L349" s="138"/>
      <c r="M349" s="139"/>
      <c r="N349" s="139"/>
      <c r="O349" s="140"/>
      <c r="P349" s="137"/>
    </row>
    <row r="350" ht="15.75" customHeight="1">
      <c r="A350" s="133"/>
      <c r="B350" s="134"/>
      <c r="C350" s="134"/>
      <c r="D350" s="135"/>
      <c r="E350" s="135"/>
      <c r="F350" s="136"/>
      <c r="G350" s="137"/>
      <c r="H350" s="137"/>
      <c r="I350" s="137"/>
      <c r="J350" s="138"/>
      <c r="K350" s="138"/>
      <c r="L350" s="138"/>
      <c r="M350" s="139"/>
      <c r="N350" s="139"/>
      <c r="O350" s="140"/>
      <c r="P350" s="137"/>
    </row>
    <row r="351" ht="15.75" customHeight="1">
      <c r="A351" s="133"/>
      <c r="B351" s="134"/>
      <c r="C351" s="134"/>
      <c r="D351" s="135"/>
      <c r="E351" s="135"/>
      <c r="F351" s="136"/>
      <c r="G351" s="137"/>
      <c r="H351" s="137"/>
      <c r="I351" s="137"/>
      <c r="J351" s="138"/>
      <c r="K351" s="138"/>
      <c r="L351" s="138"/>
      <c r="M351" s="139"/>
      <c r="N351" s="139"/>
      <c r="O351" s="140"/>
      <c r="P351" s="137"/>
    </row>
    <row r="352" ht="15.75" customHeight="1">
      <c r="A352" s="133"/>
      <c r="B352" s="134"/>
      <c r="C352" s="134"/>
      <c r="D352" s="135"/>
      <c r="E352" s="135"/>
      <c r="F352" s="136"/>
      <c r="G352" s="137"/>
      <c r="H352" s="137"/>
      <c r="I352" s="137"/>
      <c r="J352" s="138"/>
      <c r="K352" s="138"/>
      <c r="L352" s="138"/>
      <c r="M352" s="139"/>
      <c r="N352" s="139"/>
      <c r="O352" s="140"/>
      <c r="P352" s="137"/>
    </row>
    <row r="353" ht="15.75" customHeight="1">
      <c r="A353" s="133"/>
      <c r="B353" s="134"/>
      <c r="C353" s="134"/>
      <c r="D353" s="135"/>
      <c r="E353" s="135"/>
      <c r="F353" s="136"/>
      <c r="G353" s="137"/>
      <c r="H353" s="137"/>
      <c r="I353" s="137"/>
      <c r="J353" s="138"/>
      <c r="K353" s="138"/>
      <c r="L353" s="138"/>
      <c r="M353" s="139"/>
      <c r="N353" s="139"/>
      <c r="O353" s="140"/>
      <c r="P353" s="137"/>
    </row>
    <row r="354" ht="15.75" customHeight="1">
      <c r="A354" s="133"/>
      <c r="B354" s="134"/>
      <c r="C354" s="134"/>
      <c r="D354" s="135"/>
      <c r="E354" s="135"/>
      <c r="F354" s="136"/>
      <c r="G354" s="137"/>
      <c r="H354" s="137"/>
      <c r="I354" s="137"/>
      <c r="J354" s="138"/>
      <c r="K354" s="138"/>
      <c r="L354" s="138"/>
      <c r="M354" s="139"/>
      <c r="N354" s="139"/>
      <c r="O354" s="140"/>
      <c r="P354" s="137"/>
    </row>
    <row r="355" ht="15.75" customHeight="1">
      <c r="A355" s="133"/>
      <c r="B355" s="134"/>
      <c r="C355" s="134"/>
      <c r="D355" s="135"/>
      <c r="E355" s="135"/>
      <c r="F355" s="136"/>
      <c r="G355" s="137"/>
      <c r="H355" s="137"/>
      <c r="I355" s="137"/>
      <c r="J355" s="138"/>
      <c r="K355" s="138"/>
      <c r="L355" s="138"/>
      <c r="M355" s="139"/>
      <c r="N355" s="139"/>
      <c r="O355" s="140"/>
      <c r="P355" s="137"/>
    </row>
    <row r="356" ht="15.75" customHeight="1">
      <c r="A356" s="133"/>
      <c r="B356" s="134"/>
      <c r="C356" s="134"/>
      <c r="D356" s="135"/>
      <c r="E356" s="135"/>
      <c r="F356" s="136"/>
      <c r="G356" s="137"/>
      <c r="H356" s="137"/>
      <c r="I356" s="137"/>
      <c r="J356" s="138"/>
      <c r="K356" s="138"/>
      <c r="L356" s="138"/>
      <c r="M356" s="139"/>
      <c r="N356" s="139"/>
      <c r="O356" s="140"/>
      <c r="P356" s="137"/>
    </row>
    <row r="357" ht="15.75" customHeight="1">
      <c r="A357" s="133"/>
      <c r="B357" s="134"/>
      <c r="C357" s="134"/>
      <c r="D357" s="135"/>
      <c r="E357" s="135"/>
      <c r="F357" s="136"/>
      <c r="G357" s="137"/>
      <c r="H357" s="137"/>
      <c r="I357" s="137"/>
      <c r="J357" s="138"/>
      <c r="K357" s="138"/>
      <c r="L357" s="138"/>
      <c r="M357" s="139"/>
      <c r="N357" s="139"/>
      <c r="O357" s="140"/>
      <c r="P357" s="137"/>
    </row>
    <row r="358" ht="15.75" customHeight="1">
      <c r="A358" s="133"/>
      <c r="B358" s="134"/>
      <c r="C358" s="134"/>
      <c r="D358" s="135"/>
      <c r="E358" s="135"/>
      <c r="F358" s="136"/>
      <c r="G358" s="137"/>
      <c r="H358" s="137"/>
      <c r="I358" s="137"/>
      <c r="J358" s="138"/>
      <c r="K358" s="138"/>
      <c r="L358" s="138"/>
      <c r="M358" s="139"/>
      <c r="N358" s="139"/>
      <c r="O358" s="140"/>
      <c r="P358" s="137"/>
    </row>
    <row r="359" ht="15.75" customHeight="1">
      <c r="A359" s="133"/>
      <c r="B359" s="134"/>
      <c r="C359" s="134"/>
      <c r="D359" s="135"/>
      <c r="E359" s="135"/>
      <c r="F359" s="136"/>
      <c r="G359" s="137"/>
      <c r="H359" s="137"/>
      <c r="I359" s="137"/>
      <c r="J359" s="138"/>
      <c r="K359" s="138"/>
      <c r="L359" s="138"/>
      <c r="M359" s="139"/>
      <c r="N359" s="139"/>
      <c r="O359" s="140"/>
      <c r="P359" s="137"/>
    </row>
    <row r="360" ht="15.75" customHeight="1">
      <c r="A360" s="133"/>
      <c r="B360" s="134"/>
      <c r="C360" s="134"/>
      <c r="D360" s="135"/>
      <c r="E360" s="135"/>
      <c r="F360" s="136"/>
      <c r="G360" s="137"/>
      <c r="H360" s="137"/>
      <c r="I360" s="137"/>
      <c r="J360" s="138"/>
      <c r="K360" s="138"/>
      <c r="L360" s="138"/>
      <c r="M360" s="139"/>
      <c r="N360" s="139"/>
      <c r="O360" s="140"/>
      <c r="P360" s="137"/>
    </row>
    <row r="361" ht="15.75" customHeight="1">
      <c r="A361" s="133"/>
      <c r="B361" s="134"/>
      <c r="C361" s="134"/>
      <c r="D361" s="135"/>
      <c r="E361" s="135"/>
      <c r="F361" s="136"/>
      <c r="G361" s="137"/>
      <c r="H361" s="137"/>
      <c r="I361" s="137"/>
      <c r="J361" s="138"/>
      <c r="K361" s="138"/>
      <c r="L361" s="138"/>
      <c r="M361" s="139"/>
      <c r="N361" s="139"/>
      <c r="O361" s="140"/>
      <c r="P361" s="137"/>
    </row>
    <row r="362" ht="15.75" customHeight="1">
      <c r="A362" s="133"/>
      <c r="B362" s="134"/>
      <c r="C362" s="134"/>
      <c r="D362" s="135"/>
      <c r="E362" s="135"/>
      <c r="F362" s="136"/>
      <c r="G362" s="137"/>
      <c r="H362" s="137"/>
      <c r="I362" s="137"/>
      <c r="J362" s="138"/>
      <c r="K362" s="138"/>
      <c r="L362" s="138"/>
      <c r="M362" s="139"/>
      <c r="N362" s="139"/>
      <c r="O362" s="140"/>
      <c r="P362" s="137"/>
    </row>
    <row r="363" ht="15.75" customHeight="1">
      <c r="A363" s="133"/>
      <c r="B363" s="134"/>
      <c r="C363" s="134"/>
      <c r="D363" s="135"/>
      <c r="E363" s="135"/>
      <c r="F363" s="136"/>
      <c r="G363" s="137"/>
      <c r="H363" s="137"/>
      <c r="I363" s="137"/>
      <c r="J363" s="138"/>
      <c r="K363" s="138"/>
      <c r="L363" s="138"/>
      <c r="M363" s="139"/>
      <c r="N363" s="139"/>
      <c r="O363" s="140"/>
      <c r="P363" s="137"/>
    </row>
    <row r="364" ht="15.75" customHeight="1">
      <c r="A364" s="133"/>
      <c r="B364" s="134"/>
      <c r="C364" s="134"/>
      <c r="D364" s="135"/>
      <c r="E364" s="135"/>
      <c r="F364" s="136"/>
      <c r="G364" s="137"/>
      <c r="H364" s="137"/>
      <c r="I364" s="137"/>
      <c r="J364" s="138"/>
      <c r="K364" s="138"/>
      <c r="L364" s="138"/>
      <c r="M364" s="139"/>
      <c r="N364" s="139"/>
      <c r="O364" s="140"/>
      <c r="P364" s="137"/>
    </row>
    <row r="365" ht="15.75" customHeight="1">
      <c r="A365" s="133"/>
      <c r="B365" s="134"/>
      <c r="C365" s="134"/>
      <c r="D365" s="135"/>
      <c r="E365" s="135"/>
      <c r="F365" s="136"/>
      <c r="G365" s="137"/>
      <c r="H365" s="137"/>
      <c r="I365" s="137"/>
      <c r="J365" s="138"/>
      <c r="K365" s="138"/>
      <c r="L365" s="138"/>
      <c r="M365" s="139"/>
      <c r="N365" s="139"/>
      <c r="O365" s="140"/>
      <c r="P365" s="137"/>
    </row>
    <row r="366" ht="15.75" customHeight="1">
      <c r="A366" s="133"/>
      <c r="B366" s="134"/>
      <c r="C366" s="134"/>
      <c r="D366" s="135"/>
      <c r="E366" s="135"/>
      <c r="F366" s="136"/>
      <c r="G366" s="137"/>
      <c r="H366" s="137"/>
      <c r="I366" s="137"/>
      <c r="J366" s="138"/>
      <c r="K366" s="138"/>
      <c r="L366" s="138"/>
      <c r="M366" s="139"/>
      <c r="N366" s="139"/>
      <c r="O366" s="140"/>
      <c r="P366" s="137"/>
    </row>
    <row r="367" ht="15.75" customHeight="1">
      <c r="A367" s="133"/>
      <c r="B367" s="134"/>
      <c r="C367" s="134"/>
      <c r="D367" s="135"/>
      <c r="E367" s="135"/>
      <c r="F367" s="136"/>
      <c r="G367" s="137"/>
      <c r="H367" s="137"/>
      <c r="I367" s="137"/>
      <c r="J367" s="138"/>
      <c r="K367" s="138"/>
      <c r="L367" s="138"/>
      <c r="M367" s="139"/>
      <c r="N367" s="139"/>
      <c r="O367" s="140"/>
      <c r="P367" s="137"/>
    </row>
    <row r="368" ht="15.75" customHeight="1">
      <c r="A368" s="133"/>
      <c r="B368" s="134"/>
      <c r="C368" s="134"/>
      <c r="D368" s="135"/>
      <c r="E368" s="135"/>
      <c r="F368" s="136"/>
      <c r="G368" s="137"/>
      <c r="H368" s="137"/>
      <c r="I368" s="137"/>
      <c r="J368" s="138"/>
      <c r="K368" s="138"/>
      <c r="L368" s="138"/>
      <c r="M368" s="139"/>
      <c r="N368" s="139"/>
      <c r="O368" s="140"/>
      <c r="P368" s="137"/>
    </row>
    <row r="369" ht="15.75" customHeight="1">
      <c r="A369" s="133"/>
      <c r="B369" s="134"/>
      <c r="C369" s="134"/>
      <c r="D369" s="135"/>
      <c r="E369" s="135"/>
      <c r="F369" s="136"/>
      <c r="G369" s="137"/>
      <c r="H369" s="137"/>
      <c r="I369" s="137"/>
      <c r="J369" s="138"/>
      <c r="K369" s="138"/>
      <c r="L369" s="138"/>
      <c r="M369" s="139"/>
      <c r="N369" s="139"/>
      <c r="O369" s="140"/>
      <c r="P369" s="137"/>
    </row>
    <row r="370" ht="15.75" customHeight="1">
      <c r="A370" s="133"/>
      <c r="B370" s="134"/>
      <c r="C370" s="134"/>
      <c r="D370" s="135"/>
      <c r="E370" s="135"/>
      <c r="F370" s="136"/>
      <c r="G370" s="137"/>
      <c r="H370" s="137"/>
      <c r="I370" s="137"/>
      <c r="J370" s="138"/>
      <c r="K370" s="138"/>
      <c r="L370" s="138"/>
      <c r="M370" s="139"/>
      <c r="N370" s="139"/>
      <c r="O370" s="140"/>
      <c r="P370" s="137"/>
    </row>
    <row r="371" ht="15.75" customHeight="1">
      <c r="A371" s="133"/>
      <c r="B371" s="134"/>
      <c r="C371" s="134"/>
      <c r="D371" s="135"/>
      <c r="E371" s="135"/>
      <c r="F371" s="136"/>
      <c r="G371" s="137"/>
      <c r="H371" s="137"/>
      <c r="I371" s="137"/>
      <c r="J371" s="138"/>
      <c r="K371" s="138"/>
      <c r="L371" s="138"/>
      <c r="M371" s="139"/>
      <c r="N371" s="139"/>
      <c r="O371" s="140"/>
      <c r="P371" s="137"/>
    </row>
    <row r="372" ht="15.75" customHeight="1">
      <c r="A372" s="133"/>
      <c r="B372" s="134"/>
      <c r="C372" s="134"/>
      <c r="D372" s="135"/>
      <c r="E372" s="135"/>
      <c r="F372" s="136"/>
      <c r="G372" s="137"/>
      <c r="H372" s="137"/>
      <c r="I372" s="137"/>
      <c r="J372" s="138"/>
      <c r="K372" s="138"/>
      <c r="L372" s="138"/>
      <c r="M372" s="139"/>
      <c r="N372" s="139"/>
      <c r="O372" s="140"/>
      <c r="P372" s="137"/>
    </row>
    <row r="373" ht="15.75" customHeight="1">
      <c r="A373" s="133"/>
      <c r="B373" s="134"/>
      <c r="C373" s="134"/>
      <c r="D373" s="135"/>
      <c r="E373" s="135"/>
      <c r="F373" s="136"/>
      <c r="G373" s="137"/>
      <c r="H373" s="137"/>
      <c r="I373" s="137"/>
      <c r="J373" s="138"/>
      <c r="K373" s="138"/>
      <c r="L373" s="138"/>
      <c r="M373" s="139"/>
      <c r="N373" s="139"/>
      <c r="O373" s="140"/>
      <c r="P373" s="137"/>
    </row>
    <row r="374" ht="15.75" customHeight="1">
      <c r="A374" s="133"/>
      <c r="B374" s="134"/>
      <c r="C374" s="134"/>
      <c r="D374" s="135"/>
      <c r="E374" s="135"/>
      <c r="F374" s="136"/>
      <c r="G374" s="137"/>
      <c r="H374" s="137"/>
      <c r="I374" s="137"/>
      <c r="J374" s="138"/>
      <c r="K374" s="138"/>
      <c r="L374" s="138"/>
      <c r="M374" s="139"/>
      <c r="N374" s="139"/>
      <c r="O374" s="140"/>
      <c r="P374" s="137"/>
    </row>
    <row r="375" ht="15.75" customHeight="1">
      <c r="A375" s="133"/>
      <c r="B375" s="134"/>
      <c r="C375" s="134"/>
      <c r="D375" s="135"/>
      <c r="E375" s="135"/>
      <c r="F375" s="136"/>
      <c r="G375" s="137"/>
      <c r="H375" s="137"/>
      <c r="I375" s="137"/>
      <c r="J375" s="138"/>
      <c r="K375" s="138"/>
      <c r="L375" s="138"/>
      <c r="M375" s="139"/>
      <c r="N375" s="139"/>
      <c r="O375" s="140"/>
      <c r="P375" s="137"/>
    </row>
    <row r="376" ht="15.75" customHeight="1">
      <c r="D376" s="163"/>
      <c r="E376" s="163"/>
      <c r="F376" s="164"/>
      <c r="O376" s="157"/>
    </row>
    <row r="377" ht="15.75" customHeight="1">
      <c r="D377" s="163"/>
      <c r="E377" s="163"/>
      <c r="F377" s="164"/>
      <c r="O377" s="157"/>
    </row>
    <row r="378" ht="15.75" customHeight="1">
      <c r="D378" s="163"/>
      <c r="E378" s="163"/>
      <c r="F378" s="164"/>
      <c r="O378" s="157"/>
    </row>
    <row r="379" ht="15.75" customHeight="1">
      <c r="D379" s="163"/>
      <c r="E379" s="163"/>
      <c r="F379" s="164"/>
      <c r="O379" s="157"/>
    </row>
    <row r="380" ht="15.75" customHeight="1">
      <c r="D380" s="163"/>
      <c r="E380" s="163"/>
      <c r="F380" s="164"/>
      <c r="O380" s="157"/>
    </row>
    <row r="381" ht="15.75" customHeight="1">
      <c r="D381" s="163"/>
      <c r="E381" s="163"/>
      <c r="F381" s="164"/>
      <c r="O381" s="157"/>
    </row>
    <row r="382" ht="15.75" customHeight="1">
      <c r="D382" s="163"/>
      <c r="E382" s="163"/>
      <c r="F382" s="164"/>
      <c r="O382" s="157"/>
    </row>
    <row r="383" ht="15.75" customHeight="1">
      <c r="D383" s="163"/>
      <c r="E383" s="163"/>
      <c r="F383" s="164"/>
      <c r="O383" s="157"/>
    </row>
    <row r="384" ht="15.75" customHeight="1">
      <c r="D384" s="163"/>
      <c r="E384" s="163"/>
      <c r="F384" s="164"/>
      <c r="O384" s="157"/>
    </row>
    <row r="385" ht="15.75" customHeight="1">
      <c r="D385" s="163"/>
      <c r="E385" s="163"/>
      <c r="F385" s="164"/>
      <c r="O385" s="157"/>
    </row>
    <row r="386" ht="15.75" customHeight="1">
      <c r="D386" s="163"/>
      <c r="E386" s="163"/>
      <c r="F386" s="164"/>
      <c r="O386" s="157"/>
    </row>
    <row r="387" ht="15.75" customHeight="1">
      <c r="D387" s="163"/>
      <c r="E387" s="163"/>
      <c r="F387" s="164"/>
      <c r="O387" s="157"/>
    </row>
    <row r="388" ht="15.75" customHeight="1">
      <c r="D388" s="163"/>
      <c r="E388" s="163"/>
      <c r="F388" s="164"/>
      <c r="O388" s="157"/>
    </row>
    <row r="389" ht="15.75" customHeight="1">
      <c r="D389" s="163"/>
      <c r="E389" s="163"/>
      <c r="F389" s="164"/>
      <c r="O389" s="157"/>
    </row>
    <row r="390" ht="15.75" customHeight="1">
      <c r="D390" s="163"/>
      <c r="E390" s="163"/>
      <c r="F390" s="164"/>
      <c r="O390" s="157"/>
    </row>
    <row r="391" ht="15.75" customHeight="1">
      <c r="D391" s="163"/>
      <c r="E391" s="163"/>
      <c r="F391" s="164"/>
      <c r="O391" s="157"/>
    </row>
    <row r="392" ht="15.75" customHeight="1">
      <c r="D392" s="163"/>
      <c r="E392" s="163"/>
      <c r="F392" s="164"/>
      <c r="O392" s="157"/>
    </row>
    <row r="393" ht="15.75" customHeight="1">
      <c r="D393" s="163"/>
      <c r="E393" s="163"/>
      <c r="F393" s="164"/>
      <c r="O393" s="157"/>
    </row>
    <row r="394" ht="15.75" customHeight="1">
      <c r="D394" s="163"/>
      <c r="E394" s="163"/>
      <c r="F394" s="164"/>
      <c r="O394" s="157"/>
    </row>
    <row r="395" ht="15.75" customHeight="1">
      <c r="D395" s="163"/>
      <c r="E395" s="163"/>
      <c r="F395" s="164"/>
      <c r="O395" s="157"/>
    </row>
    <row r="396" ht="15.75" customHeight="1">
      <c r="D396" s="163"/>
      <c r="E396" s="163"/>
      <c r="F396" s="164"/>
      <c r="O396" s="157"/>
    </row>
    <row r="397" ht="15.75" customHeight="1">
      <c r="D397" s="163"/>
      <c r="E397" s="163"/>
      <c r="F397" s="164"/>
      <c r="O397" s="157"/>
    </row>
    <row r="398" ht="15.75" customHeight="1">
      <c r="D398" s="163"/>
      <c r="E398" s="163"/>
      <c r="F398" s="164"/>
      <c r="O398" s="157"/>
    </row>
    <row r="399" ht="15.75" customHeight="1">
      <c r="D399" s="163"/>
      <c r="E399" s="163"/>
      <c r="F399" s="164"/>
      <c r="O399" s="157"/>
    </row>
    <row r="400" ht="15.75" customHeight="1">
      <c r="D400" s="163"/>
      <c r="E400" s="163"/>
      <c r="F400" s="164"/>
      <c r="O400" s="157"/>
    </row>
    <row r="401" ht="15.75" customHeight="1">
      <c r="D401" s="163"/>
      <c r="E401" s="163"/>
      <c r="F401" s="164"/>
      <c r="O401" s="157"/>
    </row>
    <row r="402" ht="15.75" customHeight="1">
      <c r="D402" s="163"/>
      <c r="E402" s="163"/>
      <c r="F402" s="164"/>
      <c r="O402" s="157"/>
    </row>
    <row r="403" ht="15.75" customHeight="1">
      <c r="D403" s="163"/>
      <c r="E403" s="163"/>
      <c r="F403" s="164"/>
      <c r="O403" s="157"/>
    </row>
    <row r="404" ht="15.75" customHeight="1">
      <c r="D404" s="163"/>
      <c r="E404" s="163"/>
      <c r="F404" s="164"/>
      <c r="O404" s="157"/>
    </row>
    <row r="405" ht="15.75" customHeight="1">
      <c r="D405" s="163"/>
      <c r="E405" s="163"/>
      <c r="F405" s="164"/>
      <c r="O405" s="157"/>
    </row>
    <row r="406" ht="15.75" customHeight="1">
      <c r="D406" s="163"/>
      <c r="E406" s="163"/>
      <c r="F406" s="164"/>
      <c r="O406" s="157"/>
    </row>
    <row r="407" ht="15.75" customHeight="1">
      <c r="D407" s="163"/>
      <c r="E407" s="163"/>
      <c r="F407" s="164"/>
      <c r="O407" s="157"/>
    </row>
    <row r="408" ht="15.75" customHeight="1">
      <c r="D408" s="163"/>
      <c r="E408" s="163"/>
      <c r="F408" s="164"/>
      <c r="O408" s="157"/>
    </row>
    <row r="409" ht="15.75" customHeight="1">
      <c r="D409" s="163"/>
      <c r="E409" s="163"/>
      <c r="F409" s="164"/>
      <c r="O409" s="157"/>
    </row>
    <row r="410" ht="15.75" customHeight="1">
      <c r="D410" s="163"/>
      <c r="E410" s="163"/>
      <c r="F410" s="164"/>
      <c r="O410" s="157"/>
    </row>
    <row r="411" ht="15.75" customHeight="1">
      <c r="D411" s="163"/>
      <c r="E411" s="163"/>
      <c r="F411" s="164"/>
      <c r="O411" s="157"/>
    </row>
    <row r="412" ht="15.75" customHeight="1">
      <c r="D412" s="163"/>
      <c r="E412" s="163"/>
      <c r="F412" s="164"/>
      <c r="O412" s="157"/>
    </row>
    <row r="413" ht="15.75" customHeight="1">
      <c r="D413" s="163"/>
      <c r="E413" s="163"/>
      <c r="F413" s="164"/>
      <c r="O413" s="157"/>
    </row>
    <row r="414" ht="15.75" customHeight="1">
      <c r="D414" s="163"/>
      <c r="E414" s="163"/>
      <c r="F414" s="164"/>
      <c r="O414" s="157"/>
    </row>
    <row r="415" ht="15.75" customHeight="1">
      <c r="D415" s="163"/>
      <c r="E415" s="163"/>
      <c r="F415" s="164"/>
      <c r="O415" s="157"/>
    </row>
    <row r="416" ht="15.75" customHeight="1">
      <c r="D416" s="163"/>
      <c r="E416" s="163"/>
      <c r="F416" s="164"/>
      <c r="O416" s="157"/>
    </row>
    <row r="417" ht="15.75" customHeight="1">
      <c r="D417" s="163"/>
      <c r="E417" s="163"/>
      <c r="F417" s="164"/>
      <c r="O417" s="157"/>
    </row>
    <row r="418" ht="15.75" customHeight="1">
      <c r="D418" s="163"/>
      <c r="E418" s="163"/>
      <c r="F418" s="164"/>
      <c r="O418" s="157"/>
    </row>
    <row r="419" ht="15.75" customHeight="1">
      <c r="D419" s="163"/>
      <c r="E419" s="163"/>
      <c r="F419" s="164"/>
      <c r="O419" s="157"/>
    </row>
    <row r="420" ht="15.75" customHeight="1">
      <c r="D420" s="163"/>
      <c r="E420" s="163"/>
      <c r="F420" s="164"/>
      <c r="O420" s="157"/>
    </row>
    <row r="421" ht="15.75" customHeight="1">
      <c r="D421" s="163"/>
      <c r="E421" s="163"/>
      <c r="F421" s="164"/>
      <c r="O421" s="157"/>
    </row>
    <row r="422" ht="15.75" customHeight="1">
      <c r="D422" s="163"/>
      <c r="E422" s="163"/>
      <c r="F422" s="164"/>
      <c r="O422" s="157"/>
    </row>
    <row r="423" ht="15.75" customHeight="1">
      <c r="D423" s="163"/>
      <c r="E423" s="163"/>
      <c r="F423" s="164"/>
      <c r="O423" s="157"/>
    </row>
    <row r="424" ht="15.75" customHeight="1">
      <c r="D424" s="163"/>
      <c r="E424" s="163"/>
      <c r="F424" s="164"/>
      <c r="O424" s="157"/>
    </row>
    <row r="425" ht="15.75" customHeight="1">
      <c r="D425" s="163"/>
      <c r="E425" s="163"/>
      <c r="F425" s="164"/>
      <c r="O425" s="157"/>
    </row>
    <row r="426" ht="15.75" customHeight="1">
      <c r="D426" s="163"/>
      <c r="E426" s="163"/>
      <c r="F426" s="164"/>
      <c r="O426" s="157"/>
    </row>
    <row r="427" ht="15.75" customHeight="1">
      <c r="D427" s="163"/>
      <c r="E427" s="163"/>
      <c r="F427" s="164"/>
      <c r="O427" s="157"/>
    </row>
    <row r="428" ht="15.75" customHeight="1">
      <c r="D428" s="163"/>
      <c r="E428" s="163"/>
      <c r="F428" s="164"/>
      <c r="O428" s="157"/>
    </row>
    <row r="429" ht="15.75" customHeight="1">
      <c r="D429" s="163"/>
      <c r="E429" s="163"/>
      <c r="F429" s="164"/>
      <c r="O429" s="157"/>
    </row>
    <row r="430" ht="15.75" customHeight="1">
      <c r="D430" s="163"/>
      <c r="E430" s="163"/>
      <c r="F430" s="164"/>
      <c r="O430" s="157"/>
    </row>
    <row r="431" ht="15.75" customHeight="1">
      <c r="D431" s="163"/>
      <c r="E431" s="163"/>
      <c r="F431" s="164"/>
      <c r="O431" s="157"/>
    </row>
    <row r="432" ht="15.75" customHeight="1">
      <c r="D432" s="163"/>
      <c r="E432" s="163"/>
      <c r="F432" s="164"/>
      <c r="O432" s="157"/>
    </row>
    <row r="433" ht="15.75" customHeight="1">
      <c r="D433" s="163"/>
      <c r="E433" s="163"/>
      <c r="F433" s="164"/>
      <c r="O433" s="157"/>
    </row>
    <row r="434" ht="15.75" customHeight="1">
      <c r="D434" s="163"/>
      <c r="E434" s="163"/>
      <c r="F434" s="164"/>
      <c r="O434" s="157"/>
    </row>
    <row r="435" ht="15.75" customHeight="1">
      <c r="D435" s="163"/>
      <c r="E435" s="163"/>
      <c r="F435" s="164"/>
      <c r="O435" s="157"/>
    </row>
    <row r="436" ht="15.75" customHeight="1">
      <c r="D436" s="163"/>
      <c r="E436" s="163"/>
      <c r="F436" s="164"/>
      <c r="O436" s="157"/>
    </row>
    <row r="437" ht="15.75" customHeight="1">
      <c r="D437" s="163"/>
      <c r="E437" s="163"/>
      <c r="F437" s="164"/>
      <c r="O437" s="157"/>
    </row>
    <row r="438" ht="15.75" customHeight="1">
      <c r="D438" s="163"/>
      <c r="E438" s="163"/>
      <c r="F438" s="164"/>
      <c r="O438" s="157"/>
    </row>
    <row r="439" ht="15.75" customHeight="1">
      <c r="D439" s="163"/>
      <c r="E439" s="163"/>
      <c r="F439" s="164"/>
      <c r="O439" s="157"/>
    </row>
    <row r="440" ht="15.75" customHeight="1">
      <c r="D440" s="163"/>
      <c r="E440" s="163"/>
      <c r="F440" s="164"/>
      <c r="O440" s="157"/>
    </row>
    <row r="441" ht="15.75" customHeight="1">
      <c r="D441" s="163"/>
      <c r="E441" s="163"/>
      <c r="F441" s="164"/>
      <c r="O441" s="157"/>
    </row>
    <row r="442" ht="15.75" customHeight="1">
      <c r="D442" s="163"/>
      <c r="E442" s="163"/>
      <c r="F442" s="164"/>
      <c r="O442" s="157"/>
    </row>
    <row r="443" ht="15.75" customHeight="1">
      <c r="D443" s="163"/>
      <c r="E443" s="163"/>
      <c r="F443" s="164"/>
      <c r="O443" s="157"/>
    </row>
    <row r="444" ht="15.75" customHeight="1">
      <c r="D444" s="163"/>
      <c r="E444" s="163"/>
      <c r="F444" s="164"/>
      <c r="O444" s="157"/>
    </row>
    <row r="445" ht="15.75" customHeight="1">
      <c r="D445" s="163"/>
      <c r="E445" s="163"/>
      <c r="F445" s="164"/>
      <c r="O445" s="157"/>
    </row>
    <row r="446" ht="15.75" customHeight="1">
      <c r="D446" s="163"/>
      <c r="E446" s="163"/>
      <c r="F446" s="164"/>
      <c r="O446" s="157"/>
    </row>
    <row r="447" ht="15.75" customHeight="1">
      <c r="D447" s="163"/>
      <c r="E447" s="163"/>
      <c r="F447" s="164"/>
      <c r="O447" s="157"/>
    </row>
    <row r="448" ht="15.75" customHeight="1">
      <c r="D448" s="163"/>
      <c r="E448" s="163"/>
      <c r="F448" s="164"/>
      <c r="O448" s="157"/>
    </row>
    <row r="449" ht="15.75" customHeight="1">
      <c r="D449" s="163"/>
      <c r="E449" s="163"/>
      <c r="F449" s="164"/>
      <c r="O449" s="157"/>
    </row>
    <row r="450" ht="15.75" customHeight="1">
      <c r="D450" s="163"/>
      <c r="E450" s="163"/>
      <c r="F450" s="164"/>
      <c r="O450" s="157"/>
    </row>
    <row r="451" ht="15.75" customHeight="1">
      <c r="D451" s="163"/>
      <c r="E451" s="163"/>
      <c r="F451" s="164"/>
      <c r="O451" s="157"/>
    </row>
    <row r="452" ht="15.75" customHeight="1">
      <c r="D452" s="163"/>
      <c r="E452" s="163"/>
      <c r="F452" s="164"/>
      <c r="O452" s="157"/>
    </row>
    <row r="453" ht="15.75" customHeight="1">
      <c r="D453" s="163"/>
      <c r="E453" s="163"/>
      <c r="F453" s="164"/>
      <c r="O453" s="157"/>
    </row>
    <row r="454" ht="15.75" customHeight="1">
      <c r="D454" s="163"/>
      <c r="E454" s="163"/>
      <c r="F454" s="164"/>
      <c r="O454" s="157"/>
    </row>
    <row r="455" ht="15.75" customHeight="1">
      <c r="D455" s="163"/>
      <c r="E455" s="163"/>
      <c r="F455" s="164"/>
      <c r="O455" s="157"/>
    </row>
    <row r="456" ht="15.75" customHeight="1">
      <c r="D456" s="163"/>
      <c r="E456" s="163"/>
      <c r="F456" s="164"/>
      <c r="O456" s="157"/>
    </row>
    <row r="457" ht="15.75" customHeight="1">
      <c r="D457" s="163"/>
      <c r="E457" s="163"/>
      <c r="F457" s="164"/>
      <c r="O457" s="157"/>
    </row>
    <row r="458" ht="15.75" customHeight="1">
      <c r="D458" s="163"/>
      <c r="E458" s="163"/>
      <c r="F458" s="164"/>
      <c r="O458" s="157"/>
    </row>
    <row r="459" ht="15.75" customHeight="1">
      <c r="D459" s="163"/>
      <c r="E459" s="163"/>
      <c r="F459" s="164"/>
      <c r="O459" s="157"/>
    </row>
    <row r="460" ht="15.75" customHeight="1">
      <c r="D460" s="163"/>
      <c r="E460" s="163"/>
      <c r="F460" s="164"/>
      <c r="O460" s="157"/>
    </row>
    <row r="461" ht="15.75" customHeight="1">
      <c r="D461" s="163"/>
      <c r="E461" s="163"/>
      <c r="F461" s="164"/>
      <c r="O461" s="157"/>
    </row>
    <row r="462" ht="15.75" customHeight="1">
      <c r="D462" s="163"/>
      <c r="E462" s="163"/>
      <c r="F462" s="164"/>
      <c r="O462" s="157"/>
    </row>
    <row r="463" ht="15.75" customHeight="1">
      <c r="D463" s="163"/>
      <c r="E463" s="163"/>
      <c r="F463" s="164"/>
      <c r="O463" s="157"/>
    </row>
    <row r="464" ht="15.75" customHeight="1">
      <c r="D464" s="163"/>
      <c r="E464" s="163"/>
      <c r="F464" s="164"/>
      <c r="O464" s="157"/>
    </row>
    <row r="465" ht="15.75" customHeight="1">
      <c r="D465" s="163"/>
      <c r="E465" s="163"/>
      <c r="F465" s="164"/>
      <c r="O465" s="157"/>
    </row>
    <row r="466" ht="15.75" customHeight="1">
      <c r="D466" s="163"/>
      <c r="E466" s="163"/>
      <c r="F466" s="164"/>
      <c r="O466" s="157"/>
    </row>
    <row r="467" ht="15.75" customHeight="1">
      <c r="D467" s="163"/>
      <c r="E467" s="163"/>
      <c r="F467" s="164"/>
      <c r="O467" s="157"/>
    </row>
    <row r="468" ht="15.75" customHeight="1">
      <c r="D468" s="163"/>
      <c r="E468" s="163"/>
      <c r="F468" s="164"/>
      <c r="O468" s="157"/>
    </row>
    <row r="469" ht="15.75" customHeight="1">
      <c r="D469" s="163"/>
      <c r="E469" s="163"/>
      <c r="F469" s="164"/>
      <c r="O469" s="157"/>
    </row>
    <row r="470" ht="15.75" customHeight="1">
      <c r="D470" s="163"/>
      <c r="E470" s="163"/>
      <c r="F470" s="164"/>
      <c r="O470" s="157"/>
    </row>
    <row r="471" ht="15.75" customHeight="1">
      <c r="D471" s="163"/>
      <c r="E471" s="163"/>
      <c r="F471" s="164"/>
      <c r="O471" s="157"/>
    </row>
    <row r="472" ht="15.75" customHeight="1">
      <c r="D472" s="163"/>
      <c r="E472" s="163"/>
      <c r="F472" s="164"/>
      <c r="O472" s="157"/>
    </row>
    <row r="473" ht="15.75" customHeight="1">
      <c r="D473" s="163"/>
      <c r="E473" s="163"/>
      <c r="F473" s="164"/>
      <c r="O473" s="157"/>
    </row>
    <row r="474" ht="15.75" customHeight="1">
      <c r="D474" s="163"/>
      <c r="E474" s="163"/>
      <c r="F474" s="164"/>
      <c r="O474" s="157"/>
    </row>
    <row r="475" ht="15.75" customHeight="1">
      <c r="D475" s="163"/>
      <c r="E475" s="163"/>
      <c r="F475" s="164"/>
      <c r="O475" s="157"/>
    </row>
    <row r="476" ht="15.75" customHeight="1">
      <c r="D476" s="163"/>
      <c r="E476" s="163"/>
      <c r="F476" s="164"/>
      <c r="O476" s="157"/>
    </row>
    <row r="477" ht="15.75" customHeight="1">
      <c r="D477" s="163"/>
      <c r="E477" s="163"/>
      <c r="F477" s="164"/>
      <c r="O477" s="157"/>
    </row>
    <row r="478" ht="15.75" customHeight="1">
      <c r="D478" s="163"/>
      <c r="E478" s="163"/>
      <c r="F478" s="164"/>
      <c r="O478" s="157"/>
    </row>
    <row r="479" ht="15.75" customHeight="1">
      <c r="D479" s="163"/>
      <c r="E479" s="163"/>
      <c r="F479" s="164"/>
      <c r="O479" s="157"/>
    </row>
    <row r="480" ht="15.75" customHeight="1">
      <c r="D480" s="163"/>
      <c r="E480" s="163"/>
      <c r="F480" s="164"/>
      <c r="O480" s="157"/>
    </row>
    <row r="481" ht="15.75" customHeight="1">
      <c r="D481" s="163"/>
      <c r="E481" s="163"/>
      <c r="F481" s="164"/>
      <c r="O481" s="157"/>
    </row>
    <row r="482" ht="15.75" customHeight="1">
      <c r="D482" s="163"/>
      <c r="E482" s="163"/>
      <c r="F482" s="164"/>
      <c r="O482" s="157"/>
    </row>
    <row r="483" ht="15.75" customHeight="1">
      <c r="D483" s="163"/>
      <c r="E483" s="163"/>
      <c r="F483" s="164"/>
      <c r="O483" s="157"/>
    </row>
    <row r="484" ht="15.75" customHeight="1">
      <c r="D484" s="163"/>
      <c r="E484" s="163"/>
      <c r="F484" s="164"/>
      <c r="O484" s="157"/>
    </row>
    <row r="485" ht="15.75" customHeight="1">
      <c r="D485" s="163"/>
      <c r="E485" s="163"/>
      <c r="F485" s="164"/>
      <c r="O485" s="157"/>
    </row>
    <row r="486" ht="15.75" customHeight="1">
      <c r="D486" s="163"/>
      <c r="E486" s="163"/>
      <c r="F486" s="164"/>
      <c r="O486" s="157"/>
    </row>
    <row r="487" ht="15.75" customHeight="1">
      <c r="D487" s="163"/>
      <c r="E487" s="163"/>
      <c r="F487" s="164"/>
      <c r="O487" s="157"/>
    </row>
    <row r="488" ht="15.75" customHeight="1">
      <c r="D488" s="163"/>
      <c r="E488" s="163"/>
      <c r="F488" s="164"/>
      <c r="O488" s="157"/>
    </row>
    <row r="489" ht="15.75" customHeight="1">
      <c r="D489" s="163"/>
      <c r="E489" s="163"/>
      <c r="F489" s="164"/>
      <c r="O489" s="157"/>
    </row>
    <row r="490" ht="15.75" customHeight="1">
      <c r="D490" s="163"/>
      <c r="E490" s="163"/>
      <c r="F490" s="164"/>
      <c r="O490" s="157"/>
    </row>
    <row r="491" ht="15.75" customHeight="1">
      <c r="D491" s="163"/>
      <c r="E491" s="163"/>
      <c r="F491" s="164"/>
      <c r="O491" s="157"/>
    </row>
    <row r="492" ht="15.75" customHeight="1">
      <c r="D492" s="163"/>
      <c r="E492" s="163"/>
      <c r="F492" s="164"/>
      <c r="O492" s="157"/>
    </row>
    <row r="493" ht="15.75" customHeight="1">
      <c r="D493" s="163"/>
      <c r="E493" s="163"/>
      <c r="F493" s="164"/>
      <c r="O493" s="157"/>
    </row>
    <row r="494" ht="15.75" customHeight="1">
      <c r="D494" s="163"/>
      <c r="E494" s="163"/>
      <c r="F494" s="164"/>
      <c r="O494" s="157"/>
    </row>
    <row r="495" ht="15.75" customHeight="1">
      <c r="D495" s="163"/>
      <c r="E495" s="163"/>
      <c r="F495" s="164"/>
      <c r="O495" s="157"/>
    </row>
    <row r="496" ht="15.75" customHeight="1">
      <c r="D496" s="163"/>
      <c r="E496" s="163"/>
      <c r="F496" s="164"/>
      <c r="O496" s="157"/>
    </row>
    <row r="497" ht="15.75" customHeight="1">
      <c r="D497" s="163"/>
      <c r="E497" s="163"/>
      <c r="F497" s="164"/>
      <c r="O497" s="157"/>
    </row>
    <row r="498" ht="15.75" customHeight="1">
      <c r="D498" s="163"/>
      <c r="E498" s="163"/>
      <c r="F498" s="164"/>
      <c r="O498" s="157"/>
    </row>
    <row r="499" ht="15.75" customHeight="1">
      <c r="D499" s="163"/>
      <c r="E499" s="163"/>
      <c r="F499" s="164"/>
      <c r="O499" s="157"/>
    </row>
    <row r="500" ht="15.75" customHeight="1">
      <c r="D500" s="163"/>
      <c r="E500" s="163"/>
      <c r="F500" s="164"/>
      <c r="O500" s="157"/>
    </row>
    <row r="501" ht="15.75" customHeight="1">
      <c r="D501" s="163"/>
      <c r="E501" s="163"/>
      <c r="F501" s="164"/>
      <c r="O501" s="157"/>
    </row>
    <row r="502" ht="15.75" customHeight="1">
      <c r="D502" s="163"/>
      <c r="E502" s="163"/>
      <c r="F502" s="164"/>
      <c r="O502" s="157"/>
    </row>
    <row r="503" ht="15.75" customHeight="1">
      <c r="D503" s="163"/>
      <c r="E503" s="163"/>
      <c r="F503" s="164"/>
      <c r="O503" s="157"/>
    </row>
    <row r="504" ht="15.75" customHeight="1">
      <c r="D504" s="163"/>
      <c r="E504" s="163"/>
      <c r="F504" s="164"/>
      <c r="O504" s="157"/>
    </row>
    <row r="505" ht="15.75" customHeight="1">
      <c r="D505" s="163"/>
      <c r="E505" s="163"/>
      <c r="F505" s="164"/>
      <c r="O505" s="157"/>
    </row>
    <row r="506" ht="15.75" customHeight="1">
      <c r="D506" s="163"/>
      <c r="E506" s="163"/>
      <c r="F506" s="164"/>
      <c r="O506" s="157"/>
    </row>
    <row r="507" ht="15.75" customHeight="1">
      <c r="D507" s="163"/>
      <c r="E507" s="163"/>
      <c r="F507" s="164"/>
      <c r="O507" s="157"/>
    </row>
    <row r="508" ht="15.75" customHeight="1">
      <c r="D508" s="163"/>
      <c r="E508" s="163"/>
      <c r="F508" s="164"/>
      <c r="O508" s="157"/>
    </row>
    <row r="509" ht="15.75" customHeight="1">
      <c r="D509" s="163"/>
      <c r="E509" s="163"/>
      <c r="F509" s="164"/>
      <c r="O509" s="157"/>
    </row>
    <row r="510" ht="15.75" customHeight="1">
      <c r="D510" s="163"/>
      <c r="E510" s="163"/>
      <c r="F510" s="164"/>
      <c r="O510" s="157"/>
    </row>
    <row r="511" ht="15.75" customHeight="1">
      <c r="D511" s="163"/>
      <c r="E511" s="163"/>
      <c r="F511" s="164"/>
      <c r="O511" s="157"/>
    </row>
    <row r="512" ht="15.75" customHeight="1">
      <c r="D512" s="163"/>
      <c r="E512" s="163"/>
      <c r="F512" s="164"/>
      <c r="O512" s="157"/>
    </row>
    <row r="513" ht="15.75" customHeight="1">
      <c r="D513" s="163"/>
      <c r="E513" s="163"/>
      <c r="F513" s="164"/>
      <c r="O513" s="157"/>
    </row>
    <row r="514" ht="15.75" customHeight="1">
      <c r="D514" s="163"/>
      <c r="E514" s="163"/>
      <c r="F514" s="164"/>
      <c r="O514" s="157"/>
    </row>
    <row r="515" ht="15.75" customHeight="1">
      <c r="D515" s="163"/>
      <c r="E515" s="163"/>
      <c r="F515" s="164"/>
      <c r="O515" s="157"/>
    </row>
    <row r="516" ht="15.75" customHeight="1">
      <c r="D516" s="163"/>
      <c r="E516" s="163"/>
      <c r="F516" s="164"/>
      <c r="O516" s="157"/>
    </row>
    <row r="517" ht="15.75" customHeight="1">
      <c r="D517" s="163"/>
      <c r="E517" s="163"/>
      <c r="F517" s="164"/>
      <c r="O517" s="157"/>
    </row>
    <row r="518" ht="15.75" customHeight="1">
      <c r="D518" s="163"/>
      <c r="E518" s="163"/>
      <c r="F518" s="164"/>
      <c r="O518" s="157"/>
    </row>
    <row r="519" ht="15.75" customHeight="1">
      <c r="D519" s="163"/>
      <c r="E519" s="163"/>
      <c r="F519" s="164"/>
      <c r="O519" s="157"/>
    </row>
    <row r="520" ht="15.75" customHeight="1">
      <c r="D520" s="163"/>
      <c r="E520" s="163"/>
      <c r="F520" s="164"/>
      <c r="O520" s="157"/>
    </row>
    <row r="521" ht="15.75" customHeight="1">
      <c r="D521" s="163"/>
      <c r="E521" s="163"/>
      <c r="F521" s="164"/>
      <c r="O521" s="157"/>
    </row>
    <row r="522" ht="15.75" customHeight="1">
      <c r="D522" s="163"/>
      <c r="E522" s="163"/>
      <c r="F522" s="164"/>
      <c r="O522" s="157"/>
    </row>
    <row r="523" ht="15.75" customHeight="1">
      <c r="D523" s="163"/>
      <c r="E523" s="163"/>
      <c r="F523" s="164"/>
      <c r="O523" s="157"/>
    </row>
    <row r="524" ht="15.75" customHeight="1">
      <c r="D524" s="163"/>
      <c r="E524" s="163"/>
      <c r="F524" s="164"/>
      <c r="O524" s="157"/>
    </row>
    <row r="525" ht="15.75" customHeight="1">
      <c r="D525" s="163"/>
      <c r="E525" s="163"/>
      <c r="F525" s="164"/>
      <c r="O525" s="157"/>
    </row>
    <row r="526" ht="15.75" customHeight="1">
      <c r="D526" s="163"/>
      <c r="E526" s="163"/>
      <c r="F526" s="164"/>
      <c r="O526" s="157"/>
    </row>
    <row r="527" ht="15.75" customHeight="1">
      <c r="D527" s="163"/>
      <c r="E527" s="163"/>
      <c r="F527" s="164"/>
      <c r="O527" s="157"/>
    </row>
    <row r="528" ht="15.75" customHeight="1">
      <c r="D528" s="163"/>
      <c r="E528" s="163"/>
      <c r="F528" s="164"/>
      <c r="O528" s="157"/>
    </row>
    <row r="529" ht="15.75" customHeight="1">
      <c r="D529" s="163"/>
      <c r="E529" s="163"/>
      <c r="F529" s="164"/>
      <c r="O529" s="157"/>
    </row>
    <row r="530" ht="15.75" customHeight="1">
      <c r="D530" s="163"/>
      <c r="E530" s="163"/>
      <c r="F530" s="164"/>
      <c r="O530" s="157"/>
    </row>
    <row r="531" ht="15.75" customHeight="1">
      <c r="D531" s="163"/>
      <c r="E531" s="163"/>
      <c r="F531" s="164"/>
      <c r="O531" s="157"/>
    </row>
    <row r="532" ht="15.75" customHeight="1">
      <c r="D532" s="163"/>
      <c r="E532" s="163"/>
      <c r="F532" s="164"/>
      <c r="O532" s="157"/>
    </row>
    <row r="533" ht="15.75" customHeight="1">
      <c r="D533" s="163"/>
      <c r="E533" s="163"/>
      <c r="F533" s="164"/>
      <c r="O533" s="157"/>
    </row>
    <row r="534" ht="15.75" customHeight="1">
      <c r="D534" s="163"/>
      <c r="E534" s="163"/>
      <c r="F534" s="164"/>
      <c r="O534" s="157"/>
    </row>
    <row r="535" ht="15.75" customHeight="1">
      <c r="D535" s="163"/>
      <c r="E535" s="163"/>
      <c r="F535" s="164"/>
      <c r="O535" s="157"/>
    </row>
    <row r="536" ht="15.75" customHeight="1">
      <c r="D536" s="163"/>
      <c r="E536" s="163"/>
      <c r="F536" s="164"/>
      <c r="O536" s="157"/>
    </row>
    <row r="537" ht="15.75" customHeight="1">
      <c r="D537" s="163"/>
      <c r="E537" s="163"/>
      <c r="F537" s="164"/>
      <c r="O537" s="157"/>
    </row>
    <row r="538" ht="15.75" customHeight="1">
      <c r="D538" s="163"/>
      <c r="E538" s="163"/>
      <c r="F538" s="164"/>
      <c r="O538" s="157"/>
    </row>
    <row r="539" ht="15.75" customHeight="1">
      <c r="D539" s="163"/>
      <c r="E539" s="163"/>
      <c r="F539" s="164"/>
      <c r="O539" s="157"/>
    </row>
    <row r="540" ht="15.75" customHeight="1">
      <c r="D540" s="163"/>
      <c r="E540" s="163"/>
      <c r="F540" s="164"/>
      <c r="O540" s="157"/>
    </row>
    <row r="541" ht="15.75" customHeight="1">
      <c r="D541" s="163"/>
      <c r="E541" s="163"/>
      <c r="F541" s="164"/>
      <c r="O541" s="157"/>
    </row>
    <row r="542" ht="15.75" customHeight="1">
      <c r="D542" s="163"/>
      <c r="E542" s="163"/>
      <c r="F542" s="164"/>
      <c r="O542" s="157"/>
    </row>
    <row r="543" ht="15.75" customHeight="1">
      <c r="D543" s="163"/>
      <c r="E543" s="163"/>
      <c r="F543" s="164"/>
      <c r="O543" s="157"/>
    </row>
    <row r="544" ht="15.75" customHeight="1">
      <c r="D544" s="163"/>
      <c r="E544" s="163"/>
      <c r="F544" s="164"/>
      <c r="O544" s="157"/>
    </row>
    <row r="545" ht="15.75" customHeight="1">
      <c r="D545" s="163"/>
      <c r="E545" s="163"/>
      <c r="F545" s="164"/>
      <c r="O545" s="157"/>
    </row>
    <row r="546" ht="15.75" customHeight="1">
      <c r="D546" s="163"/>
      <c r="E546" s="163"/>
      <c r="F546" s="164"/>
      <c r="O546" s="157"/>
    </row>
    <row r="547" ht="15.75" customHeight="1">
      <c r="D547" s="163"/>
      <c r="E547" s="163"/>
      <c r="F547" s="164"/>
      <c r="O547" s="157"/>
    </row>
    <row r="548" ht="15.75" customHeight="1">
      <c r="D548" s="163"/>
      <c r="E548" s="163"/>
      <c r="F548" s="164"/>
      <c r="O548" s="157"/>
    </row>
    <row r="549" ht="15.75" customHeight="1">
      <c r="D549" s="163"/>
      <c r="E549" s="163"/>
      <c r="F549" s="164"/>
      <c r="O549" s="157"/>
    </row>
    <row r="550" ht="15.75" customHeight="1">
      <c r="D550" s="163"/>
      <c r="E550" s="163"/>
      <c r="F550" s="164"/>
      <c r="O550" s="157"/>
    </row>
    <row r="551" ht="15.75" customHeight="1">
      <c r="D551" s="163"/>
      <c r="E551" s="163"/>
      <c r="F551" s="164"/>
      <c r="O551" s="157"/>
    </row>
    <row r="552" ht="15.75" customHeight="1">
      <c r="D552" s="163"/>
      <c r="E552" s="163"/>
      <c r="F552" s="164"/>
      <c r="O552" s="157"/>
    </row>
    <row r="553" ht="15.75" customHeight="1">
      <c r="D553" s="163"/>
      <c r="E553" s="163"/>
      <c r="F553" s="164"/>
      <c r="O553" s="157"/>
    </row>
    <row r="554" ht="15.75" customHeight="1">
      <c r="D554" s="163"/>
      <c r="E554" s="163"/>
      <c r="F554" s="164"/>
      <c r="O554" s="157"/>
    </row>
    <row r="555" ht="15.75" customHeight="1">
      <c r="D555" s="163"/>
      <c r="E555" s="163"/>
      <c r="F555" s="164"/>
      <c r="O555" s="157"/>
    </row>
    <row r="556" ht="15.75" customHeight="1">
      <c r="D556" s="163"/>
      <c r="E556" s="163"/>
      <c r="F556" s="164"/>
      <c r="O556" s="157"/>
    </row>
    <row r="557" ht="15.75" customHeight="1">
      <c r="D557" s="163"/>
      <c r="E557" s="163"/>
      <c r="F557" s="164"/>
      <c r="O557" s="157"/>
    </row>
    <row r="558" ht="15.75" customHeight="1">
      <c r="D558" s="163"/>
      <c r="E558" s="163"/>
      <c r="F558" s="164"/>
      <c r="O558" s="157"/>
    </row>
    <row r="559" ht="15.75" customHeight="1">
      <c r="D559" s="163"/>
      <c r="E559" s="163"/>
      <c r="F559" s="164"/>
      <c r="O559" s="157"/>
    </row>
    <row r="560" ht="15.75" customHeight="1">
      <c r="D560" s="163"/>
      <c r="E560" s="163"/>
      <c r="F560" s="164"/>
      <c r="O560" s="157"/>
    </row>
    <row r="561" ht="15.75" customHeight="1">
      <c r="D561" s="163"/>
      <c r="E561" s="163"/>
      <c r="F561" s="164"/>
      <c r="O561" s="157"/>
    </row>
    <row r="562" ht="15.75" customHeight="1">
      <c r="D562" s="163"/>
      <c r="E562" s="163"/>
      <c r="F562" s="164"/>
      <c r="O562" s="157"/>
    </row>
    <row r="563" ht="15.75" customHeight="1">
      <c r="D563" s="163"/>
      <c r="E563" s="163"/>
      <c r="F563" s="164"/>
      <c r="O563" s="157"/>
    </row>
    <row r="564" ht="15.75" customHeight="1">
      <c r="D564" s="163"/>
      <c r="E564" s="163"/>
      <c r="F564" s="164"/>
      <c r="O564" s="157"/>
    </row>
    <row r="565" ht="15.75" customHeight="1">
      <c r="D565" s="163"/>
      <c r="E565" s="163"/>
      <c r="F565" s="164"/>
      <c r="O565" s="157"/>
    </row>
    <row r="566" ht="15.75" customHeight="1">
      <c r="D566" s="163"/>
      <c r="E566" s="163"/>
      <c r="F566" s="164"/>
      <c r="O566" s="157"/>
    </row>
    <row r="567" ht="15.75" customHeight="1">
      <c r="D567" s="163"/>
      <c r="E567" s="163"/>
      <c r="F567" s="164"/>
      <c r="O567" s="157"/>
    </row>
    <row r="568" ht="15.75" customHeight="1">
      <c r="D568" s="163"/>
      <c r="E568" s="163"/>
      <c r="F568" s="164"/>
      <c r="O568" s="157"/>
    </row>
    <row r="569" ht="15.75" customHeight="1">
      <c r="D569" s="163"/>
      <c r="E569" s="163"/>
      <c r="F569" s="164"/>
      <c r="O569" s="157"/>
    </row>
    <row r="570" ht="15.75" customHeight="1">
      <c r="D570" s="163"/>
      <c r="E570" s="163"/>
      <c r="F570" s="164"/>
      <c r="O570" s="157"/>
    </row>
    <row r="571" ht="15.75" customHeight="1">
      <c r="D571" s="163"/>
      <c r="E571" s="163"/>
      <c r="F571" s="164"/>
      <c r="O571" s="157"/>
    </row>
    <row r="572" ht="15.75" customHeight="1">
      <c r="D572" s="163"/>
      <c r="E572" s="163"/>
      <c r="F572" s="164"/>
      <c r="O572" s="157"/>
    </row>
    <row r="573" ht="15.75" customHeight="1">
      <c r="D573" s="163"/>
      <c r="E573" s="163"/>
      <c r="F573" s="164"/>
      <c r="O573" s="157"/>
    </row>
    <row r="574" ht="15.75" customHeight="1">
      <c r="D574" s="163"/>
      <c r="E574" s="163"/>
      <c r="F574" s="164"/>
      <c r="O574" s="157"/>
    </row>
    <row r="575" ht="15.75" customHeight="1">
      <c r="D575" s="163"/>
      <c r="E575" s="163"/>
      <c r="F575" s="164"/>
      <c r="O575" s="157"/>
    </row>
    <row r="576" ht="15.75" customHeight="1">
      <c r="D576" s="163"/>
      <c r="E576" s="163"/>
      <c r="F576" s="164"/>
      <c r="O576" s="157"/>
    </row>
    <row r="577" ht="15.75" customHeight="1">
      <c r="D577" s="163"/>
      <c r="E577" s="163"/>
      <c r="F577" s="164"/>
      <c r="O577" s="157"/>
    </row>
    <row r="578" ht="15.75" customHeight="1">
      <c r="D578" s="163"/>
      <c r="E578" s="163"/>
      <c r="F578" s="164"/>
      <c r="O578" s="157"/>
    </row>
    <row r="579" ht="15.75" customHeight="1">
      <c r="D579" s="163"/>
      <c r="E579" s="163"/>
      <c r="F579" s="164"/>
      <c r="O579" s="157"/>
    </row>
    <row r="580" ht="15.75" customHeight="1">
      <c r="D580" s="163"/>
      <c r="E580" s="163"/>
      <c r="F580" s="164"/>
      <c r="O580" s="157"/>
    </row>
    <row r="581" ht="15.75" customHeight="1">
      <c r="D581" s="163"/>
      <c r="E581" s="163"/>
      <c r="F581" s="164"/>
      <c r="O581" s="157"/>
    </row>
    <row r="582" ht="15.75" customHeight="1">
      <c r="D582" s="163"/>
      <c r="E582" s="163"/>
      <c r="F582" s="164"/>
      <c r="O582" s="157"/>
    </row>
    <row r="583" ht="15.75" customHeight="1">
      <c r="D583" s="163"/>
      <c r="E583" s="163"/>
      <c r="F583" s="164"/>
      <c r="O583" s="157"/>
    </row>
    <row r="584" ht="15.75" customHeight="1">
      <c r="D584" s="163"/>
      <c r="E584" s="163"/>
      <c r="F584" s="164"/>
      <c r="O584" s="157"/>
    </row>
    <row r="585" ht="15.75" customHeight="1">
      <c r="D585" s="163"/>
      <c r="E585" s="163"/>
      <c r="F585" s="164"/>
      <c r="O585" s="157"/>
    </row>
    <row r="586" ht="15.75" customHeight="1">
      <c r="D586" s="163"/>
      <c r="E586" s="163"/>
      <c r="F586" s="164"/>
      <c r="O586" s="157"/>
    </row>
    <row r="587" ht="15.75" customHeight="1">
      <c r="D587" s="163"/>
      <c r="E587" s="163"/>
      <c r="F587" s="164"/>
      <c r="O587" s="157"/>
    </row>
    <row r="588" ht="15.75" customHeight="1">
      <c r="D588" s="163"/>
      <c r="E588" s="163"/>
      <c r="F588" s="164"/>
      <c r="O588" s="157"/>
    </row>
    <row r="589" ht="15.75" customHeight="1">
      <c r="D589" s="163"/>
      <c r="E589" s="163"/>
      <c r="F589" s="164"/>
      <c r="O589" s="157"/>
    </row>
    <row r="590" ht="15.75" customHeight="1">
      <c r="D590" s="163"/>
      <c r="E590" s="163"/>
      <c r="F590" s="164"/>
      <c r="O590" s="157"/>
    </row>
    <row r="591" ht="15.75" customHeight="1">
      <c r="D591" s="163"/>
      <c r="E591" s="163"/>
      <c r="F591" s="164"/>
      <c r="O591" s="157"/>
    </row>
    <row r="592" ht="15.75" customHeight="1">
      <c r="D592" s="163"/>
      <c r="E592" s="163"/>
      <c r="F592" s="164"/>
      <c r="O592" s="157"/>
    </row>
    <row r="593" ht="15.75" customHeight="1">
      <c r="D593" s="163"/>
      <c r="E593" s="163"/>
      <c r="F593" s="164"/>
      <c r="O593" s="157"/>
    </row>
    <row r="594" ht="15.75" customHeight="1">
      <c r="D594" s="163"/>
      <c r="E594" s="163"/>
      <c r="F594" s="164"/>
      <c r="O594" s="157"/>
    </row>
    <row r="595" ht="15.75" customHeight="1">
      <c r="D595" s="163"/>
      <c r="E595" s="163"/>
      <c r="F595" s="164"/>
      <c r="O595" s="157"/>
    </row>
    <row r="596" ht="15.75" customHeight="1">
      <c r="D596" s="163"/>
      <c r="E596" s="163"/>
      <c r="F596" s="164"/>
      <c r="O596" s="157"/>
    </row>
    <row r="597" ht="15.75" customHeight="1">
      <c r="D597" s="163"/>
      <c r="E597" s="163"/>
      <c r="F597" s="164"/>
      <c r="O597" s="157"/>
    </row>
    <row r="598" ht="15.75" customHeight="1">
      <c r="D598" s="163"/>
      <c r="E598" s="163"/>
      <c r="F598" s="164"/>
      <c r="O598" s="157"/>
    </row>
    <row r="599" ht="15.75" customHeight="1">
      <c r="D599" s="163"/>
      <c r="E599" s="163"/>
      <c r="F599" s="164"/>
      <c r="O599" s="157"/>
    </row>
    <row r="600" ht="15.75" customHeight="1">
      <c r="D600" s="163"/>
      <c r="E600" s="163"/>
      <c r="F600" s="164"/>
      <c r="O600" s="157"/>
    </row>
    <row r="601" ht="15.75" customHeight="1">
      <c r="D601" s="163"/>
      <c r="E601" s="163"/>
      <c r="F601" s="164"/>
      <c r="O601" s="157"/>
    </row>
    <row r="602" ht="15.75" customHeight="1">
      <c r="D602" s="163"/>
      <c r="E602" s="163"/>
      <c r="F602" s="164"/>
      <c r="O602" s="157"/>
    </row>
    <row r="603" ht="15.75" customHeight="1">
      <c r="D603" s="163"/>
      <c r="E603" s="163"/>
      <c r="F603" s="164"/>
      <c r="O603" s="157"/>
    </row>
    <row r="604" ht="15.75" customHeight="1">
      <c r="D604" s="163"/>
      <c r="E604" s="163"/>
      <c r="F604" s="164"/>
      <c r="O604" s="157"/>
    </row>
    <row r="605" ht="15.75" customHeight="1">
      <c r="D605" s="163"/>
      <c r="E605" s="163"/>
      <c r="F605" s="164"/>
      <c r="O605" s="157"/>
    </row>
    <row r="606" ht="15.75" customHeight="1">
      <c r="D606" s="163"/>
      <c r="E606" s="163"/>
      <c r="F606" s="164"/>
      <c r="O606" s="157"/>
    </row>
    <row r="607" ht="15.75" customHeight="1">
      <c r="D607" s="163"/>
      <c r="E607" s="163"/>
      <c r="F607" s="164"/>
      <c r="O607" s="157"/>
    </row>
    <row r="608" ht="15.75" customHeight="1">
      <c r="D608" s="163"/>
      <c r="E608" s="163"/>
      <c r="F608" s="164"/>
      <c r="O608" s="157"/>
    </row>
    <row r="609" ht="15.75" customHeight="1">
      <c r="D609" s="163"/>
      <c r="E609" s="163"/>
      <c r="F609" s="164"/>
      <c r="O609" s="157"/>
    </row>
    <row r="610" ht="15.75" customHeight="1">
      <c r="D610" s="163"/>
      <c r="E610" s="163"/>
      <c r="F610" s="164"/>
      <c r="O610" s="157"/>
    </row>
    <row r="611" ht="15.75" customHeight="1">
      <c r="D611" s="163"/>
      <c r="E611" s="163"/>
      <c r="F611" s="164"/>
      <c r="O611" s="157"/>
    </row>
    <row r="612" ht="15.75" customHeight="1">
      <c r="D612" s="163"/>
      <c r="E612" s="163"/>
      <c r="F612" s="164"/>
      <c r="O612" s="157"/>
    </row>
    <row r="613" ht="15.75" customHeight="1">
      <c r="D613" s="163"/>
      <c r="E613" s="163"/>
      <c r="F613" s="164"/>
      <c r="O613" s="157"/>
    </row>
    <row r="614" ht="15.75" customHeight="1">
      <c r="D614" s="163"/>
      <c r="E614" s="163"/>
      <c r="F614" s="164"/>
      <c r="O614" s="157"/>
    </row>
    <row r="615" ht="15.75" customHeight="1">
      <c r="D615" s="163"/>
      <c r="E615" s="163"/>
      <c r="F615" s="164"/>
      <c r="O615" s="157"/>
    </row>
    <row r="616" ht="15.75" customHeight="1">
      <c r="D616" s="163"/>
      <c r="E616" s="163"/>
      <c r="F616" s="164"/>
      <c r="O616" s="157"/>
    </row>
    <row r="617" ht="15.75" customHeight="1">
      <c r="D617" s="163"/>
      <c r="E617" s="163"/>
      <c r="F617" s="164"/>
      <c r="O617" s="157"/>
    </row>
    <row r="618" ht="15.75" customHeight="1">
      <c r="D618" s="163"/>
      <c r="E618" s="163"/>
      <c r="F618" s="164"/>
      <c r="O618" s="157"/>
    </row>
    <row r="619" ht="15.75" customHeight="1">
      <c r="D619" s="163"/>
      <c r="E619" s="163"/>
      <c r="F619" s="164"/>
      <c r="O619" s="157"/>
    </row>
    <row r="620" ht="15.75" customHeight="1">
      <c r="D620" s="163"/>
      <c r="E620" s="163"/>
      <c r="F620" s="164"/>
      <c r="O620" s="157"/>
    </row>
    <row r="621" ht="15.75" customHeight="1">
      <c r="D621" s="163"/>
      <c r="E621" s="163"/>
      <c r="F621" s="164"/>
      <c r="O621" s="157"/>
    </row>
    <row r="622" ht="15.75" customHeight="1">
      <c r="D622" s="163"/>
      <c r="E622" s="163"/>
      <c r="F622" s="164"/>
      <c r="O622" s="157"/>
    </row>
    <row r="623" ht="15.75" customHeight="1">
      <c r="D623" s="163"/>
      <c r="E623" s="163"/>
      <c r="F623" s="164"/>
      <c r="O623" s="157"/>
    </row>
    <row r="624" ht="15.75" customHeight="1">
      <c r="D624" s="163"/>
      <c r="E624" s="163"/>
      <c r="F624" s="164"/>
      <c r="O624" s="157"/>
    </row>
    <row r="625" ht="15.75" customHeight="1">
      <c r="D625" s="163"/>
      <c r="E625" s="163"/>
      <c r="F625" s="164"/>
      <c r="O625" s="157"/>
    </row>
    <row r="626" ht="15.75" customHeight="1">
      <c r="D626" s="163"/>
      <c r="E626" s="163"/>
      <c r="F626" s="164"/>
      <c r="O626" s="157"/>
    </row>
    <row r="627" ht="15.75" customHeight="1">
      <c r="D627" s="163"/>
      <c r="E627" s="163"/>
      <c r="F627" s="164"/>
      <c r="O627" s="157"/>
    </row>
    <row r="628" ht="15.75" customHeight="1">
      <c r="D628" s="163"/>
      <c r="E628" s="163"/>
      <c r="F628" s="164"/>
      <c r="O628" s="157"/>
    </row>
    <row r="629" ht="15.75" customHeight="1">
      <c r="D629" s="163"/>
      <c r="E629" s="163"/>
      <c r="F629" s="164"/>
      <c r="O629" s="157"/>
    </row>
    <row r="630" ht="15.75" customHeight="1">
      <c r="D630" s="163"/>
      <c r="E630" s="163"/>
      <c r="F630" s="164"/>
      <c r="O630" s="157"/>
    </row>
    <row r="631" ht="15.75" customHeight="1">
      <c r="D631" s="163"/>
      <c r="E631" s="163"/>
      <c r="F631" s="164"/>
      <c r="O631" s="157"/>
    </row>
    <row r="632" ht="15.75" customHeight="1">
      <c r="D632" s="163"/>
      <c r="E632" s="163"/>
      <c r="F632" s="164"/>
      <c r="O632" s="157"/>
    </row>
    <row r="633" ht="15.75" customHeight="1">
      <c r="D633" s="163"/>
      <c r="E633" s="163"/>
      <c r="F633" s="164"/>
      <c r="O633" s="157"/>
    </row>
    <row r="634" ht="15.75" customHeight="1">
      <c r="D634" s="163"/>
      <c r="E634" s="163"/>
      <c r="F634" s="164"/>
      <c r="O634" s="157"/>
    </row>
    <row r="635" ht="15.75" customHeight="1">
      <c r="D635" s="163"/>
      <c r="E635" s="163"/>
      <c r="F635" s="164"/>
      <c r="O635" s="157"/>
    </row>
    <row r="636" ht="15.75" customHeight="1">
      <c r="D636" s="163"/>
      <c r="E636" s="163"/>
      <c r="F636" s="164"/>
      <c r="O636" s="157"/>
    </row>
    <row r="637" ht="15.75" customHeight="1">
      <c r="D637" s="163"/>
      <c r="E637" s="163"/>
      <c r="F637" s="164"/>
      <c r="O637" s="157"/>
    </row>
    <row r="638" ht="15.75" customHeight="1">
      <c r="D638" s="163"/>
      <c r="E638" s="163"/>
      <c r="F638" s="164"/>
      <c r="O638" s="157"/>
    </row>
    <row r="639" ht="15.75" customHeight="1">
      <c r="D639" s="163"/>
      <c r="E639" s="163"/>
      <c r="F639" s="164"/>
      <c r="O639" s="157"/>
    </row>
    <row r="640" ht="15.75" customHeight="1">
      <c r="D640" s="163"/>
      <c r="E640" s="163"/>
      <c r="F640" s="164"/>
      <c r="O640" s="157"/>
    </row>
    <row r="641" ht="15.75" customHeight="1">
      <c r="D641" s="163"/>
      <c r="E641" s="163"/>
      <c r="F641" s="164"/>
      <c r="O641" s="157"/>
    </row>
    <row r="642" ht="15.75" customHeight="1">
      <c r="D642" s="163"/>
      <c r="E642" s="163"/>
      <c r="F642" s="164"/>
      <c r="O642" s="157"/>
    </row>
    <row r="643" ht="15.75" customHeight="1">
      <c r="D643" s="163"/>
      <c r="E643" s="163"/>
      <c r="F643" s="164"/>
      <c r="O643" s="157"/>
    </row>
    <row r="644" ht="15.75" customHeight="1">
      <c r="D644" s="163"/>
      <c r="E644" s="163"/>
      <c r="F644" s="164"/>
      <c r="O644" s="157"/>
    </row>
    <row r="645" ht="15.75" customHeight="1">
      <c r="D645" s="163"/>
      <c r="E645" s="163"/>
      <c r="F645" s="164"/>
      <c r="O645" s="157"/>
    </row>
    <row r="646" ht="15.75" customHeight="1">
      <c r="D646" s="163"/>
      <c r="E646" s="163"/>
      <c r="F646" s="164"/>
      <c r="O646" s="157"/>
    </row>
    <row r="647" ht="15.75" customHeight="1">
      <c r="D647" s="163"/>
      <c r="E647" s="163"/>
      <c r="F647" s="164"/>
      <c r="O647" s="157"/>
    </row>
    <row r="648" ht="15.75" customHeight="1">
      <c r="D648" s="163"/>
      <c r="E648" s="163"/>
      <c r="F648" s="164"/>
      <c r="O648" s="157"/>
    </row>
    <row r="649" ht="15.75" customHeight="1">
      <c r="D649" s="163"/>
      <c r="E649" s="163"/>
      <c r="F649" s="164"/>
      <c r="O649" s="157"/>
    </row>
    <row r="650" ht="15.75" customHeight="1">
      <c r="D650" s="163"/>
      <c r="E650" s="163"/>
      <c r="F650" s="164"/>
      <c r="O650" s="157"/>
    </row>
    <row r="651" ht="15.75" customHeight="1">
      <c r="D651" s="163"/>
      <c r="E651" s="163"/>
      <c r="F651" s="164"/>
      <c r="O651" s="157"/>
    </row>
    <row r="652" ht="15.75" customHeight="1">
      <c r="D652" s="163"/>
      <c r="E652" s="163"/>
      <c r="F652" s="164"/>
      <c r="O652" s="157"/>
    </row>
    <row r="653" ht="15.75" customHeight="1">
      <c r="D653" s="163"/>
      <c r="E653" s="163"/>
      <c r="F653" s="164"/>
      <c r="O653" s="157"/>
    </row>
    <row r="654" ht="15.75" customHeight="1">
      <c r="D654" s="163"/>
      <c r="E654" s="163"/>
      <c r="F654" s="164"/>
      <c r="O654" s="157"/>
    </row>
    <row r="655" ht="15.75" customHeight="1">
      <c r="D655" s="163"/>
      <c r="E655" s="163"/>
      <c r="F655" s="164"/>
      <c r="O655" s="157"/>
    </row>
    <row r="656" ht="15.75" customHeight="1">
      <c r="D656" s="163"/>
      <c r="E656" s="163"/>
      <c r="F656" s="164"/>
      <c r="O656" s="157"/>
    </row>
    <row r="657" ht="15.75" customHeight="1">
      <c r="D657" s="163"/>
      <c r="E657" s="163"/>
      <c r="F657" s="164"/>
      <c r="O657" s="157"/>
    </row>
    <row r="658" ht="15.75" customHeight="1">
      <c r="D658" s="163"/>
      <c r="E658" s="163"/>
      <c r="F658" s="164"/>
      <c r="O658" s="157"/>
    </row>
    <row r="659" ht="15.75" customHeight="1">
      <c r="D659" s="163"/>
      <c r="E659" s="163"/>
      <c r="F659" s="164"/>
      <c r="O659" s="157"/>
    </row>
    <row r="660" ht="15.75" customHeight="1">
      <c r="D660" s="163"/>
      <c r="E660" s="163"/>
      <c r="F660" s="164"/>
      <c r="O660" s="157"/>
    </row>
    <row r="661" ht="15.75" customHeight="1">
      <c r="D661" s="163"/>
      <c r="E661" s="163"/>
      <c r="F661" s="164"/>
      <c r="O661" s="157"/>
    </row>
    <row r="662" ht="15.75" customHeight="1">
      <c r="D662" s="163"/>
      <c r="E662" s="163"/>
      <c r="F662" s="164"/>
      <c r="O662" s="157"/>
    </row>
    <row r="663" ht="15.75" customHeight="1">
      <c r="D663" s="163"/>
      <c r="E663" s="163"/>
      <c r="F663" s="164"/>
      <c r="O663" s="157"/>
    </row>
    <row r="664" ht="15.75" customHeight="1">
      <c r="D664" s="163"/>
      <c r="E664" s="163"/>
      <c r="F664" s="164"/>
      <c r="O664" s="157"/>
    </row>
    <row r="665" ht="15.75" customHeight="1">
      <c r="D665" s="163"/>
      <c r="E665" s="163"/>
      <c r="F665" s="164"/>
      <c r="O665" s="157"/>
    </row>
    <row r="666" ht="15.75" customHeight="1">
      <c r="D666" s="163"/>
      <c r="E666" s="163"/>
      <c r="F666" s="164"/>
      <c r="O666" s="157"/>
    </row>
    <row r="667" ht="15.75" customHeight="1">
      <c r="D667" s="163"/>
      <c r="E667" s="163"/>
      <c r="F667" s="164"/>
      <c r="O667" s="157"/>
    </row>
    <row r="668" ht="15.75" customHeight="1">
      <c r="D668" s="163"/>
      <c r="E668" s="163"/>
      <c r="F668" s="164"/>
      <c r="O668" s="157"/>
    </row>
    <row r="669" ht="15.75" customHeight="1">
      <c r="D669" s="163"/>
      <c r="E669" s="163"/>
      <c r="F669" s="164"/>
      <c r="O669" s="157"/>
    </row>
    <row r="670" ht="15.75" customHeight="1">
      <c r="D670" s="163"/>
      <c r="E670" s="163"/>
      <c r="F670" s="164"/>
      <c r="O670" s="157"/>
    </row>
    <row r="671" ht="15.75" customHeight="1">
      <c r="D671" s="163"/>
      <c r="E671" s="163"/>
      <c r="F671" s="164"/>
      <c r="O671" s="157"/>
    </row>
    <row r="672" ht="15.75" customHeight="1">
      <c r="D672" s="163"/>
      <c r="E672" s="163"/>
      <c r="F672" s="164"/>
      <c r="O672" s="157"/>
    </row>
    <row r="673" ht="15.75" customHeight="1">
      <c r="D673" s="163"/>
      <c r="E673" s="163"/>
      <c r="F673" s="164"/>
      <c r="O673" s="157"/>
    </row>
    <row r="674" ht="15.75" customHeight="1">
      <c r="D674" s="163"/>
      <c r="E674" s="163"/>
      <c r="F674" s="164"/>
      <c r="O674" s="157"/>
    </row>
    <row r="675" ht="15.75" customHeight="1">
      <c r="D675" s="163"/>
      <c r="E675" s="163"/>
      <c r="F675" s="164"/>
      <c r="O675" s="157"/>
    </row>
    <row r="676" ht="15.75" customHeight="1">
      <c r="D676" s="163"/>
      <c r="E676" s="163"/>
      <c r="F676" s="164"/>
      <c r="O676" s="157"/>
    </row>
    <row r="677" ht="15.75" customHeight="1">
      <c r="D677" s="163"/>
      <c r="E677" s="163"/>
      <c r="F677" s="164"/>
      <c r="O677" s="157"/>
    </row>
    <row r="678" ht="15.75" customHeight="1">
      <c r="D678" s="163"/>
      <c r="E678" s="163"/>
      <c r="F678" s="164"/>
      <c r="O678" s="157"/>
    </row>
    <row r="679" ht="15.75" customHeight="1">
      <c r="D679" s="163"/>
      <c r="E679" s="163"/>
      <c r="F679" s="164"/>
      <c r="O679" s="157"/>
    </row>
    <row r="680" ht="15.75" customHeight="1">
      <c r="D680" s="163"/>
      <c r="E680" s="163"/>
      <c r="F680" s="164"/>
      <c r="O680" s="157"/>
    </row>
    <row r="681" ht="15.75" customHeight="1">
      <c r="D681" s="163"/>
      <c r="E681" s="163"/>
      <c r="F681" s="164"/>
      <c r="O681" s="157"/>
    </row>
    <row r="682" ht="15.75" customHeight="1">
      <c r="D682" s="163"/>
      <c r="E682" s="163"/>
      <c r="F682" s="164"/>
      <c r="O682" s="157"/>
    </row>
    <row r="683" ht="15.75" customHeight="1">
      <c r="D683" s="163"/>
      <c r="E683" s="163"/>
      <c r="F683" s="164"/>
      <c r="O683" s="157"/>
    </row>
    <row r="684" ht="15.75" customHeight="1">
      <c r="D684" s="163"/>
      <c r="E684" s="163"/>
      <c r="F684" s="164"/>
      <c r="O684" s="157"/>
    </row>
    <row r="685" ht="15.75" customHeight="1">
      <c r="D685" s="163"/>
      <c r="E685" s="163"/>
      <c r="F685" s="164"/>
      <c r="O685" s="157"/>
    </row>
    <row r="686" ht="15.75" customHeight="1">
      <c r="D686" s="163"/>
      <c r="E686" s="163"/>
      <c r="F686" s="164"/>
      <c r="O686" s="157"/>
    </row>
    <row r="687" ht="15.75" customHeight="1">
      <c r="D687" s="163"/>
      <c r="E687" s="163"/>
      <c r="F687" s="164"/>
      <c r="O687" s="157"/>
    </row>
    <row r="688" ht="15.75" customHeight="1">
      <c r="D688" s="163"/>
      <c r="E688" s="163"/>
      <c r="F688" s="164"/>
      <c r="O688" s="157"/>
    </row>
    <row r="689" ht="15.75" customHeight="1">
      <c r="D689" s="163"/>
      <c r="E689" s="163"/>
      <c r="F689" s="164"/>
      <c r="O689" s="157"/>
    </row>
    <row r="690" ht="15.75" customHeight="1">
      <c r="D690" s="163"/>
      <c r="E690" s="163"/>
      <c r="F690" s="164"/>
      <c r="O690" s="157"/>
    </row>
    <row r="691" ht="15.75" customHeight="1">
      <c r="D691" s="163"/>
      <c r="E691" s="163"/>
      <c r="F691" s="164"/>
      <c r="O691" s="157"/>
    </row>
    <row r="692" ht="15.75" customHeight="1">
      <c r="D692" s="163"/>
      <c r="E692" s="163"/>
      <c r="F692" s="164"/>
      <c r="O692" s="157"/>
    </row>
    <row r="693" ht="15.75" customHeight="1">
      <c r="D693" s="163"/>
      <c r="E693" s="163"/>
      <c r="F693" s="164"/>
      <c r="O693" s="157"/>
    </row>
    <row r="694" ht="15.75" customHeight="1">
      <c r="D694" s="163"/>
      <c r="E694" s="163"/>
      <c r="F694" s="164"/>
      <c r="O694" s="157"/>
    </row>
    <row r="695" ht="15.75" customHeight="1">
      <c r="D695" s="163"/>
      <c r="E695" s="163"/>
      <c r="F695" s="164"/>
      <c r="O695" s="157"/>
    </row>
    <row r="696" ht="15.75" customHeight="1">
      <c r="D696" s="163"/>
      <c r="E696" s="163"/>
      <c r="F696" s="164"/>
      <c r="O696" s="157"/>
    </row>
    <row r="697" ht="15.75" customHeight="1">
      <c r="D697" s="163"/>
      <c r="E697" s="163"/>
      <c r="F697" s="164"/>
      <c r="O697" s="157"/>
    </row>
    <row r="698" ht="15.75" customHeight="1">
      <c r="D698" s="163"/>
      <c r="E698" s="163"/>
      <c r="F698" s="164"/>
      <c r="O698" s="157"/>
    </row>
    <row r="699" ht="15.75" customHeight="1">
      <c r="D699" s="163"/>
      <c r="E699" s="163"/>
      <c r="F699" s="164"/>
      <c r="O699" s="157"/>
    </row>
    <row r="700" ht="15.75" customHeight="1">
      <c r="D700" s="163"/>
      <c r="E700" s="163"/>
      <c r="F700" s="164"/>
      <c r="O700" s="157"/>
    </row>
    <row r="701" ht="15.75" customHeight="1">
      <c r="D701" s="163"/>
      <c r="E701" s="163"/>
      <c r="F701" s="164"/>
      <c r="O701" s="157"/>
    </row>
    <row r="702" ht="15.75" customHeight="1">
      <c r="D702" s="163"/>
      <c r="E702" s="163"/>
      <c r="F702" s="164"/>
      <c r="O702" s="157"/>
    </row>
    <row r="703" ht="15.75" customHeight="1">
      <c r="D703" s="163"/>
      <c r="E703" s="163"/>
      <c r="F703" s="164"/>
      <c r="O703" s="157"/>
    </row>
    <row r="704" ht="15.75" customHeight="1">
      <c r="D704" s="163"/>
      <c r="E704" s="163"/>
      <c r="F704" s="164"/>
      <c r="O704" s="157"/>
    </row>
    <row r="705" ht="15.75" customHeight="1">
      <c r="D705" s="163"/>
      <c r="E705" s="163"/>
      <c r="F705" s="164"/>
      <c r="O705" s="157"/>
    </row>
    <row r="706" ht="15.75" customHeight="1">
      <c r="D706" s="163"/>
      <c r="E706" s="163"/>
      <c r="F706" s="164"/>
      <c r="O706" s="157"/>
    </row>
    <row r="707" ht="15.75" customHeight="1">
      <c r="D707" s="163"/>
      <c r="E707" s="163"/>
      <c r="F707" s="164"/>
      <c r="O707" s="157"/>
    </row>
    <row r="708" ht="15.75" customHeight="1">
      <c r="D708" s="163"/>
      <c r="E708" s="163"/>
      <c r="F708" s="164"/>
      <c r="O708" s="157"/>
    </row>
    <row r="709" ht="15.75" customHeight="1">
      <c r="D709" s="163"/>
      <c r="E709" s="163"/>
      <c r="F709" s="164"/>
      <c r="O709" s="157"/>
    </row>
    <row r="710" ht="15.75" customHeight="1">
      <c r="D710" s="163"/>
      <c r="E710" s="163"/>
      <c r="F710" s="164"/>
      <c r="O710" s="157"/>
    </row>
    <row r="711" ht="15.75" customHeight="1">
      <c r="D711" s="163"/>
      <c r="E711" s="163"/>
      <c r="F711" s="164"/>
      <c r="O711" s="157"/>
    </row>
    <row r="712" ht="15.75" customHeight="1">
      <c r="D712" s="163"/>
      <c r="E712" s="163"/>
      <c r="F712" s="164"/>
      <c r="O712" s="157"/>
    </row>
    <row r="713" ht="15.75" customHeight="1">
      <c r="D713" s="163"/>
      <c r="E713" s="163"/>
      <c r="F713" s="164"/>
      <c r="O713" s="157"/>
    </row>
    <row r="714" ht="15.75" customHeight="1">
      <c r="D714" s="163"/>
      <c r="E714" s="163"/>
      <c r="F714" s="164"/>
      <c r="O714" s="157"/>
    </row>
    <row r="715" ht="15.75" customHeight="1">
      <c r="D715" s="163"/>
      <c r="E715" s="163"/>
      <c r="F715" s="164"/>
      <c r="O715" s="157"/>
    </row>
    <row r="716" ht="15.75" customHeight="1">
      <c r="D716" s="163"/>
      <c r="E716" s="163"/>
      <c r="F716" s="164"/>
      <c r="O716" s="157"/>
    </row>
    <row r="717" ht="15.75" customHeight="1">
      <c r="D717" s="163"/>
      <c r="E717" s="163"/>
      <c r="F717" s="164"/>
      <c r="O717" s="157"/>
    </row>
    <row r="718" ht="15.75" customHeight="1">
      <c r="D718" s="163"/>
      <c r="E718" s="163"/>
      <c r="F718" s="164"/>
      <c r="O718" s="157"/>
    </row>
    <row r="719" ht="15.75" customHeight="1">
      <c r="D719" s="163"/>
      <c r="E719" s="163"/>
      <c r="F719" s="164"/>
      <c r="O719" s="157"/>
    </row>
    <row r="720" ht="15.75" customHeight="1">
      <c r="D720" s="163"/>
      <c r="E720" s="163"/>
      <c r="F720" s="164"/>
      <c r="O720" s="157"/>
    </row>
    <row r="721" ht="15.75" customHeight="1">
      <c r="D721" s="163"/>
      <c r="E721" s="163"/>
      <c r="F721" s="164"/>
      <c r="O721" s="157"/>
    </row>
    <row r="722" ht="15.75" customHeight="1">
      <c r="D722" s="163"/>
      <c r="E722" s="163"/>
      <c r="F722" s="164"/>
      <c r="O722" s="157"/>
    </row>
    <row r="723" ht="15.75" customHeight="1">
      <c r="D723" s="163"/>
      <c r="E723" s="163"/>
      <c r="F723" s="164"/>
      <c r="O723" s="157"/>
    </row>
    <row r="724" ht="15.75" customHeight="1">
      <c r="D724" s="163"/>
      <c r="E724" s="163"/>
      <c r="F724" s="164"/>
      <c r="O724" s="157"/>
    </row>
    <row r="725" ht="15.75" customHeight="1">
      <c r="D725" s="163"/>
      <c r="E725" s="163"/>
      <c r="F725" s="164"/>
      <c r="O725" s="157"/>
    </row>
    <row r="726" ht="15.75" customHeight="1">
      <c r="D726" s="163"/>
      <c r="E726" s="163"/>
      <c r="F726" s="164"/>
      <c r="O726" s="157"/>
    </row>
    <row r="727" ht="15.75" customHeight="1">
      <c r="D727" s="163"/>
      <c r="E727" s="163"/>
      <c r="F727" s="164"/>
      <c r="O727" s="157"/>
    </row>
    <row r="728" ht="15.75" customHeight="1">
      <c r="D728" s="163"/>
      <c r="E728" s="163"/>
      <c r="F728" s="164"/>
      <c r="O728" s="157"/>
    </row>
    <row r="729" ht="15.75" customHeight="1">
      <c r="D729" s="163"/>
      <c r="E729" s="163"/>
      <c r="F729" s="164"/>
      <c r="O729" s="157"/>
    </row>
    <row r="730" ht="15.75" customHeight="1">
      <c r="D730" s="163"/>
      <c r="E730" s="163"/>
      <c r="F730" s="164"/>
      <c r="O730" s="157"/>
    </row>
    <row r="731" ht="15.75" customHeight="1">
      <c r="D731" s="163"/>
      <c r="E731" s="163"/>
      <c r="F731" s="164"/>
      <c r="O731" s="157"/>
    </row>
    <row r="732" ht="15.75" customHeight="1">
      <c r="D732" s="163"/>
      <c r="E732" s="163"/>
      <c r="F732" s="164"/>
      <c r="O732" s="157"/>
    </row>
    <row r="733" ht="15.75" customHeight="1">
      <c r="D733" s="163"/>
      <c r="E733" s="163"/>
      <c r="F733" s="164"/>
      <c r="O733" s="157"/>
    </row>
    <row r="734" ht="15.75" customHeight="1">
      <c r="D734" s="163"/>
      <c r="E734" s="163"/>
      <c r="F734" s="164"/>
      <c r="O734" s="157"/>
    </row>
    <row r="735" ht="15.75" customHeight="1">
      <c r="D735" s="163"/>
      <c r="E735" s="163"/>
      <c r="F735" s="164"/>
      <c r="O735" s="157"/>
    </row>
    <row r="736" ht="15.75" customHeight="1">
      <c r="D736" s="163"/>
      <c r="E736" s="163"/>
      <c r="F736" s="164"/>
      <c r="O736" s="157"/>
    </row>
    <row r="737" ht="15.75" customHeight="1">
      <c r="D737" s="163"/>
      <c r="E737" s="163"/>
      <c r="F737" s="164"/>
      <c r="O737" s="157"/>
    </row>
    <row r="738" ht="15.75" customHeight="1">
      <c r="D738" s="163"/>
      <c r="E738" s="163"/>
      <c r="F738" s="164"/>
      <c r="O738" s="157"/>
    </row>
    <row r="739" ht="15.75" customHeight="1">
      <c r="D739" s="163"/>
      <c r="E739" s="163"/>
      <c r="F739" s="164"/>
      <c r="O739" s="157"/>
    </row>
    <row r="740" ht="15.75" customHeight="1">
      <c r="D740" s="163"/>
      <c r="E740" s="163"/>
      <c r="F740" s="164"/>
      <c r="O740" s="157"/>
    </row>
    <row r="741" ht="15.75" customHeight="1">
      <c r="D741" s="163"/>
      <c r="E741" s="163"/>
      <c r="F741" s="164"/>
      <c r="O741" s="157"/>
    </row>
    <row r="742" ht="15.75" customHeight="1">
      <c r="D742" s="163"/>
      <c r="E742" s="163"/>
      <c r="F742" s="164"/>
      <c r="O742" s="157"/>
    </row>
    <row r="743" ht="15.75" customHeight="1">
      <c r="D743" s="163"/>
      <c r="E743" s="163"/>
      <c r="F743" s="164"/>
      <c r="O743" s="157"/>
    </row>
    <row r="744" ht="15.75" customHeight="1">
      <c r="D744" s="163"/>
      <c r="E744" s="163"/>
      <c r="F744" s="164"/>
      <c r="O744" s="157"/>
    </row>
    <row r="745" ht="15.75" customHeight="1">
      <c r="D745" s="163"/>
      <c r="E745" s="163"/>
      <c r="F745" s="164"/>
      <c r="O745" s="157"/>
    </row>
    <row r="746" ht="15.75" customHeight="1">
      <c r="D746" s="163"/>
      <c r="E746" s="163"/>
      <c r="F746" s="164"/>
      <c r="O746" s="157"/>
    </row>
    <row r="747" ht="15.75" customHeight="1">
      <c r="D747" s="163"/>
      <c r="E747" s="163"/>
      <c r="F747" s="164"/>
      <c r="O747" s="157"/>
    </row>
    <row r="748" ht="15.75" customHeight="1">
      <c r="D748" s="163"/>
      <c r="E748" s="163"/>
      <c r="F748" s="164"/>
      <c r="O748" s="157"/>
    </row>
    <row r="749" ht="15.75" customHeight="1">
      <c r="D749" s="163"/>
      <c r="E749" s="163"/>
      <c r="F749" s="164"/>
      <c r="O749" s="157"/>
    </row>
    <row r="750" ht="15.75" customHeight="1">
      <c r="D750" s="163"/>
      <c r="E750" s="163"/>
      <c r="F750" s="164"/>
      <c r="O750" s="157"/>
    </row>
    <row r="751" ht="15.75" customHeight="1">
      <c r="D751" s="163"/>
      <c r="E751" s="163"/>
      <c r="F751" s="164"/>
      <c r="O751" s="157"/>
    </row>
    <row r="752" ht="15.75" customHeight="1">
      <c r="D752" s="163"/>
      <c r="E752" s="163"/>
      <c r="F752" s="164"/>
      <c r="O752" s="157"/>
    </row>
    <row r="753" ht="15.75" customHeight="1">
      <c r="D753" s="163"/>
      <c r="E753" s="163"/>
      <c r="F753" s="164"/>
      <c r="O753" s="157"/>
    </row>
    <row r="754" ht="15.75" customHeight="1">
      <c r="D754" s="163"/>
      <c r="E754" s="163"/>
      <c r="F754" s="164"/>
      <c r="O754" s="157"/>
    </row>
    <row r="755" ht="15.75" customHeight="1">
      <c r="D755" s="163"/>
      <c r="E755" s="163"/>
      <c r="F755" s="164"/>
      <c r="O755" s="157"/>
    </row>
    <row r="756" ht="15.75" customHeight="1">
      <c r="D756" s="163"/>
      <c r="E756" s="163"/>
      <c r="F756" s="164"/>
      <c r="O756" s="157"/>
    </row>
    <row r="757" ht="15.75" customHeight="1">
      <c r="D757" s="163"/>
      <c r="E757" s="163"/>
      <c r="F757" s="164"/>
      <c r="O757" s="157"/>
    </row>
    <row r="758" ht="15.75" customHeight="1">
      <c r="D758" s="163"/>
      <c r="E758" s="163"/>
      <c r="F758" s="164"/>
      <c r="O758" s="157"/>
    </row>
    <row r="759" ht="15.75" customHeight="1">
      <c r="D759" s="163"/>
      <c r="E759" s="163"/>
      <c r="F759" s="164"/>
      <c r="O759" s="157"/>
    </row>
    <row r="760" ht="15.75" customHeight="1">
      <c r="D760" s="163"/>
      <c r="E760" s="163"/>
      <c r="F760" s="164"/>
      <c r="O760" s="157"/>
    </row>
    <row r="761" ht="15.75" customHeight="1">
      <c r="D761" s="163"/>
      <c r="E761" s="163"/>
      <c r="F761" s="164"/>
      <c r="O761" s="157"/>
    </row>
    <row r="762" ht="15.75" customHeight="1">
      <c r="D762" s="163"/>
      <c r="E762" s="163"/>
      <c r="F762" s="164"/>
      <c r="O762" s="157"/>
    </row>
    <row r="763" ht="15.75" customHeight="1">
      <c r="D763" s="163"/>
      <c r="E763" s="163"/>
      <c r="F763" s="164"/>
      <c r="O763" s="157"/>
    </row>
    <row r="764" ht="15.75" customHeight="1">
      <c r="D764" s="163"/>
      <c r="E764" s="163"/>
      <c r="F764" s="164"/>
      <c r="O764" s="157"/>
    </row>
    <row r="765" ht="15.75" customHeight="1">
      <c r="D765" s="163"/>
      <c r="E765" s="163"/>
      <c r="F765" s="164"/>
      <c r="O765" s="157"/>
    </row>
    <row r="766" ht="15.75" customHeight="1">
      <c r="D766" s="163"/>
      <c r="E766" s="163"/>
      <c r="F766" s="164"/>
      <c r="O766" s="157"/>
    </row>
    <row r="767" ht="15.75" customHeight="1">
      <c r="D767" s="163"/>
      <c r="E767" s="163"/>
      <c r="F767" s="164"/>
      <c r="O767" s="157"/>
    </row>
    <row r="768" ht="15.75" customHeight="1">
      <c r="D768" s="163"/>
      <c r="E768" s="163"/>
      <c r="F768" s="164"/>
      <c r="O768" s="157"/>
    </row>
    <row r="769" ht="15.75" customHeight="1">
      <c r="D769" s="163"/>
      <c r="E769" s="163"/>
      <c r="F769" s="164"/>
      <c r="O769" s="157"/>
    </row>
    <row r="770" ht="15.75" customHeight="1">
      <c r="D770" s="163"/>
      <c r="E770" s="163"/>
      <c r="F770" s="164"/>
      <c r="O770" s="157"/>
    </row>
    <row r="771" ht="15.75" customHeight="1">
      <c r="D771" s="163"/>
      <c r="E771" s="163"/>
      <c r="F771" s="164"/>
      <c r="O771" s="157"/>
    </row>
    <row r="772" ht="15.75" customHeight="1">
      <c r="D772" s="163"/>
      <c r="E772" s="163"/>
      <c r="F772" s="164"/>
      <c r="O772" s="157"/>
    </row>
    <row r="773" ht="15.75" customHeight="1">
      <c r="D773" s="163"/>
      <c r="E773" s="163"/>
      <c r="F773" s="164"/>
      <c r="O773" s="157"/>
    </row>
    <row r="774" ht="15.75" customHeight="1">
      <c r="D774" s="163"/>
      <c r="E774" s="163"/>
      <c r="F774" s="164"/>
      <c r="O774" s="157"/>
    </row>
    <row r="775" ht="15.75" customHeight="1">
      <c r="D775" s="163"/>
      <c r="E775" s="163"/>
      <c r="F775" s="164"/>
      <c r="O775" s="157"/>
    </row>
    <row r="776" ht="15.75" customHeight="1">
      <c r="D776" s="163"/>
      <c r="E776" s="163"/>
      <c r="F776" s="164"/>
      <c r="O776" s="157"/>
    </row>
    <row r="777" ht="15.75" customHeight="1">
      <c r="D777" s="163"/>
      <c r="E777" s="163"/>
      <c r="F777" s="164"/>
      <c r="O777" s="157"/>
    </row>
    <row r="778" ht="15.75" customHeight="1">
      <c r="D778" s="163"/>
      <c r="E778" s="163"/>
      <c r="F778" s="164"/>
      <c r="O778" s="157"/>
    </row>
    <row r="779" ht="15.75" customHeight="1">
      <c r="D779" s="163"/>
      <c r="E779" s="163"/>
      <c r="F779" s="164"/>
      <c r="O779" s="157"/>
    </row>
    <row r="780" ht="15.75" customHeight="1">
      <c r="D780" s="163"/>
      <c r="E780" s="163"/>
      <c r="F780" s="164"/>
      <c r="O780" s="157"/>
    </row>
    <row r="781" ht="15.75" customHeight="1">
      <c r="D781" s="163"/>
      <c r="E781" s="163"/>
      <c r="F781" s="164"/>
      <c r="O781" s="157"/>
    </row>
    <row r="782" ht="15.75" customHeight="1">
      <c r="D782" s="163"/>
      <c r="E782" s="163"/>
      <c r="F782" s="164"/>
      <c r="O782" s="157"/>
    </row>
    <row r="783" ht="15.75" customHeight="1">
      <c r="D783" s="163"/>
      <c r="E783" s="163"/>
      <c r="F783" s="164"/>
      <c r="O783" s="157"/>
    </row>
    <row r="784" ht="15.75" customHeight="1">
      <c r="D784" s="163"/>
      <c r="E784" s="163"/>
      <c r="F784" s="164"/>
      <c r="O784" s="157"/>
    </row>
    <row r="785" ht="15.75" customHeight="1">
      <c r="D785" s="163"/>
      <c r="E785" s="163"/>
      <c r="F785" s="164"/>
      <c r="O785" s="157"/>
    </row>
    <row r="786" ht="15.75" customHeight="1">
      <c r="D786" s="163"/>
      <c r="E786" s="163"/>
      <c r="F786" s="164"/>
      <c r="O786" s="157"/>
    </row>
    <row r="787" ht="15.75" customHeight="1">
      <c r="D787" s="163"/>
      <c r="E787" s="163"/>
      <c r="F787" s="164"/>
      <c r="O787" s="157"/>
    </row>
    <row r="788" ht="15.75" customHeight="1">
      <c r="D788" s="163"/>
      <c r="E788" s="163"/>
      <c r="F788" s="164"/>
      <c r="O788" s="157"/>
    </row>
    <row r="789" ht="15.75" customHeight="1">
      <c r="D789" s="163"/>
      <c r="E789" s="163"/>
      <c r="F789" s="164"/>
      <c r="O789" s="157"/>
    </row>
    <row r="790" ht="15.75" customHeight="1">
      <c r="D790" s="163"/>
      <c r="E790" s="163"/>
      <c r="F790" s="164"/>
      <c r="O790" s="157"/>
    </row>
    <row r="791" ht="15.75" customHeight="1">
      <c r="D791" s="163"/>
      <c r="E791" s="163"/>
      <c r="F791" s="164"/>
      <c r="O791" s="157"/>
    </row>
    <row r="792" ht="15.75" customHeight="1">
      <c r="D792" s="163"/>
      <c r="E792" s="163"/>
      <c r="F792" s="164"/>
      <c r="O792" s="157"/>
    </row>
    <row r="793" ht="15.75" customHeight="1">
      <c r="D793" s="163"/>
      <c r="E793" s="163"/>
      <c r="F793" s="164"/>
      <c r="O793" s="157"/>
    </row>
    <row r="794" ht="15.75" customHeight="1">
      <c r="D794" s="163"/>
      <c r="E794" s="163"/>
      <c r="F794" s="164"/>
      <c r="O794" s="157"/>
    </row>
    <row r="795" ht="15.75" customHeight="1">
      <c r="D795" s="163"/>
      <c r="E795" s="163"/>
      <c r="F795" s="164"/>
      <c r="O795" s="157"/>
    </row>
    <row r="796" ht="15.75" customHeight="1">
      <c r="D796" s="163"/>
      <c r="E796" s="163"/>
      <c r="F796" s="164"/>
      <c r="O796" s="157"/>
    </row>
    <row r="797" ht="15.75" customHeight="1">
      <c r="D797" s="163"/>
      <c r="E797" s="163"/>
      <c r="F797" s="164"/>
      <c r="O797" s="157"/>
    </row>
    <row r="798" ht="15.75" customHeight="1">
      <c r="D798" s="163"/>
      <c r="E798" s="163"/>
      <c r="F798" s="164"/>
      <c r="O798" s="157"/>
    </row>
    <row r="799" ht="15.75" customHeight="1">
      <c r="D799" s="163"/>
      <c r="E799" s="163"/>
      <c r="F799" s="164"/>
      <c r="O799" s="157"/>
    </row>
    <row r="800" ht="15.75" customHeight="1">
      <c r="D800" s="163"/>
      <c r="E800" s="163"/>
      <c r="F800" s="164"/>
      <c r="O800" s="157"/>
    </row>
    <row r="801" ht="15.75" customHeight="1">
      <c r="D801" s="163"/>
      <c r="E801" s="163"/>
      <c r="F801" s="164"/>
      <c r="O801" s="157"/>
    </row>
    <row r="802" ht="15.75" customHeight="1">
      <c r="D802" s="163"/>
      <c r="E802" s="163"/>
      <c r="F802" s="164"/>
      <c r="O802" s="157"/>
    </row>
    <row r="803" ht="15.75" customHeight="1">
      <c r="D803" s="163"/>
      <c r="E803" s="163"/>
      <c r="F803" s="164"/>
      <c r="O803" s="157"/>
    </row>
    <row r="804" ht="15.75" customHeight="1">
      <c r="D804" s="163"/>
      <c r="E804" s="163"/>
      <c r="F804" s="164"/>
      <c r="O804" s="157"/>
    </row>
    <row r="805" ht="15.75" customHeight="1">
      <c r="D805" s="163"/>
      <c r="E805" s="163"/>
      <c r="F805" s="164"/>
      <c r="O805" s="157"/>
    </row>
    <row r="806" ht="15.75" customHeight="1">
      <c r="D806" s="163"/>
      <c r="E806" s="163"/>
      <c r="F806" s="164"/>
      <c r="O806" s="157"/>
    </row>
    <row r="807" ht="15.75" customHeight="1">
      <c r="D807" s="163"/>
      <c r="E807" s="163"/>
      <c r="F807" s="164"/>
      <c r="O807" s="157"/>
    </row>
    <row r="808" ht="15.75" customHeight="1">
      <c r="D808" s="163"/>
      <c r="E808" s="163"/>
      <c r="F808" s="164"/>
      <c r="O808" s="157"/>
    </row>
    <row r="809" ht="15.75" customHeight="1">
      <c r="D809" s="163"/>
      <c r="E809" s="163"/>
      <c r="F809" s="164"/>
      <c r="O809" s="157"/>
    </row>
    <row r="810" ht="15.75" customHeight="1">
      <c r="D810" s="163"/>
      <c r="E810" s="163"/>
      <c r="F810" s="164"/>
      <c r="O810" s="157"/>
    </row>
    <row r="811" ht="15.75" customHeight="1">
      <c r="D811" s="163"/>
      <c r="E811" s="163"/>
      <c r="F811" s="164"/>
      <c r="O811" s="157"/>
    </row>
    <row r="812" ht="15.75" customHeight="1">
      <c r="D812" s="163"/>
      <c r="E812" s="163"/>
      <c r="F812" s="164"/>
      <c r="O812" s="157"/>
    </row>
    <row r="813" ht="15.75" customHeight="1">
      <c r="D813" s="163"/>
      <c r="E813" s="163"/>
      <c r="F813" s="164"/>
      <c r="O813" s="157"/>
    </row>
    <row r="814" ht="15.75" customHeight="1">
      <c r="D814" s="163"/>
      <c r="E814" s="163"/>
      <c r="F814" s="164"/>
      <c r="O814" s="157"/>
    </row>
    <row r="815" ht="15.75" customHeight="1">
      <c r="D815" s="163"/>
      <c r="E815" s="163"/>
      <c r="F815" s="164"/>
      <c r="O815" s="157"/>
    </row>
    <row r="816" ht="15.75" customHeight="1">
      <c r="D816" s="163"/>
      <c r="E816" s="163"/>
      <c r="F816" s="164"/>
      <c r="O816" s="157"/>
    </row>
    <row r="817" ht="15.75" customHeight="1">
      <c r="D817" s="163"/>
      <c r="E817" s="163"/>
      <c r="F817" s="164"/>
      <c r="O817" s="157"/>
    </row>
    <row r="818" ht="15.75" customHeight="1">
      <c r="D818" s="163"/>
      <c r="E818" s="163"/>
      <c r="F818" s="164"/>
      <c r="O818" s="157"/>
    </row>
    <row r="819" ht="15.75" customHeight="1">
      <c r="D819" s="163"/>
      <c r="E819" s="163"/>
      <c r="F819" s="164"/>
      <c r="O819" s="157"/>
    </row>
    <row r="820" ht="15.75" customHeight="1">
      <c r="D820" s="163"/>
      <c r="E820" s="163"/>
      <c r="F820" s="164"/>
      <c r="O820" s="157"/>
    </row>
    <row r="821" ht="15.75" customHeight="1">
      <c r="D821" s="163"/>
      <c r="E821" s="163"/>
      <c r="F821" s="164"/>
      <c r="O821" s="157"/>
    </row>
    <row r="822" ht="15.75" customHeight="1">
      <c r="D822" s="163"/>
      <c r="E822" s="163"/>
      <c r="F822" s="164"/>
      <c r="O822" s="157"/>
    </row>
    <row r="823" ht="15.75" customHeight="1">
      <c r="D823" s="163"/>
      <c r="E823" s="163"/>
      <c r="F823" s="164"/>
      <c r="O823" s="157"/>
    </row>
    <row r="824" ht="15.75" customHeight="1">
      <c r="D824" s="163"/>
      <c r="E824" s="163"/>
      <c r="F824" s="164"/>
      <c r="O824" s="157"/>
    </row>
    <row r="825" ht="15.75" customHeight="1">
      <c r="D825" s="163"/>
      <c r="E825" s="163"/>
      <c r="F825" s="164"/>
      <c r="O825" s="157"/>
    </row>
    <row r="826" ht="15.75" customHeight="1">
      <c r="D826" s="163"/>
      <c r="E826" s="163"/>
      <c r="F826" s="164"/>
      <c r="O826" s="157"/>
    </row>
    <row r="827" ht="15.75" customHeight="1">
      <c r="D827" s="163"/>
      <c r="E827" s="163"/>
      <c r="F827" s="164"/>
      <c r="O827" s="157"/>
    </row>
    <row r="828" ht="15.75" customHeight="1">
      <c r="D828" s="163"/>
      <c r="E828" s="163"/>
      <c r="F828" s="164"/>
      <c r="O828" s="157"/>
    </row>
    <row r="829" ht="15.75" customHeight="1">
      <c r="D829" s="163"/>
      <c r="E829" s="163"/>
      <c r="F829" s="164"/>
      <c r="O829" s="157"/>
    </row>
    <row r="830" ht="15.75" customHeight="1">
      <c r="D830" s="163"/>
      <c r="E830" s="163"/>
      <c r="F830" s="164"/>
      <c r="O830" s="157"/>
    </row>
    <row r="831" ht="15.75" customHeight="1">
      <c r="D831" s="163"/>
      <c r="E831" s="163"/>
      <c r="F831" s="164"/>
      <c r="O831" s="157"/>
    </row>
    <row r="832" ht="15.75" customHeight="1">
      <c r="D832" s="163"/>
      <c r="E832" s="163"/>
      <c r="F832" s="164"/>
      <c r="O832" s="157"/>
    </row>
    <row r="833" ht="15.75" customHeight="1">
      <c r="D833" s="163"/>
      <c r="E833" s="163"/>
      <c r="F833" s="164"/>
      <c r="O833" s="157"/>
    </row>
    <row r="834" ht="15.75" customHeight="1">
      <c r="D834" s="163"/>
      <c r="E834" s="163"/>
      <c r="F834" s="164"/>
      <c r="O834" s="157"/>
    </row>
    <row r="835" ht="15.75" customHeight="1">
      <c r="D835" s="163"/>
      <c r="E835" s="163"/>
      <c r="F835" s="164"/>
      <c r="O835" s="157"/>
    </row>
    <row r="836" ht="15.75" customHeight="1">
      <c r="D836" s="163"/>
      <c r="E836" s="163"/>
      <c r="F836" s="164"/>
      <c r="O836" s="157"/>
    </row>
    <row r="837" ht="15.75" customHeight="1">
      <c r="D837" s="163"/>
      <c r="E837" s="163"/>
      <c r="F837" s="164"/>
      <c r="O837" s="157"/>
    </row>
    <row r="838" ht="15.75" customHeight="1">
      <c r="D838" s="163"/>
      <c r="E838" s="163"/>
      <c r="F838" s="164"/>
      <c r="O838" s="157"/>
    </row>
    <row r="839" ht="15.75" customHeight="1">
      <c r="D839" s="163"/>
      <c r="E839" s="163"/>
      <c r="F839" s="164"/>
      <c r="O839" s="157"/>
    </row>
    <row r="840" ht="15.75" customHeight="1">
      <c r="D840" s="163"/>
      <c r="E840" s="163"/>
      <c r="F840" s="164"/>
      <c r="O840" s="157"/>
    </row>
    <row r="841" ht="15.75" customHeight="1">
      <c r="D841" s="163"/>
      <c r="E841" s="163"/>
      <c r="F841" s="164"/>
      <c r="O841" s="157"/>
    </row>
    <row r="842" ht="15.75" customHeight="1">
      <c r="D842" s="163"/>
      <c r="E842" s="163"/>
      <c r="F842" s="164"/>
      <c r="O842" s="157"/>
    </row>
    <row r="843" ht="15.75" customHeight="1">
      <c r="D843" s="163"/>
      <c r="E843" s="163"/>
      <c r="F843" s="164"/>
      <c r="O843" s="157"/>
    </row>
    <row r="844" ht="15.75" customHeight="1">
      <c r="D844" s="163"/>
      <c r="E844" s="163"/>
      <c r="F844" s="164"/>
      <c r="O844" s="157"/>
    </row>
    <row r="845" ht="15.75" customHeight="1">
      <c r="D845" s="163"/>
      <c r="E845" s="163"/>
      <c r="F845" s="164"/>
      <c r="O845" s="157"/>
    </row>
    <row r="846" ht="15.75" customHeight="1">
      <c r="D846" s="163"/>
      <c r="E846" s="163"/>
      <c r="F846" s="164"/>
      <c r="O846" s="157"/>
    </row>
    <row r="847" ht="15.75" customHeight="1">
      <c r="D847" s="163"/>
      <c r="E847" s="163"/>
      <c r="F847" s="164"/>
      <c r="O847" s="157"/>
    </row>
    <row r="848" ht="15.75" customHeight="1">
      <c r="D848" s="163"/>
      <c r="E848" s="163"/>
      <c r="F848" s="164"/>
      <c r="O848" s="157"/>
    </row>
    <row r="849" ht="15.75" customHeight="1">
      <c r="D849" s="163"/>
      <c r="E849" s="163"/>
      <c r="F849" s="164"/>
      <c r="O849" s="157"/>
    </row>
    <row r="850" ht="15.75" customHeight="1">
      <c r="D850" s="163"/>
      <c r="E850" s="163"/>
      <c r="F850" s="164"/>
      <c r="O850" s="157"/>
    </row>
    <row r="851" ht="15.75" customHeight="1">
      <c r="D851" s="163"/>
      <c r="E851" s="163"/>
      <c r="F851" s="164"/>
      <c r="O851" s="157"/>
    </row>
    <row r="852" ht="15.75" customHeight="1">
      <c r="D852" s="163"/>
      <c r="E852" s="163"/>
      <c r="F852" s="164"/>
      <c r="O852" s="157"/>
    </row>
    <row r="853" ht="15.75" customHeight="1">
      <c r="D853" s="163"/>
      <c r="E853" s="163"/>
      <c r="F853" s="164"/>
      <c r="O853" s="157"/>
    </row>
    <row r="854" ht="15.75" customHeight="1">
      <c r="D854" s="163"/>
      <c r="E854" s="163"/>
      <c r="F854" s="164"/>
      <c r="O854" s="157"/>
    </row>
    <row r="855" ht="15.75" customHeight="1">
      <c r="D855" s="163"/>
      <c r="E855" s="163"/>
      <c r="F855" s="164"/>
      <c r="O855" s="157"/>
    </row>
    <row r="856" ht="15.75" customHeight="1">
      <c r="D856" s="163"/>
      <c r="E856" s="163"/>
      <c r="F856" s="164"/>
      <c r="O856" s="157"/>
    </row>
    <row r="857" ht="15.75" customHeight="1">
      <c r="D857" s="163"/>
      <c r="E857" s="163"/>
      <c r="F857" s="164"/>
      <c r="O857" s="157"/>
    </row>
    <row r="858" ht="15.75" customHeight="1">
      <c r="D858" s="163"/>
      <c r="E858" s="163"/>
      <c r="F858" s="164"/>
      <c r="O858" s="157"/>
    </row>
    <row r="859" ht="15.75" customHeight="1">
      <c r="D859" s="163"/>
      <c r="E859" s="163"/>
      <c r="F859" s="164"/>
      <c r="O859" s="157"/>
    </row>
    <row r="860" ht="15.75" customHeight="1">
      <c r="D860" s="163"/>
      <c r="E860" s="163"/>
      <c r="F860" s="164"/>
      <c r="O860" s="157"/>
    </row>
    <row r="861" ht="15.75" customHeight="1">
      <c r="D861" s="163"/>
      <c r="E861" s="163"/>
      <c r="F861" s="164"/>
      <c r="O861" s="157"/>
    </row>
    <row r="862" ht="15.75" customHeight="1">
      <c r="D862" s="163"/>
      <c r="E862" s="163"/>
      <c r="F862" s="164"/>
      <c r="O862" s="157"/>
    </row>
    <row r="863" ht="15.75" customHeight="1">
      <c r="D863" s="163"/>
      <c r="E863" s="163"/>
      <c r="F863" s="164"/>
      <c r="O863" s="157"/>
    </row>
    <row r="864" ht="15.75" customHeight="1">
      <c r="D864" s="163"/>
      <c r="E864" s="163"/>
      <c r="F864" s="164"/>
      <c r="O864" s="157"/>
    </row>
    <row r="865" ht="15.75" customHeight="1">
      <c r="D865" s="163"/>
      <c r="E865" s="163"/>
      <c r="F865" s="164"/>
      <c r="O865" s="157"/>
    </row>
    <row r="866" ht="15.75" customHeight="1">
      <c r="D866" s="163"/>
      <c r="E866" s="163"/>
      <c r="F866" s="164"/>
      <c r="O866" s="157"/>
    </row>
    <row r="867" ht="15.75" customHeight="1">
      <c r="D867" s="163"/>
      <c r="E867" s="163"/>
      <c r="F867" s="164"/>
      <c r="O867" s="157"/>
    </row>
    <row r="868" ht="15.75" customHeight="1">
      <c r="D868" s="163"/>
      <c r="E868" s="163"/>
      <c r="F868" s="164"/>
      <c r="O868" s="157"/>
    </row>
    <row r="869" ht="15.75" customHeight="1">
      <c r="D869" s="163"/>
      <c r="E869" s="163"/>
      <c r="F869" s="164"/>
      <c r="O869" s="157"/>
    </row>
    <row r="870" ht="15.75" customHeight="1">
      <c r="D870" s="163"/>
      <c r="E870" s="163"/>
      <c r="F870" s="164"/>
      <c r="O870" s="157"/>
    </row>
    <row r="871" ht="15.75" customHeight="1">
      <c r="D871" s="163"/>
      <c r="E871" s="163"/>
      <c r="F871" s="164"/>
      <c r="O871" s="157"/>
    </row>
    <row r="872" ht="15.75" customHeight="1">
      <c r="D872" s="163"/>
      <c r="E872" s="163"/>
      <c r="F872" s="164"/>
      <c r="O872" s="157"/>
    </row>
    <row r="873" ht="15.75" customHeight="1">
      <c r="D873" s="163"/>
      <c r="E873" s="163"/>
      <c r="F873" s="164"/>
      <c r="O873" s="157"/>
    </row>
    <row r="874" ht="15.75" customHeight="1">
      <c r="D874" s="163"/>
      <c r="E874" s="163"/>
      <c r="F874" s="164"/>
      <c r="O874" s="157"/>
    </row>
    <row r="875" ht="15.75" customHeight="1">
      <c r="D875" s="163"/>
      <c r="E875" s="163"/>
      <c r="F875" s="164"/>
      <c r="O875" s="157"/>
    </row>
    <row r="876" ht="15.0" customHeight="1">
      <c r="D876" s="163"/>
      <c r="E876" s="163"/>
      <c r="F876" s="164"/>
      <c r="O876" s="157"/>
    </row>
    <row r="877">
      <c r="F877" s="164"/>
      <c r="O877" s="157"/>
    </row>
    <row r="878">
      <c r="F878" s="164"/>
      <c r="O878" s="157"/>
    </row>
    <row r="879">
      <c r="F879" s="164"/>
      <c r="O879" s="157"/>
    </row>
    <row r="880">
      <c r="F880" s="164"/>
      <c r="O880" s="157"/>
    </row>
    <row r="881">
      <c r="F881" s="164"/>
      <c r="O881" s="157"/>
    </row>
    <row r="882">
      <c r="F882" s="164"/>
      <c r="O882" s="157"/>
    </row>
    <row r="883">
      <c r="F883" s="164"/>
      <c r="O883" s="157"/>
    </row>
    <row r="884">
      <c r="F884" s="164"/>
      <c r="O884" s="157"/>
    </row>
    <row r="885">
      <c r="F885" s="164"/>
      <c r="O885" s="157"/>
    </row>
    <row r="886">
      <c r="F886" s="164"/>
      <c r="O886" s="157"/>
    </row>
    <row r="887">
      <c r="F887" s="164"/>
      <c r="O887" s="157"/>
    </row>
    <row r="888">
      <c r="F888" s="164"/>
      <c r="O888" s="157"/>
    </row>
    <row r="889">
      <c r="F889" s="164"/>
      <c r="O889" s="157"/>
    </row>
    <row r="890">
      <c r="F890" s="164"/>
      <c r="O890" s="157"/>
    </row>
    <row r="891">
      <c r="F891" s="164"/>
      <c r="O891" s="157"/>
    </row>
    <row r="892">
      <c r="F892" s="164"/>
      <c r="O892" s="157"/>
    </row>
    <row r="893">
      <c r="F893" s="164"/>
      <c r="O893" s="157"/>
    </row>
    <row r="894">
      <c r="F894" s="164"/>
      <c r="O894" s="157"/>
    </row>
    <row r="895">
      <c r="F895" s="164"/>
      <c r="O895" s="157"/>
    </row>
    <row r="896">
      <c r="F896" s="164"/>
      <c r="O896" s="157"/>
    </row>
    <row r="897">
      <c r="F897" s="164"/>
      <c r="O897" s="157"/>
    </row>
    <row r="898">
      <c r="F898" s="164"/>
      <c r="O898" s="157"/>
    </row>
    <row r="899">
      <c r="F899" s="164"/>
      <c r="O899" s="157"/>
    </row>
    <row r="900">
      <c r="F900" s="164"/>
      <c r="O900" s="157"/>
    </row>
    <row r="901">
      <c r="F901" s="164"/>
      <c r="O901" s="157"/>
    </row>
    <row r="902">
      <c r="F902" s="164"/>
      <c r="O902" s="157"/>
    </row>
    <row r="903">
      <c r="F903" s="164"/>
      <c r="O903" s="157"/>
    </row>
    <row r="904">
      <c r="F904" s="164"/>
      <c r="O904" s="157"/>
    </row>
    <row r="905">
      <c r="F905" s="164"/>
      <c r="O905" s="157"/>
    </row>
    <row r="906">
      <c r="F906" s="164"/>
      <c r="O906" s="157"/>
    </row>
    <row r="907">
      <c r="F907" s="164"/>
      <c r="O907" s="157"/>
    </row>
    <row r="908">
      <c r="F908" s="164"/>
      <c r="O908" s="157"/>
    </row>
    <row r="909">
      <c r="F909" s="164"/>
      <c r="O909" s="157"/>
    </row>
    <row r="910">
      <c r="F910" s="164"/>
      <c r="O910" s="157"/>
    </row>
    <row r="911">
      <c r="F911" s="164"/>
      <c r="O911" s="157"/>
    </row>
    <row r="912">
      <c r="F912" s="164"/>
      <c r="O912" s="157"/>
    </row>
    <row r="913">
      <c r="F913" s="164"/>
      <c r="O913" s="157"/>
    </row>
    <row r="914">
      <c r="F914" s="164"/>
      <c r="O914" s="157"/>
    </row>
    <row r="915">
      <c r="F915" s="164"/>
      <c r="O915" s="157"/>
    </row>
    <row r="916">
      <c r="F916" s="164"/>
      <c r="O916" s="157"/>
    </row>
    <row r="917">
      <c r="F917" s="164"/>
      <c r="O917" s="157"/>
    </row>
    <row r="918">
      <c r="F918" s="164"/>
      <c r="O918" s="157"/>
    </row>
    <row r="919">
      <c r="F919" s="164"/>
      <c r="O919" s="157"/>
    </row>
    <row r="920">
      <c r="F920" s="164"/>
      <c r="O920" s="157"/>
    </row>
    <row r="921">
      <c r="F921" s="164"/>
      <c r="O921" s="157"/>
    </row>
    <row r="922">
      <c r="F922" s="164"/>
      <c r="O922" s="157"/>
    </row>
    <row r="923">
      <c r="F923" s="164"/>
      <c r="O923" s="157"/>
    </row>
    <row r="924">
      <c r="F924" s="164"/>
      <c r="O924" s="157"/>
    </row>
    <row r="925">
      <c r="F925" s="164"/>
      <c r="O925" s="157"/>
    </row>
    <row r="926">
      <c r="F926" s="164"/>
      <c r="O926" s="157"/>
    </row>
    <row r="927">
      <c r="F927" s="164"/>
      <c r="O927" s="157"/>
    </row>
    <row r="928">
      <c r="F928" s="164"/>
      <c r="O928" s="157"/>
    </row>
    <row r="929">
      <c r="F929" s="164"/>
      <c r="O929" s="157"/>
    </row>
    <row r="930">
      <c r="F930" s="164"/>
      <c r="O930" s="157"/>
    </row>
    <row r="931">
      <c r="F931" s="164"/>
      <c r="O931" s="157"/>
    </row>
    <row r="932">
      <c r="F932" s="164"/>
      <c r="O932" s="157"/>
    </row>
    <row r="933">
      <c r="F933" s="164"/>
      <c r="O933" s="157"/>
    </row>
    <row r="934">
      <c r="F934" s="164"/>
      <c r="O934" s="157"/>
    </row>
    <row r="935">
      <c r="F935" s="164"/>
      <c r="O935" s="157"/>
    </row>
    <row r="936">
      <c r="F936" s="164"/>
      <c r="O936" s="157"/>
    </row>
    <row r="937">
      <c r="F937" s="164"/>
      <c r="O937" s="157"/>
    </row>
    <row r="938">
      <c r="F938" s="164"/>
      <c r="O938" s="157"/>
    </row>
    <row r="939">
      <c r="F939" s="164"/>
      <c r="O939" s="157"/>
    </row>
    <row r="940">
      <c r="F940" s="164"/>
      <c r="O940" s="157"/>
    </row>
    <row r="941">
      <c r="F941" s="164"/>
      <c r="O941" s="157"/>
    </row>
    <row r="942">
      <c r="F942" s="164"/>
      <c r="O942" s="157"/>
    </row>
    <row r="943">
      <c r="F943" s="164"/>
      <c r="O943" s="157"/>
    </row>
    <row r="944">
      <c r="F944" s="164"/>
      <c r="O944" s="157"/>
    </row>
    <row r="945">
      <c r="F945" s="164"/>
      <c r="O945" s="157"/>
    </row>
    <row r="946">
      <c r="F946" s="164"/>
      <c r="O946" s="157"/>
    </row>
    <row r="947">
      <c r="F947" s="164"/>
      <c r="O947" s="157"/>
    </row>
    <row r="948">
      <c r="F948" s="164"/>
      <c r="O948" s="157"/>
    </row>
    <row r="949">
      <c r="F949" s="164"/>
      <c r="O949" s="157"/>
    </row>
    <row r="950">
      <c r="F950" s="164"/>
      <c r="O950" s="157"/>
    </row>
    <row r="951">
      <c r="F951" s="164"/>
      <c r="O951" s="157"/>
    </row>
    <row r="952">
      <c r="F952" s="164"/>
      <c r="O952" s="157"/>
    </row>
    <row r="953">
      <c r="F953" s="164"/>
      <c r="O953" s="157"/>
    </row>
    <row r="954">
      <c r="F954" s="164"/>
      <c r="O954" s="157"/>
    </row>
    <row r="955">
      <c r="F955" s="164"/>
      <c r="O955" s="157"/>
    </row>
    <row r="956">
      <c r="F956" s="164"/>
      <c r="O956" s="157"/>
    </row>
    <row r="957">
      <c r="F957" s="164"/>
      <c r="O957" s="157"/>
    </row>
    <row r="958">
      <c r="F958" s="164"/>
      <c r="O958" s="157"/>
    </row>
    <row r="959">
      <c r="F959" s="164"/>
      <c r="O959" s="157"/>
    </row>
    <row r="960">
      <c r="F960" s="164"/>
      <c r="O960" s="157"/>
    </row>
    <row r="961">
      <c r="F961" s="164"/>
      <c r="O961" s="157"/>
    </row>
    <row r="962">
      <c r="F962" s="164"/>
      <c r="O962" s="157"/>
    </row>
    <row r="963">
      <c r="F963" s="164"/>
      <c r="O963" s="157"/>
    </row>
    <row r="964">
      <c r="F964" s="164"/>
      <c r="O964" s="157"/>
    </row>
    <row r="965">
      <c r="F965" s="164"/>
      <c r="O965" s="157"/>
    </row>
    <row r="966">
      <c r="F966" s="164"/>
      <c r="O966" s="157"/>
    </row>
    <row r="967">
      <c r="F967" s="164"/>
      <c r="O967" s="157"/>
    </row>
    <row r="968">
      <c r="F968" s="164"/>
      <c r="O968" s="157"/>
    </row>
    <row r="969">
      <c r="F969" s="164"/>
      <c r="O969" s="157"/>
    </row>
    <row r="970">
      <c r="F970" s="164"/>
      <c r="O970" s="157"/>
    </row>
    <row r="971">
      <c r="F971" s="164"/>
      <c r="O971" s="157"/>
    </row>
    <row r="972">
      <c r="F972" s="164"/>
      <c r="O972" s="157"/>
    </row>
    <row r="973">
      <c r="F973" s="164"/>
      <c r="O973" s="157"/>
    </row>
    <row r="974">
      <c r="F974" s="164"/>
      <c r="O974" s="157"/>
    </row>
    <row r="975">
      <c r="F975" s="164"/>
      <c r="O975" s="157"/>
    </row>
    <row r="976">
      <c r="F976" s="164"/>
      <c r="O976" s="157"/>
    </row>
    <row r="977">
      <c r="F977" s="164"/>
      <c r="O977" s="157"/>
    </row>
    <row r="978">
      <c r="F978" s="164"/>
      <c r="O978" s="157"/>
    </row>
    <row r="979">
      <c r="F979" s="164"/>
      <c r="O979" s="157"/>
    </row>
    <row r="980">
      <c r="F980" s="164"/>
      <c r="O980" s="157"/>
    </row>
    <row r="981">
      <c r="F981" s="164"/>
      <c r="O981" s="157"/>
    </row>
    <row r="982">
      <c r="F982" s="164"/>
      <c r="O982" s="157"/>
    </row>
    <row r="983">
      <c r="F983" s="164"/>
      <c r="O983" s="157"/>
    </row>
    <row r="984">
      <c r="F984" s="164"/>
      <c r="O984" s="157"/>
    </row>
    <row r="985">
      <c r="F985" s="164"/>
      <c r="O985" s="157"/>
    </row>
    <row r="986">
      <c r="F986" s="164"/>
      <c r="O986" s="157"/>
    </row>
    <row r="987">
      <c r="F987" s="164"/>
      <c r="O987" s="157"/>
    </row>
    <row r="988">
      <c r="F988" s="164"/>
      <c r="O988" s="157"/>
    </row>
    <row r="989">
      <c r="F989" s="164"/>
      <c r="O989" s="157"/>
    </row>
    <row r="990">
      <c r="F990" s="164"/>
      <c r="O990" s="157"/>
    </row>
    <row r="991">
      <c r="F991" s="164"/>
      <c r="O991" s="157"/>
    </row>
    <row r="992">
      <c r="F992" s="164"/>
      <c r="O992" s="157"/>
    </row>
    <row r="993">
      <c r="F993" s="164"/>
      <c r="O993" s="157"/>
    </row>
    <row r="994">
      <c r="F994" s="164"/>
      <c r="O994" s="157"/>
    </row>
    <row r="995">
      <c r="F995" s="164"/>
      <c r="O995" s="157"/>
    </row>
    <row r="996">
      <c r="F996" s="164"/>
      <c r="O996" s="157"/>
    </row>
    <row r="997">
      <c r="F997" s="164"/>
      <c r="O997" s="157"/>
    </row>
    <row r="998">
      <c r="F998" s="164"/>
      <c r="O998" s="157"/>
    </row>
    <row r="999">
      <c r="F999" s="164"/>
      <c r="O999" s="157"/>
    </row>
    <row r="1000">
      <c r="F1000" s="164"/>
      <c r="O1000" s="157"/>
    </row>
    <row r="1001">
      <c r="F1001" s="164"/>
      <c r="O1001" s="157"/>
    </row>
    <row r="1002">
      <c r="F1002" s="164"/>
      <c r="O1002" s="157"/>
    </row>
    <row r="1003">
      <c r="F1003" s="164"/>
      <c r="O1003" s="157"/>
    </row>
    <row r="1004">
      <c r="F1004" s="164"/>
      <c r="O1004" s="157"/>
    </row>
    <row r="1005">
      <c r="F1005" s="164"/>
      <c r="O1005" s="157"/>
    </row>
    <row r="1006">
      <c r="F1006" s="164"/>
      <c r="O1006" s="157"/>
    </row>
    <row r="1007">
      <c r="F1007" s="164"/>
      <c r="O1007" s="157"/>
    </row>
    <row r="1008">
      <c r="F1008" s="164"/>
      <c r="O1008" s="157"/>
    </row>
    <row r="1009">
      <c r="F1009" s="164"/>
      <c r="O1009" s="157"/>
    </row>
    <row r="1010">
      <c r="F1010" s="164"/>
      <c r="O1010" s="157"/>
    </row>
    <row r="1011">
      <c r="F1011" s="164"/>
      <c r="O1011" s="157"/>
    </row>
    <row r="1012">
      <c r="F1012" s="164"/>
      <c r="O1012" s="157"/>
    </row>
    <row r="1013">
      <c r="F1013" s="164"/>
      <c r="O1013" s="157"/>
    </row>
    <row r="1014">
      <c r="F1014" s="164"/>
      <c r="O1014" s="157"/>
    </row>
    <row r="1015">
      <c r="F1015" s="164"/>
      <c r="O1015" s="157"/>
    </row>
    <row r="1016">
      <c r="F1016" s="164"/>
      <c r="O1016" s="157"/>
    </row>
    <row r="1017">
      <c r="F1017" s="164"/>
      <c r="O1017" s="157"/>
    </row>
    <row r="1018">
      <c r="F1018" s="164"/>
      <c r="O1018" s="157"/>
    </row>
    <row r="1019">
      <c r="F1019" s="164"/>
      <c r="O1019" s="157"/>
    </row>
    <row r="1020">
      <c r="F1020" s="164"/>
      <c r="O1020" s="157"/>
    </row>
    <row r="1021">
      <c r="F1021" s="164"/>
      <c r="O1021" s="157"/>
    </row>
    <row r="1022">
      <c r="F1022" s="164"/>
      <c r="O1022" s="157"/>
    </row>
    <row r="1023">
      <c r="F1023" s="164"/>
      <c r="O1023" s="157"/>
    </row>
    <row r="1024">
      <c r="F1024" s="164"/>
      <c r="O1024" s="157"/>
    </row>
    <row r="1025">
      <c r="F1025" s="164"/>
      <c r="O1025" s="157"/>
    </row>
    <row r="1026">
      <c r="F1026" s="164"/>
      <c r="O1026" s="157"/>
    </row>
    <row r="1027">
      <c r="F1027" s="164"/>
      <c r="O1027" s="157"/>
    </row>
    <row r="1028">
      <c r="F1028" s="164"/>
      <c r="O1028" s="157"/>
    </row>
    <row r="1029">
      <c r="F1029" s="164"/>
      <c r="O1029" s="157"/>
    </row>
    <row r="1030">
      <c r="F1030" s="164"/>
      <c r="O1030" s="157"/>
    </row>
    <row r="1031">
      <c r="F1031" s="164"/>
      <c r="O1031" s="157"/>
    </row>
    <row r="1032">
      <c r="F1032" s="164"/>
      <c r="O1032" s="157"/>
    </row>
    <row r="1033">
      <c r="F1033" s="164"/>
      <c r="O1033" s="157"/>
    </row>
    <row r="1034">
      <c r="F1034" s="164"/>
      <c r="O1034" s="157"/>
    </row>
    <row r="1035">
      <c r="F1035" s="164"/>
      <c r="O1035" s="157"/>
    </row>
    <row r="1036">
      <c r="F1036" s="164"/>
      <c r="O1036" s="157"/>
    </row>
    <row r="1037">
      <c r="F1037" s="164"/>
      <c r="O1037" s="157"/>
    </row>
    <row r="1038">
      <c r="F1038" s="164"/>
      <c r="O1038" s="157"/>
    </row>
    <row r="1039">
      <c r="F1039" s="164"/>
      <c r="O1039" s="157"/>
    </row>
    <row r="1040">
      <c r="F1040" s="164"/>
      <c r="O1040" s="157"/>
    </row>
    <row r="1041">
      <c r="F1041" s="164"/>
      <c r="O1041" s="157"/>
    </row>
    <row r="1042">
      <c r="F1042" s="164"/>
      <c r="O1042" s="157"/>
    </row>
    <row r="1043">
      <c r="F1043" s="164"/>
      <c r="O1043" s="157"/>
    </row>
    <row r="1044">
      <c r="F1044" s="164"/>
      <c r="O1044" s="157"/>
    </row>
    <row r="1045">
      <c r="F1045" s="164"/>
      <c r="O1045" s="157"/>
    </row>
    <row r="1046">
      <c r="F1046" s="164"/>
      <c r="O1046" s="157"/>
    </row>
    <row r="1047">
      <c r="F1047" s="164"/>
      <c r="O1047" s="157"/>
    </row>
    <row r="1048">
      <c r="F1048" s="164"/>
      <c r="O1048" s="157"/>
    </row>
    <row r="1049">
      <c r="F1049" s="164"/>
      <c r="O1049" s="157"/>
    </row>
    <row r="1050">
      <c r="F1050" s="164"/>
      <c r="O1050" s="157"/>
    </row>
    <row r="1051">
      <c r="F1051" s="164"/>
      <c r="O1051" s="157"/>
    </row>
    <row r="1052">
      <c r="F1052" s="164"/>
      <c r="O1052" s="157"/>
    </row>
    <row r="1053">
      <c r="F1053" s="164"/>
      <c r="O1053" s="157"/>
    </row>
    <row r="1054">
      <c r="F1054" s="164"/>
      <c r="O1054" s="157"/>
    </row>
    <row r="1055">
      <c r="F1055" s="164"/>
      <c r="O1055" s="157"/>
    </row>
    <row r="1056">
      <c r="F1056" s="164"/>
      <c r="O1056" s="157"/>
    </row>
    <row r="1057">
      <c r="F1057" s="164"/>
      <c r="O1057" s="157"/>
    </row>
    <row r="1058">
      <c r="F1058" s="164"/>
      <c r="O1058" s="157"/>
    </row>
    <row r="1059">
      <c r="F1059" s="164"/>
      <c r="O1059" s="157"/>
    </row>
    <row r="1060">
      <c r="F1060" s="164"/>
      <c r="O1060" s="157"/>
    </row>
    <row r="1061">
      <c r="F1061" s="164"/>
      <c r="O1061" s="157"/>
    </row>
    <row r="1062">
      <c r="F1062" s="164"/>
      <c r="O1062" s="157"/>
    </row>
    <row r="1063">
      <c r="F1063" s="164"/>
      <c r="O1063" s="157"/>
    </row>
    <row r="1064">
      <c r="F1064" s="164"/>
      <c r="O1064" s="157"/>
    </row>
    <row r="1065">
      <c r="F1065" s="164"/>
      <c r="O1065" s="157"/>
    </row>
    <row r="1066">
      <c r="F1066" s="164"/>
      <c r="O1066" s="157"/>
    </row>
    <row r="1067">
      <c r="F1067" s="164"/>
      <c r="O1067" s="157"/>
    </row>
    <row r="1068">
      <c r="F1068" s="164"/>
      <c r="O1068" s="157"/>
    </row>
    <row r="1069">
      <c r="F1069" s="164"/>
      <c r="O1069" s="157"/>
    </row>
    <row r="1070">
      <c r="F1070" s="164"/>
      <c r="O1070" s="157"/>
    </row>
    <row r="1071">
      <c r="F1071" s="164"/>
      <c r="O1071" s="157"/>
    </row>
    <row r="1072">
      <c r="F1072" s="164"/>
      <c r="O1072" s="157"/>
    </row>
    <row r="1073">
      <c r="F1073" s="164"/>
      <c r="O1073" s="157"/>
    </row>
    <row r="1074">
      <c r="F1074" s="164"/>
      <c r="O1074" s="157"/>
    </row>
    <row r="1075">
      <c r="F1075" s="164"/>
      <c r="O1075" s="157"/>
    </row>
    <row r="1076">
      <c r="F1076" s="164"/>
      <c r="O1076" s="157"/>
    </row>
    <row r="1077">
      <c r="F1077" s="164"/>
      <c r="O1077" s="157"/>
    </row>
    <row r="1078">
      <c r="F1078" s="164"/>
      <c r="O1078" s="157"/>
    </row>
    <row r="1079">
      <c r="F1079" s="164"/>
      <c r="O1079" s="157"/>
    </row>
    <row r="1080">
      <c r="F1080" s="164"/>
      <c r="O1080" s="157"/>
    </row>
    <row r="1081">
      <c r="F1081" s="164"/>
      <c r="O1081" s="157"/>
    </row>
    <row r="1082">
      <c r="F1082" s="164"/>
      <c r="O1082" s="157"/>
    </row>
    <row r="1083">
      <c r="F1083" s="164"/>
      <c r="O1083" s="157"/>
    </row>
    <row r="1084">
      <c r="F1084" s="164"/>
      <c r="O1084" s="157"/>
    </row>
    <row r="1085">
      <c r="F1085" s="164"/>
      <c r="O1085" s="157"/>
    </row>
    <row r="1086">
      <c r="F1086" s="164"/>
      <c r="O1086" s="157"/>
    </row>
    <row r="1087">
      <c r="F1087" s="164"/>
      <c r="O1087" s="157"/>
    </row>
    <row r="1088">
      <c r="F1088" s="164"/>
      <c r="O1088" s="157"/>
    </row>
    <row r="1089">
      <c r="F1089" s="164"/>
      <c r="O1089" s="157"/>
    </row>
    <row r="1090">
      <c r="F1090" s="164"/>
      <c r="O1090" s="157"/>
    </row>
    <row r="1091">
      <c r="F1091" s="164"/>
      <c r="O1091" s="157"/>
    </row>
    <row r="1092">
      <c r="F1092" s="164"/>
      <c r="O1092" s="157"/>
    </row>
    <row r="1093">
      <c r="F1093" s="164"/>
      <c r="O1093" s="157"/>
    </row>
    <row r="1094">
      <c r="F1094" s="164"/>
      <c r="O1094" s="157"/>
    </row>
    <row r="1095">
      <c r="F1095" s="164"/>
      <c r="O1095" s="157"/>
    </row>
    <row r="1096">
      <c r="F1096" s="164"/>
      <c r="O1096" s="157"/>
    </row>
    <row r="1097">
      <c r="F1097" s="164"/>
      <c r="O1097" s="157"/>
    </row>
    <row r="1098">
      <c r="F1098" s="164"/>
      <c r="O1098" s="157"/>
    </row>
    <row r="1099">
      <c r="F1099" s="164"/>
      <c r="O1099" s="157"/>
    </row>
    <row r="1100">
      <c r="F1100" s="164"/>
      <c r="O1100" s="157"/>
    </row>
    <row r="1101">
      <c r="F1101" s="164"/>
      <c r="O1101" s="157"/>
    </row>
    <row r="1102">
      <c r="F1102" s="164"/>
      <c r="O1102" s="157"/>
    </row>
    <row r="1103">
      <c r="F1103" s="164"/>
      <c r="O1103" s="157"/>
    </row>
    <row r="1104">
      <c r="F1104" s="164"/>
      <c r="O1104" s="157"/>
    </row>
    <row r="1105">
      <c r="F1105" s="164"/>
      <c r="O1105" s="157"/>
    </row>
    <row r="1106">
      <c r="F1106" s="164"/>
      <c r="O1106" s="157"/>
    </row>
    <row r="1107">
      <c r="F1107" s="164"/>
      <c r="O1107" s="157"/>
    </row>
    <row r="1108">
      <c r="F1108" s="164"/>
      <c r="O1108" s="157"/>
    </row>
    <row r="1109">
      <c r="F1109" s="164"/>
      <c r="O1109" s="157"/>
    </row>
    <row r="1110">
      <c r="F1110" s="164"/>
      <c r="O1110" s="157"/>
    </row>
    <row r="1111">
      <c r="F1111" s="164"/>
      <c r="O1111" s="157"/>
    </row>
    <row r="1112">
      <c r="F1112" s="164"/>
      <c r="O1112" s="157"/>
    </row>
    <row r="1113">
      <c r="F1113" s="164"/>
      <c r="O1113" s="157"/>
    </row>
    <row r="1114">
      <c r="F1114" s="164"/>
      <c r="O1114" s="157"/>
    </row>
    <row r="1115">
      <c r="F1115" s="164"/>
      <c r="O1115" s="157"/>
    </row>
    <row r="1116">
      <c r="F1116" s="164"/>
      <c r="O1116" s="157"/>
    </row>
    <row r="1117">
      <c r="F1117" s="164"/>
      <c r="O1117" s="157"/>
    </row>
    <row r="1118">
      <c r="F1118" s="164"/>
      <c r="O1118" s="157"/>
    </row>
    <row r="1119">
      <c r="F1119" s="164"/>
      <c r="O1119" s="157"/>
    </row>
    <row r="1120">
      <c r="F1120" s="164"/>
      <c r="O1120" s="157"/>
    </row>
    <row r="1121">
      <c r="F1121" s="164"/>
      <c r="O1121" s="157"/>
    </row>
    <row r="1122">
      <c r="F1122" s="164"/>
      <c r="O1122" s="157"/>
    </row>
    <row r="1123">
      <c r="F1123" s="164"/>
      <c r="O1123" s="157"/>
    </row>
    <row r="1124">
      <c r="F1124" s="164"/>
      <c r="O1124" s="157"/>
    </row>
    <row r="1125">
      <c r="F1125" s="164"/>
      <c r="O1125" s="157"/>
    </row>
    <row r="1126">
      <c r="F1126" s="164"/>
      <c r="O1126" s="157"/>
    </row>
    <row r="1127">
      <c r="F1127" s="164"/>
      <c r="O1127" s="157"/>
    </row>
    <row r="1128">
      <c r="F1128" s="164"/>
      <c r="O1128" s="157"/>
    </row>
    <row r="1129">
      <c r="F1129" s="164"/>
      <c r="O1129" s="157"/>
    </row>
    <row r="1130">
      <c r="F1130" s="164"/>
      <c r="O1130" s="157"/>
    </row>
    <row r="1131">
      <c r="F1131" s="164"/>
      <c r="O1131" s="157"/>
    </row>
    <row r="1132">
      <c r="F1132" s="164"/>
      <c r="O1132" s="157"/>
    </row>
    <row r="1133">
      <c r="F1133" s="164"/>
      <c r="O1133" s="157"/>
    </row>
    <row r="1134">
      <c r="F1134" s="164"/>
      <c r="O1134" s="157"/>
    </row>
    <row r="1135">
      <c r="F1135" s="164"/>
      <c r="O1135" s="157"/>
    </row>
    <row r="1136">
      <c r="F1136" s="164"/>
      <c r="O1136" s="157"/>
    </row>
    <row r="1137">
      <c r="F1137" s="164"/>
      <c r="O1137" s="157"/>
    </row>
    <row r="1138">
      <c r="F1138" s="164"/>
      <c r="O1138" s="157"/>
    </row>
    <row r="1139">
      <c r="F1139" s="164"/>
      <c r="O1139" s="157"/>
    </row>
    <row r="1140">
      <c r="F1140" s="164"/>
      <c r="O1140" s="157"/>
    </row>
    <row r="1141">
      <c r="F1141" s="164"/>
      <c r="O1141" s="157"/>
    </row>
    <row r="1142">
      <c r="F1142" s="164"/>
      <c r="O1142" s="157"/>
    </row>
    <row r="1143">
      <c r="F1143" s="164"/>
      <c r="O1143" s="157"/>
    </row>
    <row r="1144">
      <c r="F1144" s="164"/>
      <c r="O1144" s="157"/>
    </row>
    <row r="1145">
      <c r="F1145" s="164"/>
      <c r="O1145" s="157"/>
    </row>
    <row r="1146">
      <c r="F1146" s="164"/>
      <c r="O1146" s="157"/>
    </row>
    <row r="1147">
      <c r="F1147" s="164"/>
      <c r="O1147" s="157"/>
    </row>
    <row r="1148">
      <c r="F1148" s="164"/>
      <c r="O1148" s="157"/>
    </row>
    <row r="1149">
      <c r="F1149" s="164"/>
      <c r="O1149" s="157"/>
    </row>
    <row r="1150">
      <c r="F1150" s="164"/>
      <c r="O1150" s="157"/>
    </row>
    <row r="1151">
      <c r="F1151" s="164"/>
      <c r="O1151" s="157"/>
    </row>
    <row r="1152">
      <c r="F1152" s="164"/>
      <c r="O1152" s="157"/>
    </row>
    <row r="1153">
      <c r="F1153" s="164"/>
      <c r="O1153" s="157"/>
    </row>
    <row r="1154">
      <c r="F1154" s="164"/>
      <c r="O1154" s="157"/>
    </row>
    <row r="1155">
      <c r="F1155" s="164"/>
      <c r="O1155" s="157"/>
    </row>
    <row r="1156">
      <c r="F1156" s="164"/>
      <c r="O1156" s="157"/>
    </row>
    <row r="1157">
      <c r="F1157" s="164"/>
      <c r="O1157" s="157"/>
    </row>
    <row r="1158">
      <c r="F1158" s="164"/>
      <c r="O1158" s="157"/>
    </row>
    <row r="1159">
      <c r="F1159" s="164"/>
      <c r="O1159" s="157"/>
    </row>
  </sheetData>
  <autoFilter ref="$A$5:$P$165"/>
  <conditionalFormatting sqref="L169:L180">
    <cfRule type="cellIs" dxfId="1" priority="1" operator="lessThan">
      <formula>$L$168</formula>
    </cfRule>
  </conditionalFormatting>
  <conditionalFormatting sqref="L169:L180">
    <cfRule type="cellIs" dxfId="1" priority="2" operator="greaterThan">
      <formula>$L$168</formula>
    </cfRule>
  </conditionalFormatting>
  <conditionalFormatting sqref="M1:M3 M6:M167 M169:M1159">
    <cfRule type="cellIs" dxfId="2" priority="3" operator="equal">
      <formula>"PENDIENTE"</formula>
    </cfRule>
  </conditionalFormatting>
  <conditionalFormatting sqref="M1:M3 M6:M167 M169:M1159">
    <cfRule type="cellIs" dxfId="3" priority="4" operator="equal">
      <formula>"PAGADO"</formula>
    </cfRule>
  </conditionalFormatting>
  <conditionalFormatting sqref="A6:A164">
    <cfRule type="expression" dxfId="4" priority="5" stopIfTrue="1">
      <formula>$M6="PAGADO"</formula>
    </cfRule>
  </conditionalFormatting>
  <conditionalFormatting sqref="A1:A1159">
    <cfRule type="containsText" dxfId="5" priority="6" operator="containsText" text="-">
      <formula>NOT(ISERROR(SEARCH(("-"),(A1))))</formula>
    </cfRule>
  </conditionalFormatting>
  <dataValidations>
    <dataValidation type="list" allowBlank="1" showErrorMessage="1" sqref="O6:O60 O63:O164">
      <formula1>DATOS!$A:$A</formula1>
    </dataValidation>
    <dataValidation type="list" allowBlank="1" sqref="H6:H60 H63:H87 H90:H164">
      <formula1>'LISTA PROVEEDORES'!$A:$A</formula1>
    </dataValidation>
    <dataValidation type="list" allowBlank="1" sqref="I6:I60 I63:I164">
      <formula1>'LISTA PROVEEDORES'!$B:$B</formula1>
    </dataValidation>
    <dataValidation type="list" allowBlank="1" showErrorMessage="1" sqref="C6:C60 C63:C164">
      <formula1>"PET EXOTIC SPA,PET EXOTIC LTDA,RONALD RENE MIGUEL DIAZ ROJAS"</formula1>
    </dataValidation>
    <dataValidation type="list" allowBlank="1" showErrorMessage="1" sqref="C61:C62">
      <formula1>"PET EXOTIC SPA,PET EXOTIC LTDA"</formula1>
    </dataValidation>
    <dataValidation type="list" allowBlank="1" showErrorMessage="1" sqref="M6:M165">
      <formula1>"PAGADO,PENDIENTE"</formula1>
    </dataValidation>
    <dataValidation type="list" allowBlank="1" sqref="H61:I62">
      <formula1>#REF!</formula1>
    </dataValidation>
    <dataValidation type="list" allowBlank="1" showErrorMessage="1" sqref="O61:O62">
      <formula1>#REF!</formula1>
    </dataValidation>
  </dataValidation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88"/>
    <col customWidth="1" min="2" max="3" width="14.0"/>
    <col customWidth="1" min="4" max="4" width="13.5"/>
    <col customWidth="1" min="5" max="5" width="5.0"/>
    <col customWidth="1" min="6" max="6" width="12.38"/>
    <col customWidth="1" min="7" max="7" width="11.5"/>
    <col customWidth="1" min="8" max="8" width="45.0"/>
    <col customWidth="1" min="9" max="9" width="16.13"/>
    <col customWidth="1" min="10" max="10" width="12.5"/>
    <col customWidth="1" min="11" max="11" width="14.13"/>
    <col customWidth="1" min="12" max="12" width="23.0"/>
    <col customWidth="1" min="13" max="13" width="48.5"/>
  </cols>
  <sheetData>
    <row r="1" ht="13.5" customHeight="1">
      <c r="A1" s="1"/>
      <c r="B1" s="2"/>
      <c r="C1" s="2"/>
      <c r="D1" s="3"/>
      <c r="E1" s="4"/>
      <c r="F1" s="5"/>
      <c r="G1" s="6"/>
      <c r="H1" s="6"/>
      <c r="I1" s="6"/>
      <c r="J1" s="6"/>
      <c r="K1" s="7"/>
      <c r="L1" s="8" t="s">
        <v>0</v>
      </c>
      <c r="M1" s="9" t="s">
        <v>1</v>
      </c>
    </row>
    <row r="2" ht="13.5" customHeight="1">
      <c r="A2" s="10"/>
      <c r="B2" s="11"/>
      <c r="C2" s="11"/>
      <c r="D2" s="11"/>
      <c r="E2" s="12"/>
      <c r="F2" s="7"/>
      <c r="G2" s="7"/>
      <c r="H2" s="165" t="s">
        <v>102</v>
      </c>
      <c r="I2" s="7"/>
      <c r="J2" s="7"/>
      <c r="K2" s="7"/>
      <c r="L2" s="8" t="s">
        <v>3</v>
      </c>
      <c r="M2" s="9">
        <v>1.0</v>
      </c>
    </row>
    <row r="3" ht="13.5" customHeight="1">
      <c r="A3" s="10"/>
      <c r="B3" s="11"/>
      <c r="C3" s="11"/>
      <c r="D3" s="11"/>
      <c r="E3" s="12"/>
      <c r="F3" s="7"/>
      <c r="G3" s="7"/>
      <c r="H3" s="7"/>
      <c r="I3" s="7"/>
      <c r="J3" s="7"/>
      <c r="K3" s="7"/>
      <c r="L3" s="14" t="s">
        <v>4</v>
      </c>
      <c r="M3" s="166">
        <v>45750.0</v>
      </c>
    </row>
    <row r="4" ht="33.0" customHeight="1">
      <c r="A4" s="25" t="s">
        <v>5</v>
      </c>
      <c r="B4" s="26" t="s">
        <v>6</v>
      </c>
      <c r="C4" s="26" t="s">
        <v>7</v>
      </c>
      <c r="D4" s="27" t="s">
        <v>9</v>
      </c>
      <c r="E4" s="28" t="s">
        <v>10</v>
      </c>
      <c r="F4" s="25" t="s">
        <v>11</v>
      </c>
      <c r="G4" s="25" t="s">
        <v>12</v>
      </c>
      <c r="H4" s="25" t="s">
        <v>13</v>
      </c>
      <c r="I4" s="29" t="s">
        <v>16</v>
      </c>
      <c r="J4" s="29" t="s">
        <v>17</v>
      </c>
      <c r="K4" s="30" t="s">
        <v>18</v>
      </c>
      <c r="L4" s="31" t="s">
        <v>19</v>
      </c>
      <c r="M4" s="26" t="s">
        <v>20</v>
      </c>
    </row>
    <row r="5" ht="15.75" customHeight="1">
      <c r="A5" s="54">
        <f t="shared" ref="A5:A231" si="1">D5-TODAY()</f>
        <v>-385</v>
      </c>
      <c r="B5" s="71" t="s">
        <v>38</v>
      </c>
      <c r="C5" s="71" t="s">
        <v>22</v>
      </c>
      <c r="D5" s="72">
        <v>45663.0</v>
      </c>
      <c r="E5" s="58">
        <f>MONTH('BOLETAS 2025'!$D5)</f>
        <v>1</v>
      </c>
      <c r="F5" s="73">
        <v>1840257.0</v>
      </c>
      <c r="G5" s="73" t="s">
        <v>103</v>
      </c>
      <c r="H5" s="73" t="s">
        <v>104</v>
      </c>
      <c r="I5" s="74">
        <v>20000.0</v>
      </c>
      <c r="J5" s="61" t="s">
        <v>25</v>
      </c>
      <c r="K5" s="75" t="s">
        <v>35</v>
      </c>
      <c r="L5" s="85" t="s">
        <v>105</v>
      </c>
      <c r="M5" s="64"/>
    </row>
    <row r="6" ht="15.75" customHeight="1">
      <c r="A6" s="44">
        <f t="shared" si="1"/>
        <v>-381</v>
      </c>
      <c r="B6" s="76" t="s">
        <v>38</v>
      </c>
      <c r="C6" s="76" t="s">
        <v>22</v>
      </c>
      <c r="D6" s="78">
        <v>45667.0</v>
      </c>
      <c r="E6" s="47">
        <f>MONTH('BOLETAS 2025'!$D6)</f>
        <v>1</v>
      </c>
      <c r="F6" s="79">
        <v>1843124.0</v>
      </c>
      <c r="G6" s="79" t="s">
        <v>103</v>
      </c>
      <c r="H6" s="79" t="s">
        <v>104</v>
      </c>
      <c r="I6" s="80">
        <v>20000.0</v>
      </c>
      <c r="J6" s="50" t="s">
        <v>25</v>
      </c>
      <c r="K6" s="81" t="s">
        <v>35</v>
      </c>
      <c r="L6" s="83" t="s">
        <v>105</v>
      </c>
      <c r="M6" s="53"/>
    </row>
    <row r="7" ht="15.75" customHeight="1">
      <c r="A7" s="54">
        <f t="shared" si="1"/>
        <v>-375</v>
      </c>
      <c r="B7" s="71" t="s">
        <v>38</v>
      </c>
      <c r="C7" s="71" t="s">
        <v>22</v>
      </c>
      <c r="D7" s="72">
        <v>45673.0</v>
      </c>
      <c r="E7" s="58">
        <f>MONTH('BOLETAS 2025'!$D7)</f>
        <v>1</v>
      </c>
      <c r="F7" s="73">
        <v>1846498.0</v>
      </c>
      <c r="G7" s="73" t="s">
        <v>103</v>
      </c>
      <c r="H7" s="73" t="s">
        <v>104</v>
      </c>
      <c r="I7" s="74">
        <v>20000.0</v>
      </c>
      <c r="J7" s="61" t="s">
        <v>25</v>
      </c>
      <c r="K7" s="75" t="s">
        <v>26</v>
      </c>
      <c r="L7" s="85" t="s">
        <v>105</v>
      </c>
      <c r="M7" s="64"/>
    </row>
    <row r="8" ht="15.75" customHeight="1">
      <c r="A8" s="44">
        <f t="shared" si="1"/>
        <v>-369</v>
      </c>
      <c r="B8" s="76" t="s">
        <v>38</v>
      </c>
      <c r="C8" s="76" t="s">
        <v>22</v>
      </c>
      <c r="D8" s="78">
        <v>45679.0</v>
      </c>
      <c r="E8" s="47">
        <f>MONTH('BOLETAS 2025'!$D8)</f>
        <v>1</v>
      </c>
      <c r="F8" s="79">
        <v>1851121.0</v>
      </c>
      <c r="G8" s="79" t="s">
        <v>103</v>
      </c>
      <c r="H8" s="79" t="s">
        <v>104</v>
      </c>
      <c r="I8" s="80">
        <v>20000.0</v>
      </c>
      <c r="J8" s="50" t="s">
        <v>25</v>
      </c>
      <c r="K8" s="81" t="s">
        <v>26</v>
      </c>
      <c r="L8" s="83" t="s">
        <v>105</v>
      </c>
      <c r="M8" s="53"/>
    </row>
    <row r="9" ht="15.75" customHeight="1">
      <c r="A9" s="54">
        <f t="shared" si="1"/>
        <v>-367</v>
      </c>
      <c r="B9" s="71" t="s">
        <v>38</v>
      </c>
      <c r="C9" s="71" t="s">
        <v>22</v>
      </c>
      <c r="D9" s="72">
        <v>45681.0</v>
      </c>
      <c r="E9" s="58">
        <f>MONTH('BOLETAS 2025'!$D9)</f>
        <v>1</v>
      </c>
      <c r="F9" s="73">
        <v>2983224.0</v>
      </c>
      <c r="G9" s="73" t="s">
        <v>106</v>
      </c>
      <c r="H9" s="73" t="s">
        <v>104</v>
      </c>
      <c r="I9" s="74">
        <v>20000.0</v>
      </c>
      <c r="J9" s="61" t="s">
        <v>25</v>
      </c>
      <c r="K9" s="75" t="s">
        <v>35</v>
      </c>
      <c r="L9" s="85" t="s">
        <v>105</v>
      </c>
      <c r="M9" s="64"/>
    </row>
    <row r="10" ht="15.75" customHeight="1">
      <c r="A10" s="44">
        <f t="shared" si="1"/>
        <v>-362</v>
      </c>
      <c r="B10" s="76" t="s">
        <v>38</v>
      </c>
      <c r="C10" s="76" t="s">
        <v>22</v>
      </c>
      <c r="D10" s="78">
        <v>45686.0</v>
      </c>
      <c r="E10" s="47">
        <f>MONTH('BOLETAS 2025'!$D10)</f>
        <v>1</v>
      </c>
      <c r="F10" s="79">
        <v>1855115.0</v>
      </c>
      <c r="G10" s="79" t="s">
        <v>103</v>
      </c>
      <c r="H10" s="79" t="s">
        <v>104</v>
      </c>
      <c r="I10" s="80">
        <v>20000.0</v>
      </c>
      <c r="J10" s="50" t="s">
        <v>25</v>
      </c>
      <c r="K10" s="81" t="s">
        <v>35</v>
      </c>
      <c r="L10" s="83" t="s">
        <v>105</v>
      </c>
      <c r="M10" s="53"/>
    </row>
    <row r="11" ht="15.75" customHeight="1">
      <c r="A11" s="54">
        <f t="shared" si="1"/>
        <v>-359</v>
      </c>
      <c r="B11" s="71" t="s">
        <v>38</v>
      </c>
      <c r="C11" s="71" t="s">
        <v>22</v>
      </c>
      <c r="D11" s="72">
        <v>45689.0</v>
      </c>
      <c r="E11" s="58">
        <f>MONTH('BOLETAS 2025'!$D11)</f>
        <v>2</v>
      </c>
      <c r="F11" s="73">
        <v>2.3752985E7</v>
      </c>
      <c r="G11" s="73" t="s">
        <v>107</v>
      </c>
      <c r="H11" s="73" t="s">
        <v>108</v>
      </c>
      <c r="I11" s="74">
        <v>20000.0</v>
      </c>
      <c r="J11" s="61" t="s">
        <v>25</v>
      </c>
      <c r="K11" s="75" t="s">
        <v>26</v>
      </c>
      <c r="L11" s="85" t="s">
        <v>105</v>
      </c>
      <c r="M11" s="64"/>
    </row>
    <row r="12" ht="15.75" customHeight="1">
      <c r="A12" s="44">
        <f t="shared" si="1"/>
        <v>-354</v>
      </c>
      <c r="B12" s="76" t="s">
        <v>38</v>
      </c>
      <c r="C12" s="76" t="s">
        <v>22</v>
      </c>
      <c r="D12" s="78">
        <v>45694.0</v>
      </c>
      <c r="E12" s="47">
        <f>MONTH('BOLETAS 2025'!$D12)</f>
        <v>2</v>
      </c>
      <c r="F12" s="79">
        <v>461600.0</v>
      </c>
      <c r="G12" s="79" t="s">
        <v>109</v>
      </c>
      <c r="H12" s="79" t="s">
        <v>104</v>
      </c>
      <c r="I12" s="80">
        <v>20000.0</v>
      </c>
      <c r="J12" s="50" t="s">
        <v>25</v>
      </c>
      <c r="K12" s="81" t="s">
        <v>26</v>
      </c>
      <c r="L12" s="83" t="s">
        <v>105</v>
      </c>
      <c r="M12" s="53"/>
    </row>
    <row r="13" ht="15.75" customHeight="1">
      <c r="A13" s="54">
        <f t="shared" si="1"/>
        <v>-352</v>
      </c>
      <c r="B13" s="71" t="s">
        <v>38</v>
      </c>
      <c r="C13" s="71" t="s">
        <v>22</v>
      </c>
      <c r="D13" s="72">
        <v>45696.0</v>
      </c>
      <c r="E13" s="58">
        <f>MONTH('BOLETAS 2025'!$D13)</f>
        <v>2</v>
      </c>
      <c r="F13" s="73">
        <v>1.5796786E8</v>
      </c>
      <c r="G13" s="73" t="s">
        <v>110</v>
      </c>
      <c r="H13" s="73" t="s">
        <v>108</v>
      </c>
      <c r="I13" s="74">
        <v>20000.0</v>
      </c>
      <c r="J13" s="61" t="s">
        <v>25</v>
      </c>
      <c r="K13" s="75" t="s">
        <v>35</v>
      </c>
      <c r="L13" s="85" t="s">
        <v>105</v>
      </c>
      <c r="M13" s="64"/>
    </row>
    <row r="14" ht="15.75" customHeight="1">
      <c r="A14" s="44">
        <f t="shared" si="1"/>
        <v>-349</v>
      </c>
      <c r="B14" s="76" t="s">
        <v>38</v>
      </c>
      <c r="C14" s="76" t="s">
        <v>22</v>
      </c>
      <c r="D14" s="78">
        <v>45699.0</v>
      </c>
      <c r="E14" s="47">
        <f>MONTH('BOLETAS 2025'!$D14)</f>
        <v>2</v>
      </c>
      <c r="F14" s="79">
        <v>1864379.0</v>
      </c>
      <c r="G14" s="79" t="s">
        <v>103</v>
      </c>
      <c r="H14" s="79" t="s">
        <v>104</v>
      </c>
      <c r="I14" s="80">
        <v>20000.0</v>
      </c>
      <c r="J14" s="50" t="s">
        <v>25</v>
      </c>
      <c r="K14" s="81" t="s">
        <v>35</v>
      </c>
      <c r="L14" s="83" t="s">
        <v>105</v>
      </c>
      <c r="M14" s="53"/>
    </row>
    <row r="15" ht="15.75" customHeight="1">
      <c r="A15" s="54">
        <f t="shared" si="1"/>
        <v>-347</v>
      </c>
      <c r="B15" s="71" t="s">
        <v>38</v>
      </c>
      <c r="C15" s="71" t="s">
        <v>22</v>
      </c>
      <c r="D15" s="72">
        <v>45701.0</v>
      </c>
      <c r="E15" s="58">
        <f>MONTH('BOLETAS 2025'!$D15)</f>
        <v>2</v>
      </c>
      <c r="F15" s="73">
        <v>3758597.0</v>
      </c>
      <c r="G15" s="73" t="s">
        <v>111</v>
      </c>
      <c r="H15" s="73" t="s">
        <v>104</v>
      </c>
      <c r="I15" s="74">
        <v>20000.0</v>
      </c>
      <c r="J15" s="61" t="s">
        <v>25</v>
      </c>
      <c r="K15" s="75" t="s">
        <v>35</v>
      </c>
      <c r="L15" s="85" t="s">
        <v>105</v>
      </c>
      <c r="M15" s="64"/>
    </row>
    <row r="16" ht="15.75" customHeight="1">
      <c r="A16" s="44">
        <f t="shared" si="1"/>
        <v>-345</v>
      </c>
      <c r="B16" s="76" t="s">
        <v>38</v>
      </c>
      <c r="C16" s="76" t="s">
        <v>22</v>
      </c>
      <c r="D16" s="78">
        <v>45703.0</v>
      </c>
      <c r="E16" s="47">
        <f>MONTH('BOLETAS 2025'!$D16)</f>
        <v>2</v>
      </c>
      <c r="F16" s="79">
        <v>1867122.0</v>
      </c>
      <c r="G16" s="79" t="s">
        <v>103</v>
      </c>
      <c r="H16" s="79" t="s">
        <v>104</v>
      </c>
      <c r="I16" s="80">
        <v>20000.0</v>
      </c>
      <c r="J16" s="50" t="s">
        <v>25</v>
      </c>
      <c r="K16" s="81" t="s">
        <v>35</v>
      </c>
      <c r="L16" s="83" t="s">
        <v>105</v>
      </c>
      <c r="M16" s="53"/>
    </row>
    <row r="17" ht="15.75" customHeight="1">
      <c r="A17" s="54">
        <f t="shared" si="1"/>
        <v>-343</v>
      </c>
      <c r="B17" s="71" t="s">
        <v>38</v>
      </c>
      <c r="C17" s="71" t="s">
        <v>22</v>
      </c>
      <c r="D17" s="72">
        <v>45705.0</v>
      </c>
      <c r="E17" s="58">
        <f>MONTH('BOLETAS 2025'!$D17)</f>
        <v>2</v>
      </c>
      <c r="F17" s="73">
        <v>2036592.0</v>
      </c>
      <c r="G17" s="73" t="s">
        <v>112</v>
      </c>
      <c r="H17" s="73" t="s">
        <v>104</v>
      </c>
      <c r="I17" s="74">
        <v>20000.0</v>
      </c>
      <c r="J17" s="61" t="s">
        <v>25</v>
      </c>
      <c r="K17" s="75" t="s">
        <v>35</v>
      </c>
      <c r="L17" s="85" t="s">
        <v>105</v>
      </c>
      <c r="M17" s="64"/>
    </row>
    <row r="18" ht="15.75" customHeight="1">
      <c r="A18" s="44">
        <f t="shared" si="1"/>
        <v>-341</v>
      </c>
      <c r="B18" s="76" t="s">
        <v>38</v>
      </c>
      <c r="C18" s="76" t="s">
        <v>22</v>
      </c>
      <c r="D18" s="78">
        <v>45707.0</v>
      </c>
      <c r="E18" s="47">
        <f>MONTH('BOLETAS 2025'!$D18)</f>
        <v>2</v>
      </c>
      <c r="F18" s="79">
        <v>470932.0</v>
      </c>
      <c r="G18" s="79" t="s">
        <v>109</v>
      </c>
      <c r="H18" s="79" t="s">
        <v>104</v>
      </c>
      <c r="I18" s="80">
        <v>20000.0</v>
      </c>
      <c r="J18" s="50" t="s">
        <v>25</v>
      </c>
      <c r="K18" s="81" t="s">
        <v>26</v>
      </c>
      <c r="L18" s="83" t="s">
        <v>105</v>
      </c>
      <c r="M18" s="53"/>
    </row>
    <row r="19" ht="15.75" customHeight="1">
      <c r="A19" s="54">
        <f t="shared" si="1"/>
        <v>-337</v>
      </c>
      <c r="B19" s="71" t="s">
        <v>38</v>
      </c>
      <c r="C19" s="71" t="s">
        <v>22</v>
      </c>
      <c r="D19" s="72">
        <v>45711.0</v>
      </c>
      <c r="E19" s="58">
        <f>MONTH('BOLETAS 2025'!$D19)</f>
        <v>2</v>
      </c>
      <c r="F19" s="73">
        <v>1871743.0</v>
      </c>
      <c r="G19" s="73" t="s">
        <v>103</v>
      </c>
      <c r="H19" s="73" t="s">
        <v>104</v>
      </c>
      <c r="I19" s="74">
        <v>20000.0</v>
      </c>
      <c r="J19" s="61" t="s">
        <v>25</v>
      </c>
      <c r="K19" s="75" t="s">
        <v>35</v>
      </c>
      <c r="L19" s="85" t="s">
        <v>105</v>
      </c>
      <c r="M19" s="64"/>
    </row>
    <row r="20" ht="15.75" customHeight="1">
      <c r="A20" s="44">
        <f t="shared" si="1"/>
        <v>-334</v>
      </c>
      <c r="B20" s="76" t="s">
        <v>38</v>
      </c>
      <c r="C20" s="76" t="s">
        <v>22</v>
      </c>
      <c r="D20" s="78">
        <v>45714.0</v>
      </c>
      <c r="E20" s="47">
        <f>MONTH('BOLETAS 2025'!$D20)</f>
        <v>2</v>
      </c>
      <c r="F20" s="79">
        <v>1874235.0</v>
      </c>
      <c r="G20" s="79" t="s">
        <v>103</v>
      </c>
      <c r="H20" s="79" t="s">
        <v>104</v>
      </c>
      <c r="I20" s="80">
        <v>20000.0</v>
      </c>
      <c r="J20" s="50" t="s">
        <v>25</v>
      </c>
      <c r="K20" s="81" t="s">
        <v>35</v>
      </c>
      <c r="L20" s="83" t="s">
        <v>105</v>
      </c>
      <c r="M20" s="53"/>
    </row>
    <row r="21" ht="15.75" customHeight="1">
      <c r="A21" s="54">
        <f t="shared" si="1"/>
        <v>-317</v>
      </c>
      <c r="B21" s="71" t="s">
        <v>38</v>
      </c>
      <c r="C21" s="71" t="s">
        <v>22</v>
      </c>
      <c r="D21" s="72">
        <v>45731.0</v>
      </c>
      <c r="E21" s="58">
        <f>MONTH('BOLETAS 2025'!$D21)</f>
        <v>3</v>
      </c>
      <c r="F21" s="73">
        <v>487639.0</v>
      </c>
      <c r="G21" s="73" t="s">
        <v>109</v>
      </c>
      <c r="H21" s="73" t="s">
        <v>104</v>
      </c>
      <c r="I21" s="74">
        <v>20000.0</v>
      </c>
      <c r="J21" s="61" t="s">
        <v>25</v>
      </c>
      <c r="K21" s="75" t="s">
        <v>26</v>
      </c>
      <c r="L21" s="85" t="s">
        <v>105</v>
      </c>
      <c r="M21" s="64"/>
    </row>
    <row r="22" ht="15.75" customHeight="1">
      <c r="A22" s="44">
        <f t="shared" si="1"/>
        <v>-305</v>
      </c>
      <c r="B22" s="76" t="s">
        <v>38</v>
      </c>
      <c r="C22" s="76" t="s">
        <v>22</v>
      </c>
      <c r="D22" s="78">
        <v>45743.0</v>
      </c>
      <c r="E22" s="47">
        <f>MONTH('BOLETAS 2025'!$D22)</f>
        <v>3</v>
      </c>
      <c r="F22" s="79">
        <v>3044835.0</v>
      </c>
      <c r="G22" s="79" t="s">
        <v>106</v>
      </c>
      <c r="H22" s="79" t="s">
        <v>104</v>
      </c>
      <c r="I22" s="80">
        <v>20000.0</v>
      </c>
      <c r="J22" s="50" t="s">
        <v>25</v>
      </c>
      <c r="K22" s="81" t="s">
        <v>26</v>
      </c>
      <c r="L22" s="83" t="s">
        <v>105</v>
      </c>
      <c r="M22" s="53"/>
    </row>
    <row r="23" ht="15.75" customHeight="1">
      <c r="A23" s="54">
        <f t="shared" si="1"/>
        <v>-309</v>
      </c>
      <c r="B23" s="71" t="s">
        <v>38</v>
      </c>
      <c r="C23" s="71" t="s">
        <v>22</v>
      </c>
      <c r="D23" s="72">
        <v>45739.0</v>
      </c>
      <c r="E23" s="58">
        <f>MONTH('BOLETAS 2025'!$D23)</f>
        <v>3</v>
      </c>
      <c r="F23" s="73"/>
      <c r="G23" s="73"/>
      <c r="H23" s="73"/>
      <c r="I23" s="74">
        <v>20000.0</v>
      </c>
      <c r="J23" s="61" t="s">
        <v>25</v>
      </c>
      <c r="K23" s="75" t="s">
        <v>26</v>
      </c>
      <c r="L23" s="85" t="s">
        <v>105</v>
      </c>
      <c r="M23" s="64"/>
    </row>
    <row r="24" ht="15.75" customHeight="1">
      <c r="A24" s="44">
        <f t="shared" si="1"/>
        <v>-279</v>
      </c>
      <c r="B24" s="76" t="s">
        <v>38</v>
      </c>
      <c r="C24" s="76" t="s">
        <v>49</v>
      </c>
      <c r="D24" s="78">
        <v>45769.0</v>
      </c>
      <c r="E24" s="47">
        <f>MONTH('BOLETAS 2025'!$D24)</f>
        <v>4</v>
      </c>
      <c r="F24" s="79">
        <v>1.0865913E7</v>
      </c>
      <c r="G24" s="79" t="s">
        <v>113</v>
      </c>
      <c r="H24" s="79" t="s">
        <v>114</v>
      </c>
      <c r="I24" s="80">
        <v>7496.0</v>
      </c>
      <c r="J24" s="50" t="s">
        <v>25</v>
      </c>
      <c r="K24" s="81" t="s">
        <v>35</v>
      </c>
      <c r="L24" s="83" t="s">
        <v>27</v>
      </c>
      <c r="M24" s="53"/>
    </row>
    <row r="25" ht="15.75" customHeight="1">
      <c r="A25" s="54">
        <f t="shared" si="1"/>
        <v>-264</v>
      </c>
      <c r="B25" s="71" t="s">
        <v>38</v>
      </c>
      <c r="C25" s="71" t="s">
        <v>22</v>
      </c>
      <c r="D25" s="72">
        <v>45784.0</v>
      </c>
      <c r="E25" s="58">
        <f>MONTH('BOLETAS 2025'!$D25)</f>
        <v>5</v>
      </c>
      <c r="F25" s="73">
        <v>1.0869319E7</v>
      </c>
      <c r="G25" s="73" t="s">
        <v>113</v>
      </c>
      <c r="H25" s="73" t="s">
        <v>114</v>
      </c>
      <c r="I25" s="74">
        <v>9587.0</v>
      </c>
      <c r="J25" s="61" t="s">
        <v>25</v>
      </c>
      <c r="K25" s="75" t="s">
        <v>35</v>
      </c>
      <c r="L25" s="85" t="s">
        <v>27</v>
      </c>
      <c r="M25" s="64"/>
    </row>
    <row r="26" ht="15.75" customHeight="1">
      <c r="A26" s="44">
        <f t="shared" si="1"/>
        <v>-252</v>
      </c>
      <c r="B26" s="76" t="s">
        <v>38</v>
      </c>
      <c r="C26" s="76" t="s">
        <v>22</v>
      </c>
      <c r="D26" s="78">
        <v>45796.0</v>
      </c>
      <c r="E26" s="47">
        <f>MONTH('BOLETAS 2025'!$D26)</f>
        <v>5</v>
      </c>
      <c r="F26" s="79">
        <v>1.0872384E7</v>
      </c>
      <c r="G26" s="79">
        <v>8.8192384E7</v>
      </c>
      <c r="H26" s="79" t="s">
        <v>114</v>
      </c>
      <c r="I26" s="80">
        <v>9587.0</v>
      </c>
      <c r="J26" s="50" t="s">
        <v>25</v>
      </c>
      <c r="K26" s="81" t="s">
        <v>35</v>
      </c>
      <c r="L26" s="83" t="s">
        <v>27</v>
      </c>
      <c r="M26" s="53"/>
    </row>
    <row r="27" ht="15.75" customHeight="1">
      <c r="A27" s="54">
        <f t="shared" si="1"/>
        <v>-192</v>
      </c>
      <c r="B27" s="71" t="s">
        <v>38</v>
      </c>
      <c r="C27" s="71" t="s">
        <v>22</v>
      </c>
      <c r="D27" s="72">
        <v>45856.0</v>
      </c>
      <c r="E27" s="58">
        <f>MONTH('BOLETAS 2025'!$D27)</f>
        <v>7</v>
      </c>
      <c r="F27" s="73">
        <v>1.0886513E7</v>
      </c>
      <c r="G27" s="73">
        <v>8.81929007E8</v>
      </c>
      <c r="H27" s="73" t="s">
        <v>115</v>
      </c>
      <c r="I27" s="74">
        <v>7130.0</v>
      </c>
      <c r="J27" s="61" t="s">
        <v>25</v>
      </c>
      <c r="K27" s="75" t="s">
        <v>35</v>
      </c>
      <c r="L27" s="85" t="s">
        <v>27</v>
      </c>
      <c r="M27" s="64"/>
    </row>
    <row r="28" ht="15.75" customHeight="1">
      <c r="A28" s="44">
        <f t="shared" si="1"/>
        <v>-385</v>
      </c>
      <c r="B28" s="76" t="s">
        <v>38</v>
      </c>
      <c r="C28" s="76" t="s">
        <v>22</v>
      </c>
      <c r="D28" s="78">
        <v>45663.0</v>
      </c>
      <c r="E28" s="47">
        <f>MONTH('BOLETAS 2025'!$D28)</f>
        <v>1</v>
      </c>
      <c r="F28" s="79">
        <v>2.34524478E8</v>
      </c>
      <c r="G28" s="79">
        <v>5.9113305E7</v>
      </c>
      <c r="H28" s="79" t="s">
        <v>116</v>
      </c>
      <c r="I28" s="80">
        <v>6570.0</v>
      </c>
      <c r="J28" s="50" t="s">
        <v>25</v>
      </c>
      <c r="K28" s="81" t="s">
        <v>26</v>
      </c>
      <c r="L28" s="83" t="s">
        <v>27</v>
      </c>
      <c r="M28" s="53"/>
    </row>
    <row r="29" ht="15.75" customHeight="1">
      <c r="A29" s="54">
        <f t="shared" si="1"/>
        <v>-376</v>
      </c>
      <c r="B29" s="71" t="s">
        <v>38</v>
      </c>
      <c r="C29" s="71" t="s">
        <v>22</v>
      </c>
      <c r="D29" s="72">
        <v>45672.0</v>
      </c>
      <c r="E29" s="58">
        <f>MONTH('BOLETAS 2025'!$D29)</f>
        <v>1</v>
      </c>
      <c r="F29" s="73">
        <v>7.4708079E7</v>
      </c>
      <c r="G29" s="73">
        <v>9.68111302E8</v>
      </c>
      <c r="H29" s="73" t="s">
        <v>117</v>
      </c>
      <c r="I29" s="74">
        <v>10520.0</v>
      </c>
      <c r="J29" s="61" t="s">
        <v>25</v>
      </c>
      <c r="K29" s="75"/>
      <c r="L29" s="85" t="s">
        <v>27</v>
      </c>
      <c r="M29" s="64"/>
    </row>
    <row r="30" ht="15.75" customHeight="1">
      <c r="A30" s="44">
        <f t="shared" si="1"/>
        <v>-373</v>
      </c>
      <c r="B30" s="76" t="s">
        <v>38</v>
      </c>
      <c r="C30" s="76" t="s">
        <v>22</v>
      </c>
      <c r="D30" s="78">
        <v>45675.0</v>
      </c>
      <c r="E30" s="47">
        <f>MONTH('BOLETAS 2025'!$D30)</f>
        <v>1</v>
      </c>
      <c r="F30" s="79">
        <v>1.093884396E9</v>
      </c>
      <c r="G30" s="79"/>
      <c r="H30" s="79" t="s">
        <v>53</v>
      </c>
      <c r="I30" s="80">
        <v>10062.0</v>
      </c>
      <c r="J30" s="50" t="s">
        <v>25</v>
      </c>
      <c r="K30" s="81" t="s">
        <v>26</v>
      </c>
      <c r="L30" s="83" t="s">
        <v>27</v>
      </c>
      <c r="M30" s="53"/>
    </row>
    <row r="31" ht="15.75" customHeight="1">
      <c r="A31" s="54">
        <f t="shared" si="1"/>
        <v>-372</v>
      </c>
      <c r="B31" s="71" t="s">
        <v>38</v>
      </c>
      <c r="C31" s="71" t="s">
        <v>22</v>
      </c>
      <c r="D31" s="72">
        <v>45676.0</v>
      </c>
      <c r="E31" s="58">
        <f>MONTH('BOLETAS 2025'!$D31)</f>
        <v>1</v>
      </c>
      <c r="F31" s="73">
        <v>5373.0</v>
      </c>
      <c r="G31" s="73">
        <v>7.72790058E8</v>
      </c>
      <c r="H31" s="73" t="s">
        <v>118</v>
      </c>
      <c r="I31" s="74">
        <v>10945.0</v>
      </c>
      <c r="J31" s="61" t="s">
        <v>25</v>
      </c>
      <c r="K31" s="75" t="s">
        <v>26</v>
      </c>
      <c r="L31" s="85" t="s">
        <v>27</v>
      </c>
      <c r="M31" s="64"/>
    </row>
    <row r="32" ht="15.75" customHeight="1">
      <c r="A32" s="44">
        <f t="shared" si="1"/>
        <v>-370</v>
      </c>
      <c r="B32" s="76" t="s">
        <v>38</v>
      </c>
      <c r="C32" s="76" t="s">
        <v>22</v>
      </c>
      <c r="D32" s="78">
        <v>45678.0</v>
      </c>
      <c r="E32" s="47">
        <f>MONTH('BOLETAS 2025'!$D32)</f>
        <v>1</v>
      </c>
      <c r="F32" s="79">
        <v>8.0435442E7</v>
      </c>
      <c r="G32" s="79">
        <v>9.68111302E8</v>
      </c>
      <c r="H32" s="79" t="s">
        <v>117</v>
      </c>
      <c r="I32" s="80">
        <v>5070.0</v>
      </c>
      <c r="J32" s="50" t="s">
        <v>25</v>
      </c>
      <c r="K32" s="81" t="s">
        <v>30</v>
      </c>
      <c r="L32" s="83" t="s">
        <v>27</v>
      </c>
      <c r="M32" s="53"/>
    </row>
    <row r="33" ht="15.75" customHeight="1">
      <c r="A33" s="54">
        <f t="shared" si="1"/>
        <v>-370</v>
      </c>
      <c r="B33" s="71" t="s">
        <v>38</v>
      </c>
      <c r="C33" s="71" t="s">
        <v>22</v>
      </c>
      <c r="D33" s="72">
        <v>45678.0</v>
      </c>
      <c r="E33" s="58">
        <f>MONTH('BOLETAS 2025'!$D33)</f>
        <v>1</v>
      </c>
      <c r="F33" s="73">
        <v>2056.0</v>
      </c>
      <c r="G33" s="73">
        <v>7.80442174E8</v>
      </c>
      <c r="H33" s="73" t="s">
        <v>119</v>
      </c>
      <c r="I33" s="74">
        <v>12000.0</v>
      </c>
      <c r="J33" s="61" t="s">
        <v>25</v>
      </c>
      <c r="K33" s="75" t="s">
        <v>26</v>
      </c>
      <c r="L33" s="85" t="s">
        <v>27</v>
      </c>
      <c r="M33" s="64"/>
    </row>
    <row r="34" ht="15.75" customHeight="1">
      <c r="A34" s="44">
        <f t="shared" si="1"/>
        <v>-363</v>
      </c>
      <c r="B34" s="76" t="s">
        <v>38</v>
      </c>
      <c r="C34" s="76" t="s">
        <v>22</v>
      </c>
      <c r="D34" s="78">
        <v>45685.0</v>
      </c>
      <c r="E34" s="47">
        <f>MONTH('BOLETAS 2025'!$D34)</f>
        <v>1</v>
      </c>
      <c r="F34" s="79">
        <v>2093276.0</v>
      </c>
      <c r="G34" s="79">
        <v>7.61670239E8</v>
      </c>
      <c r="H34" s="79" t="s">
        <v>120</v>
      </c>
      <c r="I34" s="80">
        <v>3493.0</v>
      </c>
      <c r="J34" s="50" t="s">
        <v>25</v>
      </c>
      <c r="K34" s="81" t="s">
        <v>26</v>
      </c>
      <c r="L34" s="83" t="s">
        <v>27</v>
      </c>
      <c r="M34" s="53"/>
    </row>
    <row r="35" ht="15.75" customHeight="1">
      <c r="A35" s="54">
        <f t="shared" si="1"/>
        <v>-361</v>
      </c>
      <c r="B35" s="71" t="s">
        <v>38</v>
      </c>
      <c r="C35" s="71" t="s">
        <v>22</v>
      </c>
      <c r="D35" s="72">
        <v>45687.0</v>
      </c>
      <c r="E35" s="58">
        <f>MONTH('BOLETAS 2025'!$D35)</f>
        <v>1</v>
      </c>
      <c r="F35" s="73">
        <v>1.163313031E9</v>
      </c>
      <c r="G35" s="73">
        <v>7.61349465E8</v>
      </c>
      <c r="H35" s="73" t="s">
        <v>53</v>
      </c>
      <c r="I35" s="74">
        <v>112257.0</v>
      </c>
      <c r="J35" s="61" t="s">
        <v>25</v>
      </c>
      <c r="K35" s="75" t="s">
        <v>26</v>
      </c>
      <c r="L35" s="85" t="s">
        <v>27</v>
      </c>
      <c r="M35" s="64"/>
    </row>
    <row r="36" ht="15.75" customHeight="1">
      <c r="A36" s="44">
        <f t="shared" si="1"/>
        <v>-361</v>
      </c>
      <c r="B36" s="76" t="s">
        <v>38</v>
      </c>
      <c r="C36" s="76" t="s">
        <v>22</v>
      </c>
      <c r="D36" s="78">
        <v>45687.0</v>
      </c>
      <c r="E36" s="47">
        <f>MONTH('BOLETAS 2025'!$D36)</f>
        <v>1</v>
      </c>
      <c r="F36" s="79">
        <v>2093382.0</v>
      </c>
      <c r="G36" s="79">
        <v>7.61670239E8</v>
      </c>
      <c r="H36" s="79" t="s">
        <v>120</v>
      </c>
      <c r="I36" s="80">
        <v>3290.0</v>
      </c>
      <c r="J36" s="50" t="s">
        <v>25</v>
      </c>
      <c r="K36" s="81" t="s">
        <v>26</v>
      </c>
      <c r="L36" s="83" t="s">
        <v>27</v>
      </c>
      <c r="M36" s="53"/>
    </row>
    <row r="37" ht="15.75" customHeight="1">
      <c r="A37" s="54">
        <f t="shared" si="1"/>
        <v>-369</v>
      </c>
      <c r="B37" s="71" t="s">
        <v>38</v>
      </c>
      <c r="C37" s="71" t="s">
        <v>22</v>
      </c>
      <c r="D37" s="72">
        <v>45679.0</v>
      </c>
      <c r="E37" s="58">
        <f>MONTH('BOLETAS 2025'!$D37)</f>
        <v>1</v>
      </c>
      <c r="F37" s="73">
        <v>1.163342542E9</v>
      </c>
      <c r="G37" s="73" t="s">
        <v>52</v>
      </c>
      <c r="H37" s="73" t="s">
        <v>53</v>
      </c>
      <c r="I37" s="74">
        <v>47624.0</v>
      </c>
      <c r="J37" s="61" t="s">
        <v>25</v>
      </c>
      <c r="K37" s="75" t="s">
        <v>35</v>
      </c>
      <c r="L37" s="85" t="s">
        <v>27</v>
      </c>
      <c r="M37" s="64"/>
    </row>
    <row r="38" ht="15.75" customHeight="1">
      <c r="A38" s="44">
        <f t="shared" si="1"/>
        <v>-367</v>
      </c>
      <c r="B38" s="76" t="s">
        <v>38</v>
      </c>
      <c r="C38" s="76" t="s">
        <v>22</v>
      </c>
      <c r="D38" s="78">
        <v>45681.0</v>
      </c>
      <c r="E38" s="47">
        <f>MONTH('BOLETAS 2025'!$D38)</f>
        <v>1</v>
      </c>
      <c r="F38" s="79">
        <v>2.985085556E9</v>
      </c>
      <c r="G38" s="79" t="s">
        <v>121</v>
      </c>
      <c r="H38" s="79" t="s">
        <v>122</v>
      </c>
      <c r="I38" s="80">
        <v>52418.0</v>
      </c>
      <c r="J38" s="50" t="s">
        <v>25</v>
      </c>
      <c r="K38" s="81" t="s">
        <v>26</v>
      </c>
      <c r="L38" s="83" t="s">
        <v>27</v>
      </c>
      <c r="M38" s="53"/>
    </row>
    <row r="39" ht="15.75" customHeight="1">
      <c r="A39" s="54">
        <f t="shared" si="1"/>
        <v>-369</v>
      </c>
      <c r="B39" s="71" t="s">
        <v>38</v>
      </c>
      <c r="C39" s="71" t="s">
        <v>22</v>
      </c>
      <c r="D39" s="72">
        <v>45679.0</v>
      </c>
      <c r="E39" s="58">
        <f>MONTH('BOLETAS 2025'!$D39)</f>
        <v>1</v>
      </c>
      <c r="F39" s="73">
        <v>246458.0</v>
      </c>
      <c r="G39" s="73">
        <v>8.98072002E8</v>
      </c>
      <c r="H39" s="73" t="s">
        <v>123</v>
      </c>
      <c r="I39" s="74">
        <v>7383.0</v>
      </c>
      <c r="J39" s="61" t="s">
        <v>25</v>
      </c>
      <c r="K39" s="75" t="s">
        <v>26</v>
      </c>
      <c r="L39" s="85" t="s">
        <v>27</v>
      </c>
      <c r="M39" s="64"/>
    </row>
    <row r="40" ht="15.75" customHeight="1">
      <c r="A40" s="44">
        <f t="shared" si="1"/>
        <v>-359</v>
      </c>
      <c r="B40" s="76" t="s">
        <v>38</v>
      </c>
      <c r="C40" s="76" t="s">
        <v>22</v>
      </c>
      <c r="D40" s="78">
        <v>45689.0</v>
      </c>
      <c r="E40" s="47">
        <f>MONTH('BOLETAS 2025'!$D40)</f>
        <v>2</v>
      </c>
      <c r="F40" s="79">
        <v>44042.0</v>
      </c>
      <c r="G40" s="79" t="s">
        <v>124</v>
      </c>
      <c r="H40" s="79" t="s">
        <v>125</v>
      </c>
      <c r="I40" s="80">
        <v>2600.0</v>
      </c>
      <c r="J40" s="50" t="s">
        <v>25</v>
      </c>
      <c r="K40" s="81" t="s">
        <v>26</v>
      </c>
      <c r="L40" s="83" t="s">
        <v>27</v>
      </c>
      <c r="M40" s="53"/>
    </row>
    <row r="41" ht="15.75" customHeight="1">
      <c r="A41" s="54">
        <f t="shared" si="1"/>
        <v>-359</v>
      </c>
      <c r="B41" s="71" t="s">
        <v>38</v>
      </c>
      <c r="C41" s="71" t="s">
        <v>22</v>
      </c>
      <c r="D41" s="72">
        <v>45689.0</v>
      </c>
      <c r="E41" s="58">
        <f>MONTH('BOLETAS 2025'!$D41)</f>
        <v>2</v>
      </c>
      <c r="F41" s="59"/>
      <c r="G41" s="59"/>
      <c r="H41" s="59"/>
      <c r="I41" s="74">
        <v>5000.0</v>
      </c>
      <c r="J41" s="61" t="s">
        <v>25</v>
      </c>
      <c r="K41" s="62"/>
      <c r="L41" s="85" t="s">
        <v>27</v>
      </c>
      <c r="M41" s="64"/>
    </row>
    <row r="42" ht="15.75" customHeight="1">
      <c r="A42" s="44">
        <f t="shared" si="1"/>
        <v>-359</v>
      </c>
      <c r="B42" s="76" t="s">
        <v>38</v>
      </c>
      <c r="C42" s="76" t="s">
        <v>22</v>
      </c>
      <c r="D42" s="78">
        <v>45689.0</v>
      </c>
      <c r="E42" s="47">
        <f>MONTH('BOLETAS 2025'!$D42)</f>
        <v>2</v>
      </c>
      <c r="F42" s="79">
        <v>7.7978686E7</v>
      </c>
      <c r="G42" s="79">
        <v>7.64333101E8</v>
      </c>
      <c r="H42" s="79" t="s">
        <v>126</v>
      </c>
      <c r="I42" s="80">
        <v>1650.0</v>
      </c>
      <c r="J42" s="50" t="s">
        <v>25</v>
      </c>
      <c r="K42" s="81" t="s">
        <v>26</v>
      </c>
      <c r="L42" s="83" t="s">
        <v>27</v>
      </c>
      <c r="M42" s="53"/>
    </row>
    <row r="43" ht="15.75" customHeight="1">
      <c r="A43" s="54">
        <f t="shared" si="1"/>
        <v>-358</v>
      </c>
      <c r="B43" s="71" t="s">
        <v>38</v>
      </c>
      <c r="C43" s="71" t="s">
        <v>22</v>
      </c>
      <c r="D43" s="72">
        <v>45690.0</v>
      </c>
      <c r="E43" s="58">
        <f>MONTH('BOLETAS 2025'!$D43)</f>
        <v>2</v>
      </c>
      <c r="F43" s="73">
        <v>34428.0</v>
      </c>
      <c r="G43" s="73">
        <v>9.68111302E8</v>
      </c>
      <c r="H43" s="73" t="s">
        <v>117</v>
      </c>
      <c r="I43" s="74">
        <v>1690.0</v>
      </c>
      <c r="J43" s="61" t="s">
        <v>25</v>
      </c>
      <c r="K43" s="75" t="s">
        <v>26</v>
      </c>
      <c r="L43" s="85" t="s">
        <v>27</v>
      </c>
      <c r="M43" s="64"/>
    </row>
    <row r="44" ht="15.75" customHeight="1">
      <c r="A44" s="44">
        <f t="shared" si="1"/>
        <v>-358</v>
      </c>
      <c r="B44" s="76" t="s">
        <v>38</v>
      </c>
      <c r="C44" s="76" t="s">
        <v>22</v>
      </c>
      <c r="D44" s="78">
        <v>45690.0</v>
      </c>
      <c r="E44" s="47">
        <f>MONTH('BOLETAS 2025'!$D44)</f>
        <v>2</v>
      </c>
      <c r="F44" s="79">
        <v>34427.0</v>
      </c>
      <c r="G44" s="79">
        <v>9.6811302E7</v>
      </c>
      <c r="H44" s="79" t="s">
        <v>117</v>
      </c>
      <c r="I44" s="80">
        <v>5290.0</v>
      </c>
      <c r="J44" s="50" t="s">
        <v>25</v>
      </c>
      <c r="K44" s="81" t="s">
        <v>26</v>
      </c>
      <c r="L44" s="83" t="s">
        <v>27</v>
      </c>
      <c r="M44" s="53"/>
    </row>
    <row r="45" ht="15.75" customHeight="1">
      <c r="A45" s="54">
        <f t="shared" si="1"/>
        <v>-357</v>
      </c>
      <c r="B45" s="71" t="s">
        <v>38</v>
      </c>
      <c r="C45" s="71" t="s">
        <v>22</v>
      </c>
      <c r="D45" s="72">
        <v>45691.0</v>
      </c>
      <c r="E45" s="58">
        <f>MONTH('BOLETAS 2025'!$D45)</f>
        <v>2</v>
      </c>
      <c r="F45" s="73">
        <v>19667.0</v>
      </c>
      <c r="G45" s="73">
        <v>8.98072002E8</v>
      </c>
      <c r="H45" s="73" t="s">
        <v>127</v>
      </c>
      <c r="I45" s="74">
        <v>1990.0</v>
      </c>
      <c r="J45" s="61" t="s">
        <v>25</v>
      </c>
      <c r="K45" s="75" t="s">
        <v>26</v>
      </c>
      <c r="L45" s="85" t="s">
        <v>27</v>
      </c>
      <c r="M45" s="64"/>
    </row>
    <row r="46" ht="15.75" customHeight="1">
      <c r="A46" s="44">
        <f t="shared" si="1"/>
        <v>-356</v>
      </c>
      <c r="B46" s="76" t="s">
        <v>38</v>
      </c>
      <c r="C46" s="76" t="s">
        <v>22</v>
      </c>
      <c r="D46" s="78">
        <v>45692.0</v>
      </c>
      <c r="E46" s="47">
        <f>MONTH('BOLETAS 2025'!$D46)</f>
        <v>2</v>
      </c>
      <c r="F46" s="79">
        <v>8.0439902E7</v>
      </c>
      <c r="G46" s="79">
        <v>9.68111302E8</v>
      </c>
      <c r="H46" s="79" t="s">
        <v>117</v>
      </c>
      <c r="I46" s="80">
        <v>5070.0</v>
      </c>
      <c r="J46" s="50" t="s">
        <v>25</v>
      </c>
      <c r="K46" s="51"/>
      <c r="L46" s="83" t="s">
        <v>27</v>
      </c>
      <c r="M46" s="53"/>
    </row>
    <row r="47" ht="15.75" customHeight="1">
      <c r="A47" s="54">
        <f t="shared" si="1"/>
        <v>-356</v>
      </c>
      <c r="B47" s="71" t="s">
        <v>38</v>
      </c>
      <c r="C47" s="71" t="s">
        <v>22</v>
      </c>
      <c r="D47" s="72">
        <v>45692.0</v>
      </c>
      <c r="E47" s="58">
        <f>MONTH('BOLETAS 2025'!$D47)</f>
        <v>2</v>
      </c>
      <c r="F47" s="73">
        <v>2.48925761E8</v>
      </c>
      <c r="G47" s="73">
        <v>7.65686601E8</v>
      </c>
      <c r="H47" s="73" t="s">
        <v>128</v>
      </c>
      <c r="I47" s="74">
        <v>5490.0</v>
      </c>
      <c r="J47" s="61" t="s">
        <v>25</v>
      </c>
      <c r="K47" s="75" t="s">
        <v>35</v>
      </c>
      <c r="L47" s="85" t="s">
        <v>27</v>
      </c>
      <c r="M47" s="64"/>
    </row>
    <row r="48" ht="15.75" customHeight="1">
      <c r="A48" s="44">
        <f t="shared" si="1"/>
        <v>-356</v>
      </c>
      <c r="B48" s="76" t="s">
        <v>38</v>
      </c>
      <c r="C48" s="76" t="s">
        <v>22</v>
      </c>
      <c r="D48" s="78">
        <v>45692.0</v>
      </c>
      <c r="E48" s="47">
        <f>MONTH('BOLETAS 2025'!$D48)</f>
        <v>2</v>
      </c>
      <c r="F48" s="79">
        <v>7.78743787E8</v>
      </c>
      <c r="G48" s="48"/>
      <c r="H48" s="79" t="s">
        <v>129</v>
      </c>
      <c r="I48" s="80">
        <v>4000.0</v>
      </c>
      <c r="J48" s="50" t="s">
        <v>25</v>
      </c>
      <c r="K48" s="81" t="s">
        <v>26</v>
      </c>
      <c r="L48" s="83" t="s">
        <v>27</v>
      </c>
      <c r="M48" s="53"/>
    </row>
    <row r="49" ht="15.75" customHeight="1">
      <c r="A49" s="54">
        <f t="shared" si="1"/>
        <v>-356</v>
      </c>
      <c r="B49" s="71" t="s">
        <v>38</v>
      </c>
      <c r="C49" s="71" t="s">
        <v>22</v>
      </c>
      <c r="D49" s="72">
        <v>45692.0</v>
      </c>
      <c r="E49" s="58">
        <f>MONTH('BOLETAS 2025'!$D49)</f>
        <v>2</v>
      </c>
      <c r="F49" s="73">
        <v>105045.0</v>
      </c>
      <c r="G49" s="73">
        <v>7.6645914E7</v>
      </c>
      <c r="H49" s="73" t="s">
        <v>130</v>
      </c>
      <c r="I49" s="74">
        <v>1600.0</v>
      </c>
      <c r="J49" s="61" t="s">
        <v>25</v>
      </c>
      <c r="K49" s="75" t="s">
        <v>26</v>
      </c>
      <c r="L49" s="85" t="s">
        <v>27</v>
      </c>
      <c r="M49" s="64"/>
    </row>
    <row r="50" ht="15.75" customHeight="1">
      <c r="A50" s="44">
        <f t="shared" si="1"/>
        <v>-355</v>
      </c>
      <c r="B50" s="76" t="s">
        <v>38</v>
      </c>
      <c r="C50" s="76" t="s">
        <v>22</v>
      </c>
      <c r="D50" s="78">
        <v>45693.0</v>
      </c>
      <c r="E50" s="47">
        <f>MONTH('BOLETAS 2025'!$D50)</f>
        <v>2</v>
      </c>
      <c r="F50" s="79">
        <v>311167.0</v>
      </c>
      <c r="G50" s="79">
        <v>1.59738388E8</v>
      </c>
      <c r="H50" s="79" t="s">
        <v>131</v>
      </c>
      <c r="I50" s="80">
        <v>12500.0</v>
      </c>
      <c r="J50" s="50" t="s">
        <v>25</v>
      </c>
      <c r="K50" s="81" t="s">
        <v>26</v>
      </c>
      <c r="L50" s="83" t="s">
        <v>27</v>
      </c>
      <c r="M50" s="53"/>
    </row>
    <row r="51" ht="15.75" customHeight="1">
      <c r="A51" s="54">
        <f t="shared" si="1"/>
        <v>-355</v>
      </c>
      <c r="B51" s="71" t="s">
        <v>38</v>
      </c>
      <c r="C51" s="71" t="s">
        <v>22</v>
      </c>
      <c r="D51" s="72">
        <v>45693.0</v>
      </c>
      <c r="E51" s="58">
        <f>MONTH('BOLETAS 2025'!$D51)</f>
        <v>2</v>
      </c>
      <c r="F51" s="73">
        <v>78739.0</v>
      </c>
      <c r="G51" s="73">
        <v>7.74219161E8</v>
      </c>
      <c r="H51" s="73" t="s">
        <v>132</v>
      </c>
      <c r="I51" s="74">
        <v>1350.0</v>
      </c>
      <c r="J51" s="61" t="s">
        <v>25</v>
      </c>
      <c r="K51" s="62"/>
      <c r="L51" s="85" t="s">
        <v>27</v>
      </c>
      <c r="M51" s="64"/>
    </row>
    <row r="52" ht="15.75" customHeight="1">
      <c r="A52" s="44">
        <f t="shared" si="1"/>
        <v>-353</v>
      </c>
      <c r="B52" s="76" t="s">
        <v>38</v>
      </c>
      <c r="C52" s="76" t="s">
        <v>22</v>
      </c>
      <c r="D52" s="78">
        <v>45695.0</v>
      </c>
      <c r="E52" s="47">
        <f>MONTH('BOLETAS 2025'!$D52)</f>
        <v>2</v>
      </c>
      <c r="F52" s="79">
        <v>25470.0</v>
      </c>
      <c r="G52" s="79">
        <v>8.37595002E8</v>
      </c>
      <c r="H52" s="79" t="s">
        <v>133</v>
      </c>
      <c r="I52" s="80">
        <v>10400.0</v>
      </c>
      <c r="J52" s="50" t="s">
        <v>25</v>
      </c>
      <c r="K52" s="81" t="s">
        <v>26</v>
      </c>
      <c r="L52" s="83" t="s">
        <v>27</v>
      </c>
      <c r="M52" s="53"/>
    </row>
    <row r="53" ht="15.75" customHeight="1">
      <c r="A53" s="54">
        <f t="shared" si="1"/>
        <v>-353</v>
      </c>
      <c r="B53" s="71" t="s">
        <v>38</v>
      </c>
      <c r="C53" s="71" t="s">
        <v>22</v>
      </c>
      <c r="D53" s="72">
        <v>45695.0</v>
      </c>
      <c r="E53" s="58">
        <f>MONTH('BOLETAS 2025'!$D53)</f>
        <v>2</v>
      </c>
      <c r="F53" s="73">
        <v>59.0</v>
      </c>
      <c r="G53" s="73">
        <v>7.71489478E8</v>
      </c>
      <c r="H53" s="73" t="s">
        <v>134</v>
      </c>
      <c r="I53" s="74">
        <v>2200.0</v>
      </c>
      <c r="J53" s="61" t="s">
        <v>25</v>
      </c>
      <c r="K53" s="75" t="s">
        <v>26</v>
      </c>
      <c r="L53" s="85" t="s">
        <v>27</v>
      </c>
      <c r="M53" s="64"/>
    </row>
    <row r="54" ht="15.75" customHeight="1">
      <c r="A54" s="44">
        <f t="shared" si="1"/>
        <v>-353</v>
      </c>
      <c r="B54" s="76" t="s">
        <v>38</v>
      </c>
      <c r="C54" s="76" t="s">
        <v>22</v>
      </c>
      <c r="D54" s="78">
        <v>45695.0</v>
      </c>
      <c r="E54" s="47">
        <f>MONTH('BOLETAS 2025'!$D54)</f>
        <v>2</v>
      </c>
      <c r="F54" s="79">
        <v>20381.0</v>
      </c>
      <c r="G54" s="79">
        <v>7.66378935E8</v>
      </c>
      <c r="H54" s="79" t="s">
        <v>135</v>
      </c>
      <c r="I54" s="80">
        <v>2900.0</v>
      </c>
      <c r="J54" s="50" t="s">
        <v>25</v>
      </c>
      <c r="K54" s="81" t="s">
        <v>26</v>
      </c>
      <c r="L54" s="83" t="s">
        <v>27</v>
      </c>
      <c r="M54" s="53"/>
    </row>
    <row r="55" ht="15.75" customHeight="1">
      <c r="A55" s="54">
        <f t="shared" si="1"/>
        <v>-353</v>
      </c>
      <c r="B55" s="71" t="s">
        <v>38</v>
      </c>
      <c r="C55" s="71" t="s">
        <v>22</v>
      </c>
      <c r="D55" s="72">
        <v>45695.0</v>
      </c>
      <c r="E55" s="58">
        <f>MONTH('BOLETAS 2025'!$D55)</f>
        <v>2</v>
      </c>
      <c r="F55" s="73">
        <v>566011.0</v>
      </c>
      <c r="G55" s="73">
        <v>9.69735E7</v>
      </c>
      <c r="H55" s="73" t="s">
        <v>136</v>
      </c>
      <c r="I55" s="74">
        <v>2000.0</v>
      </c>
      <c r="J55" s="61" t="s">
        <v>25</v>
      </c>
      <c r="K55" s="75" t="s">
        <v>26</v>
      </c>
      <c r="L55" s="85" t="s">
        <v>27</v>
      </c>
      <c r="M55" s="64"/>
    </row>
    <row r="56" ht="15.75" customHeight="1">
      <c r="A56" s="44">
        <f t="shared" si="1"/>
        <v>-353</v>
      </c>
      <c r="B56" s="76" t="s">
        <v>38</v>
      </c>
      <c r="C56" s="76" t="s">
        <v>22</v>
      </c>
      <c r="D56" s="78">
        <v>45695.0</v>
      </c>
      <c r="E56" s="47">
        <f>MONTH('BOLETAS 2025'!$D56)</f>
        <v>2</v>
      </c>
      <c r="F56" s="79">
        <v>93215.0</v>
      </c>
      <c r="G56" s="79">
        <v>6.4230085E7</v>
      </c>
      <c r="H56" s="79" t="s">
        <v>137</v>
      </c>
      <c r="I56" s="80">
        <v>1500.0</v>
      </c>
      <c r="J56" s="50" t="s">
        <v>25</v>
      </c>
      <c r="K56" s="81" t="s">
        <v>26</v>
      </c>
      <c r="L56" s="83" t="s">
        <v>27</v>
      </c>
      <c r="M56" s="53"/>
    </row>
    <row r="57" ht="15.75" customHeight="1">
      <c r="A57" s="54">
        <f t="shared" si="1"/>
        <v>-353</v>
      </c>
      <c r="B57" s="71" t="s">
        <v>38</v>
      </c>
      <c r="C57" s="71" t="s">
        <v>22</v>
      </c>
      <c r="D57" s="72">
        <v>45695.0</v>
      </c>
      <c r="E57" s="58">
        <f>MONTH('BOLETAS 2025'!$D57)</f>
        <v>2</v>
      </c>
      <c r="F57" s="73">
        <v>1.43587857E8</v>
      </c>
      <c r="G57" s="73">
        <v>6.90609002E8</v>
      </c>
      <c r="H57" s="73" t="s">
        <v>138</v>
      </c>
      <c r="I57" s="74">
        <v>2100.0</v>
      </c>
      <c r="J57" s="61" t="s">
        <v>25</v>
      </c>
      <c r="K57" s="75" t="s">
        <v>26</v>
      </c>
      <c r="L57" s="85" t="s">
        <v>27</v>
      </c>
      <c r="M57" s="64"/>
    </row>
    <row r="58" ht="15.75" customHeight="1">
      <c r="A58" s="44">
        <f t="shared" si="1"/>
        <v>-351</v>
      </c>
      <c r="B58" s="76" t="s">
        <v>38</v>
      </c>
      <c r="C58" s="76" t="s">
        <v>22</v>
      </c>
      <c r="D58" s="78">
        <v>45697.0</v>
      </c>
      <c r="E58" s="47">
        <f>MONTH('BOLETAS 2025'!$D58)</f>
        <v>2</v>
      </c>
      <c r="F58" s="79">
        <v>51356.0</v>
      </c>
      <c r="G58" s="79">
        <v>7.74985522E8</v>
      </c>
      <c r="H58" s="79" t="s">
        <v>139</v>
      </c>
      <c r="I58" s="80">
        <v>40700.0</v>
      </c>
      <c r="J58" s="50" t="s">
        <v>25</v>
      </c>
      <c r="K58" s="81" t="s">
        <v>26</v>
      </c>
      <c r="L58" s="83" t="s">
        <v>27</v>
      </c>
      <c r="M58" s="53"/>
    </row>
    <row r="59" ht="15.75" customHeight="1">
      <c r="A59" s="54">
        <f t="shared" si="1"/>
        <v>-351</v>
      </c>
      <c r="B59" s="71" t="s">
        <v>38</v>
      </c>
      <c r="C59" s="71" t="s">
        <v>22</v>
      </c>
      <c r="D59" s="72">
        <v>45697.0</v>
      </c>
      <c r="E59" s="58">
        <f>MONTH('BOLETAS 2025'!$D59)</f>
        <v>2</v>
      </c>
      <c r="F59" s="73">
        <v>75033.0</v>
      </c>
      <c r="G59" s="73">
        <v>7.78307677E8</v>
      </c>
      <c r="H59" s="73" t="s">
        <v>140</v>
      </c>
      <c r="I59" s="74">
        <v>39800.0</v>
      </c>
      <c r="J59" s="61" t="s">
        <v>25</v>
      </c>
      <c r="K59" s="62"/>
      <c r="L59" s="85" t="s">
        <v>27</v>
      </c>
      <c r="M59" s="64"/>
    </row>
    <row r="60" ht="15.75" customHeight="1">
      <c r="A60" s="44">
        <f t="shared" si="1"/>
        <v>-347</v>
      </c>
      <c r="B60" s="76" t="s">
        <v>38</v>
      </c>
      <c r="C60" s="76" t="s">
        <v>22</v>
      </c>
      <c r="D60" s="167">
        <v>45701.0</v>
      </c>
      <c r="E60" s="47">
        <f>MONTH('BOLETAS 2025'!$D60)</f>
        <v>2</v>
      </c>
      <c r="F60" s="79">
        <v>1.094045156E9</v>
      </c>
      <c r="G60" s="79" t="s">
        <v>52</v>
      </c>
      <c r="H60" s="79" t="s">
        <v>53</v>
      </c>
      <c r="I60" s="80">
        <v>50226.0</v>
      </c>
      <c r="J60" s="50" t="s">
        <v>25</v>
      </c>
      <c r="K60" s="81" t="s">
        <v>26</v>
      </c>
      <c r="L60" s="83" t="s">
        <v>27</v>
      </c>
      <c r="M60" s="53"/>
    </row>
    <row r="61" ht="15.75" customHeight="1">
      <c r="A61" s="54">
        <f t="shared" si="1"/>
        <v>-343</v>
      </c>
      <c r="B61" s="71" t="s">
        <v>38</v>
      </c>
      <c r="C61" s="71" t="s">
        <v>22</v>
      </c>
      <c r="D61" s="72">
        <v>45705.0</v>
      </c>
      <c r="E61" s="58">
        <f>MONTH('BOLETAS 2025'!$D61)</f>
        <v>2</v>
      </c>
      <c r="F61" s="73">
        <v>1.147287292E9</v>
      </c>
      <c r="G61" s="73" t="s">
        <v>52</v>
      </c>
      <c r="H61" s="73" t="s">
        <v>53</v>
      </c>
      <c r="I61" s="74">
        <v>62826.0</v>
      </c>
      <c r="J61" s="61" t="s">
        <v>25</v>
      </c>
      <c r="K61" s="75" t="s">
        <v>26</v>
      </c>
      <c r="L61" s="85" t="s">
        <v>27</v>
      </c>
      <c r="M61" s="64"/>
    </row>
    <row r="62" ht="15.75" customHeight="1">
      <c r="A62" s="44">
        <f t="shared" si="1"/>
        <v>-343</v>
      </c>
      <c r="B62" s="76" t="s">
        <v>38</v>
      </c>
      <c r="C62" s="76" t="s">
        <v>22</v>
      </c>
      <c r="D62" s="78">
        <v>45705.0</v>
      </c>
      <c r="E62" s="47">
        <f>MONTH('BOLETAS 2025'!$D62)</f>
        <v>2</v>
      </c>
      <c r="F62" s="79">
        <v>4540073.0</v>
      </c>
      <c r="G62" s="79">
        <v>7.63608689E8</v>
      </c>
      <c r="H62" s="79" t="s">
        <v>141</v>
      </c>
      <c r="I62" s="80">
        <v>3190.0</v>
      </c>
      <c r="J62" s="50" t="s">
        <v>25</v>
      </c>
      <c r="K62" s="81" t="s">
        <v>26</v>
      </c>
      <c r="L62" s="83" t="s">
        <v>27</v>
      </c>
      <c r="M62" s="53"/>
    </row>
    <row r="63" ht="15.75" customHeight="1">
      <c r="A63" s="54">
        <f t="shared" si="1"/>
        <v>-341</v>
      </c>
      <c r="B63" s="71" t="s">
        <v>38</v>
      </c>
      <c r="C63" s="71" t="s">
        <v>22</v>
      </c>
      <c r="D63" s="72">
        <v>45707.0</v>
      </c>
      <c r="E63" s="58">
        <f>MONTH('BOLETAS 2025'!$D63)</f>
        <v>2</v>
      </c>
      <c r="F63" s="73">
        <v>200964.0</v>
      </c>
      <c r="G63" s="73">
        <v>7.7874387E7</v>
      </c>
      <c r="H63" s="73" t="s">
        <v>142</v>
      </c>
      <c r="I63" s="74">
        <v>3300.0</v>
      </c>
      <c r="J63" s="61" t="s">
        <v>25</v>
      </c>
      <c r="K63" s="75" t="s">
        <v>26</v>
      </c>
      <c r="L63" s="85" t="s">
        <v>27</v>
      </c>
      <c r="M63" s="64"/>
    </row>
    <row r="64" ht="15.75" customHeight="1">
      <c r="A64" s="44">
        <f t="shared" si="1"/>
        <v>-341</v>
      </c>
      <c r="B64" s="76" t="s">
        <v>38</v>
      </c>
      <c r="C64" s="76" t="s">
        <v>22</v>
      </c>
      <c r="D64" s="78">
        <v>45707.0</v>
      </c>
      <c r="E64" s="47">
        <f>MONTH('BOLETAS 2025'!$D64)</f>
        <v>2</v>
      </c>
      <c r="F64" s="79">
        <v>5.02190052E8</v>
      </c>
      <c r="G64" s="79">
        <v>7.74219161E8</v>
      </c>
      <c r="H64" s="79" t="s">
        <v>143</v>
      </c>
      <c r="I64" s="80">
        <v>4050.0</v>
      </c>
      <c r="J64" s="50" t="s">
        <v>25</v>
      </c>
      <c r="K64" s="81" t="s">
        <v>26</v>
      </c>
      <c r="L64" s="83" t="s">
        <v>27</v>
      </c>
      <c r="M64" s="53"/>
    </row>
    <row r="65" ht="15.75" customHeight="1">
      <c r="A65" s="54">
        <f t="shared" si="1"/>
        <v>-341</v>
      </c>
      <c r="B65" s="71" t="s">
        <v>38</v>
      </c>
      <c r="C65" s="71" t="s">
        <v>22</v>
      </c>
      <c r="D65" s="72">
        <v>45707.0</v>
      </c>
      <c r="E65" s="58">
        <f>MONTH('BOLETAS 2025'!$D65)</f>
        <v>2</v>
      </c>
      <c r="F65" s="73">
        <v>8418033.0</v>
      </c>
      <c r="G65" s="73">
        <v>7.76481807E8</v>
      </c>
      <c r="H65" s="73" t="s">
        <v>144</v>
      </c>
      <c r="I65" s="74">
        <v>5410.0</v>
      </c>
      <c r="J65" s="61" t="s">
        <v>25</v>
      </c>
      <c r="K65" s="62"/>
      <c r="L65" s="85" t="s">
        <v>27</v>
      </c>
      <c r="M65" s="64"/>
    </row>
    <row r="66" ht="15.75" customHeight="1">
      <c r="A66" s="44">
        <f t="shared" si="1"/>
        <v>-341</v>
      </c>
      <c r="B66" s="76" t="s">
        <v>38</v>
      </c>
      <c r="C66" s="76" t="s">
        <v>22</v>
      </c>
      <c r="D66" s="78">
        <v>45707.0</v>
      </c>
      <c r="E66" s="47">
        <f>MONTH('BOLETAS 2025'!$D66)</f>
        <v>2</v>
      </c>
      <c r="F66" s="79">
        <v>4.6386719E7</v>
      </c>
      <c r="G66" s="79">
        <v>9.95543907E8</v>
      </c>
      <c r="H66" s="79" t="s">
        <v>145</v>
      </c>
      <c r="I66" s="80">
        <v>3300.0</v>
      </c>
      <c r="J66" s="50" t="s">
        <v>25</v>
      </c>
      <c r="K66" s="81" t="s">
        <v>26</v>
      </c>
      <c r="L66" s="83" t="s">
        <v>27</v>
      </c>
      <c r="M66" s="53"/>
    </row>
    <row r="67" ht="15.75" customHeight="1">
      <c r="A67" s="54">
        <f t="shared" si="1"/>
        <v>-341</v>
      </c>
      <c r="B67" s="71" t="s">
        <v>38</v>
      </c>
      <c r="C67" s="71" t="s">
        <v>22</v>
      </c>
      <c r="D67" s="72">
        <v>45707.0</v>
      </c>
      <c r="E67" s="58">
        <f>MONTH('BOLETAS 2025'!$D67)</f>
        <v>2</v>
      </c>
      <c r="F67" s="73">
        <v>1.192338255E9</v>
      </c>
      <c r="G67" s="73" t="s">
        <v>52</v>
      </c>
      <c r="H67" s="73" t="s">
        <v>53</v>
      </c>
      <c r="I67" s="74">
        <v>24540.0</v>
      </c>
      <c r="J67" s="61" t="s">
        <v>25</v>
      </c>
      <c r="K67" s="75" t="s">
        <v>26</v>
      </c>
      <c r="L67" s="85" t="s">
        <v>27</v>
      </c>
      <c r="M67" s="64"/>
    </row>
    <row r="68" ht="15.75" customHeight="1">
      <c r="A68" s="44">
        <f t="shared" si="1"/>
        <v>-339</v>
      </c>
      <c r="B68" s="76" t="s">
        <v>38</v>
      </c>
      <c r="C68" s="76" t="s">
        <v>22</v>
      </c>
      <c r="D68" s="78">
        <v>45709.0</v>
      </c>
      <c r="E68" s="47">
        <f>MONTH('BOLETAS 2025'!$D68)</f>
        <v>2</v>
      </c>
      <c r="F68" s="79">
        <v>2094243.0</v>
      </c>
      <c r="G68" s="79">
        <v>7.61670239E8</v>
      </c>
      <c r="H68" s="79" t="s">
        <v>120</v>
      </c>
      <c r="I68" s="80">
        <v>3353.0</v>
      </c>
      <c r="J68" s="50" t="s">
        <v>25</v>
      </c>
      <c r="K68" s="81" t="s">
        <v>26</v>
      </c>
      <c r="L68" s="83" t="s">
        <v>27</v>
      </c>
      <c r="M68" s="53"/>
    </row>
    <row r="69" ht="15.75" customHeight="1">
      <c r="A69" s="54">
        <f t="shared" si="1"/>
        <v>-339</v>
      </c>
      <c r="B69" s="71" t="s">
        <v>38</v>
      </c>
      <c r="C69" s="71" t="s">
        <v>22</v>
      </c>
      <c r="D69" s="72">
        <v>45709.0</v>
      </c>
      <c r="E69" s="58">
        <f>MONTH('BOLETAS 2025'!$D69)</f>
        <v>2</v>
      </c>
      <c r="F69" s="73">
        <v>112474.0</v>
      </c>
      <c r="G69" s="73">
        <v>6.4230085E7</v>
      </c>
      <c r="H69" s="73" t="s">
        <v>137</v>
      </c>
      <c r="I69" s="74">
        <v>6500.0</v>
      </c>
      <c r="J69" s="61" t="s">
        <v>25</v>
      </c>
      <c r="K69" s="75" t="s">
        <v>30</v>
      </c>
      <c r="L69" s="85" t="s">
        <v>27</v>
      </c>
      <c r="M69" s="64"/>
    </row>
    <row r="70" ht="15.75" customHeight="1">
      <c r="A70" s="44">
        <f t="shared" si="1"/>
        <v>-339</v>
      </c>
      <c r="B70" s="76" t="s">
        <v>38</v>
      </c>
      <c r="C70" s="76" t="s">
        <v>22</v>
      </c>
      <c r="D70" s="78">
        <v>45709.0</v>
      </c>
      <c r="E70" s="47">
        <f>MONTH('BOLETAS 2025'!$D70)</f>
        <v>2</v>
      </c>
      <c r="F70" s="79">
        <v>26974.0</v>
      </c>
      <c r="G70" s="79">
        <v>7.74219161E8</v>
      </c>
      <c r="H70" s="79" t="s">
        <v>146</v>
      </c>
      <c r="I70" s="80">
        <v>1350.0</v>
      </c>
      <c r="J70" s="50" t="s">
        <v>25</v>
      </c>
      <c r="K70" s="81" t="s">
        <v>30</v>
      </c>
      <c r="L70" s="83" t="s">
        <v>27</v>
      </c>
      <c r="M70" s="53"/>
    </row>
    <row r="71" ht="15.75" customHeight="1">
      <c r="A71" s="54">
        <f t="shared" si="1"/>
        <v>-339</v>
      </c>
      <c r="B71" s="71" t="s">
        <v>38</v>
      </c>
      <c r="C71" s="71" t="s">
        <v>22</v>
      </c>
      <c r="D71" s="72">
        <v>45709.0</v>
      </c>
      <c r="E71" s="58">
        <f>MONTH('BOLETAS 2025'!$D71)</f>
        <v>2</v>
      </c>
      <c r="F71" s="73">
        <v>10733.0</v>
      </c>
      <c r="G71" s="73">
        <v>7.73790469E8</v>
      </c>
      <c r="H71" s="73" t="s">
        <v>147</v>
      </c>
      <c r="I71" s="74">
        <v>8990.0</v>
      </c>
      <c r="J71" s="61" t="s">
        <v>25</v>
      </c>
      <c r="K71" s="75" t="s">
        <v>26</v>
      </c>
      <c r="L71" s="85" t="s">
        <v>27</v>
      </c>
      <c r="M71" s="64"/>
    </row>
    <row r="72" ht="15.75" customHeight="1">
      <c r="A72" s="44">
        <f t="shared" si="1"/>
        <v>-337</v>
      </c>
      <c r="B72" s="76" t="s">
        <v>38</v>
      </c>
      <c r="C72" s="76" t="s">
        <v>22</v>
      </c>
      <c r="D72" s="78">
        <v>45711.0</v>
      </c>
      <c r="E72" s="47">
        <f>MONTH('BOLETAS 2025'!$D72)</f>
        <v>2</v>
      </c>
      <c r="F72" s="48"/>
      <c r="G72" s="79">
        <v>9.6811302E7</v>
      </c>
      <c r="H72" s="79" t="s">
        <v>117</v>
      </c>
      <c r="I72" s="80">
        <v>3380.0</v>
      </c>
      <c r="J72" s="50" t="s">
        <v>25</v>
      </c>
      <c r="K72" s="81" t="s">
        <v>30</v>
      </c>
      <c r="L72" s="83" t="s">
        <v>27</v>
      </c>
      <c r="M72" s="53"/>
    </row>
    <row r="73" ht="15.75" customHeight="1">
      <c r="A73" s="54">
        <f t="shared" si="1"/>
        <v>-337</v>
      </c>
      <c r="B73" s="71" t="s">
        <v>38</v>
      </c>
      <c r="C73" s="71" t="s">
        <v>22</v>
      </c>
      <c r="D73" s="72">
        <v>45711.0</v>
      </c>
      <c r="E73" s="58">
        <f>MONTH('BOLETAS 2025'!$D73)</f>
        <v>2</v>
      </c>
      <c r="F73" s="73">
        <v>2375163.0</v>
      </c>
      <c r="G73" s="73">
        <v>7.67200943E8</v>
      </c>
      <c r="H73" s="73" t="s">
        <v>148</v>
      </c>
      <c r="I73" s="74">
        <v>24990.0</v>
      </c>
      <c r="J73" s="61" t="s">
        <v>25</v>
      </c>
      <c r="K73" s="75" t="s">
        <v>26</v>
      </c>
      <c r="L73" s="85" t="s">
        <v>27</v>
      </c>
      <c r="M73" s="64"/>
    </row>
    <row r="74" ht="15.75" customHeight="1">
      <c r="A74" s="44">
        <f t="shared" si="1"/>
        <v>-337</v>
      </c>
      <c r="B74" s="76" t="s">
        <v>38</v>
      </c>
      <c r="C74" s="76" t="s">
        <v>22</v>
      </c>
      <c r="D74" s="78">
        <v>45711.0</v>
      </c>
      <c r="E74" s="47">
        <f>MONTH('BOLETAS 2025'!$D74)</f>
        <v>2</v>
      </c>
      <c r="F74" s="79">
        <v>2.32866461E9</v>
      </c>
      <c r="G74" s="79" t="s">
        <v>52</v>
      </c>
      <c r="H74" s="79" t="s">
        <v>53</v>
      </c>
      <c r="I74" s="80">
        <v>74541.0</v>
      </c>
      <c r="J74" s="50" t="s">
        <v>25</v>
      </c>
      <c r="K74" s="81" t="s">
        <v>26</v>
      </c>
      <c r="L74" s="83" t="s">
        <v>27</v>
      </c>
      <c r="M74" s="53"/>
    </row>
    <row r="75" ht="15.75" customHeight="1">
      <c r="A75" s="54">
        <f t="shared" si="1"/>
        <v>-337</v>
      </c>
      <c r="B75" s="71" t="s">
        <v>38</v>
      </c>
      <c r="C75" s="71" t="s">
        <v>22</v>
      </c>
      <c r="D75" s="72">
        <v>45711.0</v>
      </c>
      <c r="E75" s="58">
        <f>MONTH('BOLETAS 2025'!$D75)</f>
        <v>2</v>
      </c>
      <c r="F75" s="73">
        <v>204.0</v>
      </c>
      <c r="G75" s="73">
        <v>7.7527425E7</v>
      </c>
      <c r="H75" s="73" t="s">
        <v>149</v>
      </c>
      <c r="I75" s="74">
        <v>2300.0</v>
      </c>
      <c r="J75" s="61" t="s">
        <v>25</v>
      </c>
      <c r="K75" s="75" t="s">
        <v>26</v>
      </c>
      <c r="L75" s="85" t="s">
        <v>27</v>
      </c>
      <c r="M75" s="64"/>
    </row>
    <row r="76" ht="15.75" customHeight="1">
      <c r="A76" s="44">
        <f t="shared" si="1"/>
        <v>-337</v>
      </c>
      <c r="B76" s="76" t="s">
        <v>38</v>
      </c>
      <c r="C76" s="76" t="s">
        <v>22</v>
      </c>
      <c r="D76" s="78">
        <v>45711.0</v>
      </c>
      <c r="E76" s="47">
        <f>MONTH('BOLETAS 2025'!$D76)</f>
        <v>2</v>
      </c>
      <c r="F76" s="79">
        <v>7.6959326E7</v>
      </c>
      <c r="G76" s="79">
        <v>9.6811302E7</v>
      </c>
      <c r="H76" s="79" t="s">
        <v>117</v>
      </c>
      <c r="I76" s="80">
        <v>2990.0</v>
      </c>
      <c r="J76" s="50" t="s">
        <v>25</v>
      </c>
      <c r="K76" s="51"/>
      <c r="L76" s="83" t="s">
        <v>27</v>
      </c>
      <c r="M76" s="53"/>
    </row>
    <row r="77" ht="15.75" customHeight="1">
      <c r="A77" s="54">
        <f t="shared" si="1"/>
        <v>-337</v>
      </c>
      <c r="B77" s="71" t="s">
        <v>38</v>
      </c>
      <c r="C77" s="71" t="s">
        <v>22</v>
      </c>
      <c r="D77" s="72">
        <v>45711.0</v>
      </c>
      <c r="E77" s="58">
        <f>MONTH('BOLETAS 2025'!$D77)</f>
        <v>2</v>
      </c>
      <c r="F77" s="73">
        <v>1.4011958E7</v>
      </c>
      <c r="G77" s="73">
        <v>7.64583299E8</v>
      </c>
      <c r="H77" s="73" t="s">
        <v>150</v>
      </c>
      <c r="I77" s="74">
        <v>3990.0</v>
      </c>
      <c r="J77" s="61" t="s">
        <v>25</v>
      </c>
      <c r="K77" s="75" t="s">
        <v>30</v>
      </c>
      <c r="L77" s="85" t="s">
        <v>27</v>
      </c>
      <c r="M77" s="64"/>
    </row>
    <row r="78" ht="15.75" customHeight="1">
      <c r="A78" s="44">
        <f t="shared" si="1"/>
        <v>-334</v>
      </c>
      <c r="B78" s="76" t="s">
        <v>38</v>
      </c>
      <c r="C78" s="76" t="s">
        <v>22</v>
      </c>
      <c r="D78" s="78">
        <v>45714.0</v>
      </c>
      <c r="E78" s="47">
        <f>MONTH('BOLETAS 2025'!$D78)</f>
        <v>2</v>
      </c>
      <c r="F78" s="79">
        <v>2.327216986E9</v>
      </c>
      <c r="G78" s="79" t="s">
        <v>52</v>
      </c>
      <c r="H78" s="79" t="s">
        <v>53</v>
      </c>
      <c r="I78" s="80">
        <v>30050.0</v>
      </c>
      <c r="J78" s="50" t="s">
        <v>25</v>
      </c>
      <c r="K78" s="81" t="s">
        <v>26</v>
      </c>
      <c r="L78" s="83" t="s">
        <v>27</v>
      </c>
      <c r="M78" s="53"/>
    </row>
    <row r="79" ht="15.75" customHeight="1">
      <c r="A79" s="54">
        <f t="shared" si="1"/>
        <v>-334</v>
      </c>
      <c r="B79" s="71" t="s">
        <v>38</v>
      </c>
      <c r="C79" s="71" t="s">
        <v>22</v>
      </c>
      <c r="D79" s="72">
        <v>45714.0</v>
      </c>
      <c r="E79" s="58">
        <f>MONTH('BOLETAS 2025'!$D79)</f>
        <v>2</v>
      </c>
      <c r="F79" s="59"/>
      <c r="G79" s="73">
        <v>1.3868624E7</v>
      </c>
      <c r="H79" s="73" t="s">
        <v>151</v>
      </c>
      <c r="I79" s="74">
        <v>4000.0</v>
      </c>
      <c r="J79" s="61" t="s">
        <v>25</v>
      </c>
      <c r="K79" s="75" t="s">
        <v>30</v>
      </c>
      <c r="L79" s="85" t="s">
        <v>27</v>
      </c>
      <c r="M79" s="64"/>
    </row>
    <row r="80" ht="15.75" customHeight="1">
      <c r="A80" s="44">
        <f t="shared" si="1"/>
        <v>-334</v>
      </c>
      <c r="B80" s="76" t="s">
        <v>38</v>
      </c>
      <c r="C80" s="76" t="s">
        <v>22</v>
      </c>
      <c r="D80" s="78">
        <v>45714.0</v>
      </c>
      <c r="E80" s="47">
        <f>MONTH('BOLETAS 2025'!$D80)</f>
        <v>2</v>
      </c>
      <c r="F80" s="79">
        <v>2.41289328E8</v>
      </c>
      <c r="G80" s="79" t="s">
        <v>152</v>
      </c>
      <c r="H80" s="79" t="s">
        <v>153</v>
      </c>
      <c r="I80" s="80">
        <v>7200.0</v>
      </c>
      <c r="J80" s="50" t="s">
        <v>25</v>
      </c>
      <c r="K80" s="81" t="s">
        <v>26</v>
      </c>
      <c r="L80" s="83" t="s">
        <v>27</v>
      </c>
      <c r="M80" s="53"/>
    </row>
    <row r="81" ht="15.75" customHeight="1">
      <c r="A81" s="54">
        <f t="shared" si="1"/>
        <v>-334</v>
      </c>
      <c r="B81" s="71" t="s">
        <v>38</v>
      </c>
      <c r="C81" s="71" t="s">
        <v>22</v>
      </c>
      <c r="D81" s="72">
        <v>45714.0</v>
      </c>
      <c r="E81" s="58">
        <f>MONTH('BOLETAS 2025'!$D81)</f>
        <v>2</v>
      </c>
      <c r="F81" s="73">
        <v>2826.0</v>
      </c>
      <c r="G81" s="73">
        <v>7.71103871E8</v>
      </c>
      <c r="H81" s="73" t="s">
        <v>154</v>
      </c>
      <c r="I81" s="74">
        <v>40788.0</v>
      </c>
      <c r="J81" s="61" t="s">
        <v>25</v>
      </c>
      <c r="K81" s="75" t="s">
        <v>26</v>
      </c>
      <c r="L81" s="85" t="s">
        <v>27</v>
      </c>
      <c r="M81" s="64"/>
    </row>
    <row r="82" ht="15.75" customHeight="1">
      <c r="A82" s="44">
        <f t="shared" si="1"/>
        <v>-329</v>
      </c>
      <c r="B82" s="76" t="s">
        <v>38</v>
      </c>
      <c r="C82" s="76" t="s">
        <v>22</v>
      </c>
      <c r="D82" s="78">
        <v>45719.0</v>
      </c>
      <c r="E82" s="47">
        <f>MONTH('BOLETAS 2025'!$D82)</f>
        <v>3</v>
      </c>
      <c r="F82" s="79">
        <v>188392.0</v>
      </c>
      <c r="G82" s="79">
        <v>7.78950324E8</v>
      </c>
      <c r="H82" s="79" t="s">
        <v>155</v>
      </c>
      <c r="I82" s="80">
        <v>37685.0</v>
      </c>
      <c r="J82" s="50" t="s">
        <v>25</v>
      </c>
      <c r="K82" s="81" t="s">
        <v>26</v>
      </c>
      <c r="L82" s="83" t="s">
        <v>105</v>
      </c>
      <c r="M82" s="53"/>
    </row>
    <row r="83" ht="15.75" customHeight="1">
      <c r="A83" s="54">
        <f t="shared" si="1"/>
        <v>-322</v>
      </c>
      <c r="B83" s="71" t="s">
        <v>38</v>
      </c>
      <c r="C83" s="71" t="s">
        <v>22</v>
      </c>
      <c r="D83" s="72">
        <v>45726.0</v>
      </c>
      <c r="E83" s="58">
        <f>MONTH('BOLETAS 2025'!$D83)</f>
        <v>3</v>
      </c>
      <c r="F83" s="59"/>
      <c r="G83" s="73">
        <v>7.77168538E8</v>
      </c>
      <c r="H83" s="73" t="s">
        <v>156</v>
      </c>
      <c r="I83" s="74">
        <v>1700.0</v>
      </c>
      <c r="J83" s="61" t="s">
        <v>25</v>
      </c>
      <c r="K83" s="75" t="s">
        <v>26</v>
      </c>
      <c r="L83" s="85" t="s">
        <v>27</v>
      </c>
      <c r="M83" s="64"/>
    </row>
    <row r="84" ht="15.75" customHeight="1">
      <c r="A84" s="44">
        <f t="shared" si="1"/>
        <v>-331</v>
      </c>
      <c r="B84" s="76" t="s">
        <v>38</v>
      </c>
      <c r="C84" s="76" t="s">
        <v>22</v>
      </c>
      <c r="D84" s="78">
        <v>45717.0</v>
      </c>
      <c r="E84" s="47">
        <f>MONTH('BOLETAS 2025'!$D84)</f>
        <v>3</v>
      </c>
      <c r="F84" s="79">
        <v>355254.0</v>
      </c>
      <c r="G84" s="79">
        <v>7.64647459E8</v>
      </c>
      <c r="H84" s="79" t="s">
        <v>157</v>
      </c>
      <c r="I84" s="80">
        <v>15980.0</v>
      </c>
      <c r="J84" s="50" t="s">
        <v>25</v>
      </c>
      <c r="K84" s="81" t="s">
        <v>26</v>
      </c>
      <c r="L84" s="83" t="s">
        <v>27</v>
      </c>
      <c r="M84" s="53"/>
    </row>
    <row r="85" ht="15.75" customHeight="1">
      <c r="A85" s="54">
        <f t="shared" si="1"/>
        <v>-329</v>
      </c>
      <c r="B85" s="71" t="s">
        <v>38</v>
      </c>
      <c r="C85" s="71" t="s">
        <v>22</v>
      </c>
      <c r="D85" s="72">
        <v>45719.0</v>
      </c>
      <c r="E85" s="58">
        <f>MONTH('BOLETAS 2025'!$D85)</f>
        <v>3</v>
      </c>
      <c r="F85" s="73">
        <v>74962.0</v>
      </c>
      <c r="G85" s="73">
        <v>7.95788808E8</v>
      </c>
      <c r="H85" s="73" t="s">
        <v>158</v>
      </c>
      <c r="I85" s="74">
        <v>171241.0</v>
      </c>
      <c r="J85" s="61" t="s">
        <v>25</v>
      </c>
      <c r="K85" s="75" t="s">
        <v>26</v>
      </c>
      <c r="L85" s="85" t="s">
        <v>27</v>
      </c>
      <c r="M85" s="64"/>
    </row>
    <row r="86" ht="15.75" customHeight="1">
      <c r="A86" s="44">
        <f t="shared" si="1"/>
        <v>-329</v>
      </c>
      <c r="B86" s="76" t="s">
        <v>38</v>
      </c>
      <c r="C86" s="76" t="s">
        <v>22</v>
      </c>
      <c r="D86" s="78">
        <v>45719.0</v>
      </c>
      <c r="E86" s="47">
        <f>MONTH('BOLETAS 2025'!$D86)</f>
        <v>3</v>
      </c>
      <c r="F86" s="79">
        <v>445658.0</v>
      </c>
      <c r="G86" s="79">
        <v>1.19159728E8</v>
      </c>
      <c r="H86" s="79" t="s">
        <v>159</v>
      </c>
      <c r="I86" s="80">
        <v>17480.0</v>
      </c>
      <c r="J86" s="50" t="s">
        <v>25</v>
      </c>
      <c r="K86" s="81" t="s">
        <v>26</v>
      </c>
      <c r="L86" s="83" t="s">
        <v>27</v>
      </c>
      <c r="M86" s="53"/>
    </row>
    <row r="87" ht="15.75" customHeight="1">
      <c r="A87" s="54">
        <f t="shared" si="1"/>
        <v>-329</v>
      </c>
      <c r="B87" s="71" t="s">
        <v>38</v>
      </c>
      <c r="C87" s="71" t="s">
        <v>22</v>
      </c>
      <c r="D87" s="72">
        <v>45719.0</v>
      </c>
      <c r="E87" s="58">
        <f>MONTH('BOLETAS 2025'!$D87)</f>
        <v>3</v>
      </c>
      <c r="F87" s="73">
        <v>188393.0</v>
      </c>
      <c r="G87" s="73">
        <v>7.78950324E8</v>
      </c>
      <c r="H87" s="73" t="s">
        <v>155</v>
      </c>
      <c r="I87" s="74">
        <v>2590.0</v>
      </c>
      <c r="J87" s="61" t="s">
        <v>25</v>
      </c>
      <c r="K87" s="75" t="s">
        <v>30</v>
      </c>
      <c r="L87" s="85" t="s">
        <v>27</v>
      </c>
      <c r="M87" s="64"/>
    </row>
    <row r="88" ht="15.75" customHeight="1">
      <c r="A88" s="44">
        <f t="shared" si="1"/>
        <v>-328</v>
      </c>
      <c r="B88" s="76" t="s">
        <v>38</v>
      </c>
      <c r="C88" s="76" t="s">
        <v>22</v>
      </c>
      <c r="D88" s="78">
        <v>45720.0</v>
      </c>
      <c r="E88" s="47">
        <f>MONTH('BOLETAS 2025'!$D88)</f>
        <v>3</v>
      </c>
      <c r="F88" s="79">
        <v>23531.0</v>
      </c>
      <c r="G88" s="79">
        <v>7.75230665E8</v>
      </c>
      <c r="H88" s="79" t="s">
        <v>160</v>
      </c>
      <c r="I88" s="80">
        <v>10800.0</v>
      </c>
      <c r="J88" s="50" t="s">
        <v>25</v>
      </c>
      <c r="K88" s="81" t="s">
        <v>26</v>
      </c>
      <c r="L88" s="83" t="s">
        <v>27</v>
      </c>
      <c r="M88" s="53"/>
    </row>
    <row r="89" ht="15.75" customHeight="1">
      <c r="A89" s="54">
        <f t="shared" si="1"/>
        <v>-328</v>
      </c>
      <c r="B89" s="71" t="s">
        <v>38</v>
      </c>
      <c r="C89" s="71" t="s">
        <v>22</v>
      </c>
      <c r="D89" s="72">
        <v>45720.0</v>
      </c>
      <c r="E89" s="58">
        <f>MONTH('BOLETAS 2025'!$D89)</f>
        <v>3</v>
      </c>
      <c r="F89" s="73">
        <v>1.0807933E7</v>
      </c>
      <c r="G89" s="73">
        <v>7.66074596E8</v>
      </c>
      <c r="H89" s="73" t="s">
        <v>145</v>
      </c>
      <c r="I89" s="74">
        <v>51600.0</v>
      </c>
      <c r="J89" s="61" t="s">
        <v>25</v>
      </c>
      <c r="K89" s="75" t="s">
        <v>30</v>
      </c>
      <c r="L89" s="85" t="s">
        <v>27</v>
      </c>
      <c r="M89" s="64"/>
    </row>
    <row r="90" ht="15.75" customHeight="1">
      <c r="A90" s="44">
        <f t="shared" si="1"/>
        <v>-328</v>
      </c>
      <c r="B90" s="76" t="s">
        <v>38</v>
      </c>
      <c r="C90" s="76" t="s">
        <v>22</v>
      </c>
      <c r="D90" s="78">
        <v>45720.0</v>
      </c>
      <c r="E90" s="47">
        <f>MONTH('BOLETAS 2025'!$D90)</f>
        <v>3</v>
      </c>
      <c r="F90" s="79">
        <v>1.114301832E9</v>
      </c>
      <c r="G90" s="79" t="s">
        <v>52</v>
      </c>
      <c r="H90" s="79" t="s">
        <v>53</v>
      </c>
      <c r="I90" s="80">
        <v>18077.0</v>
      </c>
      <c r="J90" s="50" t="s">
        <v>25</v>
      </c>
      <c r="K90" s="81" t="s">
        <v>26</v>
      </c>
      <c r="L90" s="83" t="s">
        <v>27</v>
      </c>
      <c r="M90" s="53"/>
    </row>
    <row r="91" ht="15.75" customHeight="1">
      <c r="A91" s="54">
        <f t="shared" si="1"/>
        <v>-328</v>
      </c>
      <c r="B91" s="71" t="s">
        <v>38</v>
      </c>
      <c r="C91" s="71" t="s">
        <v>22</v>
      </c>
      <c r="D91" s="72">
        <v>45720.0</v>
      </c>
      <c r="E91" s="58">
        <f>MONTH('BOLETAS 2025'!$D91)</f>
        <v>3</v>
      </c>
      <c r="F91" s="73">
        <v>1.581019669E9</v>
      </c>
      <c r="G91" s="73">
        <v>8.98072002E8</v>
      </c>
      <c r="H91" s="73" t="s">
        <v>123</v>
      </c>
      <c r="I91" s="74">
        <v>20635.0</v>
      </c>
      <c r="J91" s="61" t="s">
        <v>25</v>
      </c>
      <c r="K91" s="75" t="s">
        <v>26</v>
      </c>
      <c r="L91" s="85" t="s">
        <v>27</v>
      </c>
      <c r="M91" s="64"/>
    </row>
    <row r="92" ht="15.75" customHeight="1">
      <c r="A92" s="44">
        <f t="shared" si="1"/>
        <v>-322</v>
      </c>
      <c r="B92" s="76" t="s">
        <v>38</v>
      </c>
      <c r="C92" s="76" t="s">
        <v>22</v>
      </c>
      <c r="D92" s="78">
        <v>45726.0</v>
      </c>
      <c r="E92" s="47">
        <f>MONTH('BOLETAS 2025'!$D92)</f>
        <v>3</v>
      </c>
      <c r="F92" s="79">
        <v>4491.0</v>
      </c>
      <c r="G92" s="79">
        <v>7.77633791E8</v>
      </c>
      <c r="H92" s="79" t="s">
        <v>161</v>
      </c>
      <c r="I92" s="80">
        <v>2000.0</v>
      </c>
      <c r="J92" s="50" t="s">
        <v>25</v>
      </c>
      <c r="K92" s="81" t="s">
        <v>26</v>
      </c>
      <c r="L92" s="83" t="s">
        <v>27</v>
      </c>
      <c r="M92" s="53"/>
    </row>
    <row r="93" ht="15.75" customHeight="1">
      <c r="A93" s="54">
        <f t="shared" si="1"/>
        <v>-313</v>
      </c>
      <c r="B93" s="71" t="s">
        <v>38</v>
      </c>
      <c r="C93" s="71" t="s">
        <v>22</v>
      </c>
      <c r="D93" s="72">
        <v>45735.0</v>
      </c>
      <c r="E93" s="58">
        <f>MONTH('BOLETAS 2025'!$D93)</f>
        <v>3</v>
      </c>
      <c r="F93" s="59"/>
      <c r="G93" s="73">
        <v>7.80442174E8</v>
      </c>
      <c r="H93" s="73" t="s">
        <v>162</v>
      </c>
      <c r="I93" s="74">
        <v>6500.0</v>
      </c>
      <c r="J93" s="61" t="s">
        <v>25</v>
      </c>
      <c r="K93" s="75" t="s">
        <v>26</v>
      </c>
      <c r="L93" s="85" t="s">
        <v>27</v>
      </c>
      <c r="M93" s="64"/>
    </row>
    <row r="94" ht="15.75" customHeight="1">
      <c r="A94" s="44">
        <f t="shared" si="1"/>
        <v>-314</v>
      </c>
      <c r="B94" s="76" t="s">
        <v>38</v>
      </c>
      <c r="C94" s="76" t="s">
        <v>22</v>
      </c>
      <c r="D94" s="78">
        <v>45734.0</v>
      </c>
      <c r="E94" s="47">
        <f>MONTH('BOLETAS 2025'!$D94)</f>
        <v>3</v>
      </c>
      <c r="F94" s="79">
        <v>2095277.0</v>
      </c>
      <c r="G94" s="79">
        <v>7.61670239E8</v>
      </c>
      <c r="H94" s="79" t="s">
        <v>120</v>
      </c>
      <c r="I94" s="80">
        <v>3150.0</v>
      </c>
      <c r="J94" s="50" t="s">
        <v>25</v>
      </c>
      <c r="K94" s="81" t="s">
        <v>26</v>
      </c>
      <c r="L94" s="83" t="s">
        <v>27</v>
      </c>
      <c r="M94" s="53"/>
    </row>
    <row r="95" ht="15.75" customHeight="1">
      <c r="A95" s="54">
        <f t="shared" si="1"/>
        <v>-304</v>
      </c>
      <c r="B95" s="71" t="s">
        <v>38</v>
      </c>
      <c r="C95" s="71" t="s">
        <v>22</v>
      </c>
      <c r="D95" s="72">
        <v>45744.0</v>
      </c>
      <c r="E95" s="58">
        <f>MONTH('BOLETAS 2025'!$D95)</f>
        <v>3</v>
      </c>
      <c r="F95" s="73">
        <v>75334.0</v>
      </c>
      <c r="G95" s="73" t="s">
        <v>163</v>
      </c>
      <c r="H95" s="73" t="s">
        <v>164</v>
      </c>
      <c r="I95" s="74">
        <v>22980.0</v>
      </c>
      <c r="J95" s="61" t="s">
        <v>25</v>
      </c>
      <c r="K95" s="75" t="s">
        <v>26</v>
      </c>
      <c r="L95" s="85" t="s">
        <v>27</v>
      </c>
      <c r="M95" s="64"/>
    </row>
    <row r="96" ht="15.75" customHeight="1">
      <c r="A96" s="44">
        <f t="shared" si="1"/>
        <v>-296</v>
      </c>
      <c r="B96" s="76" t="s">
        <v>38</v>
      </c>
      <c r="C96" s="76" t="s">
        <v>22</v>
      </c>
      <c r="D96" s="78">
        <v>45752.0</v>
      </c>
      <c r="E96" s="47">
        <f>MONTH('BOLETAS 2025'!$D96)</f>
        <v>4</v>
      </c>
      <c r="F96" s="79">
        <v>1901246.0</v>
      </c>
      <c r="G96" s="79">
        <v>9.95200007E8</v>
      </c>
      <c r="H96" s="79" t="s">
        <v>104</v>
      </c>
      <c r="I96" s="80">
        <v>20000.0</v>
      </c>
      <c r="J96" s="50" t="s">
        <v>25</v>
      </c>
      <c r="K96" s="81" t="s">
        <v>30</v>
      </c>
      <c r="L96" s="83" t="s">
        <v>105</v>
      </c>
      <c r="M96" s="53"/>
    </row>
    <row r="97" ht="15.75" customHeight="1">
      <c r="A97" s="54">
        <f t="shared" si="1"/>
        <v>-290</v>
      </c>
      <c r="B97" s="71" t="s">
        <v>38</v>
      </c>
      <c r="C97" s="71" t="s">
        <v>22</v>
      </c>
      <c r="D97" s="72">
        <v>45758.0</v>
      </c>
      <c r="E97" s="58">
        <f>MONTH('BOLETAS 2025'!$D97)</f>
        <v>4</v>
      </c>
      <c r="F97" s="73">
        <v>1905739.0</v>
      </c>
      <c r="G97" s="73">
        <v>9.95200007E8</v>
      </c>
      <c r="H97" s="73" t="s">
        <v>104</v>
      </c>
      <c r="I97" s="74">
        <v>30000.0</v>
      </c>
      <c r="J97" s="61" t="s">
        <v>25</v>
      </c>
      <c r="K97" s="75" t="s">
        <v>35</v>
      </c>
      <c r="L97" s="85" t="s">
        <v>105</v>
      </c>
      <c r="M97" s="64"/>
    </row>
    <row r="98" ht="15.75" customHeight="1">
      <c r="A98" s="44">
        <f t="shared" si="1"/>
        <v>-283</v>
      </c>
      <c r="B98" s="76" t="s">
        <v>38</v>
      </c>
      <c r="C98" s="76" t="s">
        <v>22</v>
      </c>
      <c r="D98" s="78">
        <v>45765.0</v>
      </c>
      <c r="E98" s="47">
        <f>MONTH('BOLETAS 2025'!$D98)</f>
        <v>4</v>
      </c>
      <c r="F98" s="79">
        <v>1910122.0</v>
      </c>
      <c r="G98" s="79">
        <v>9.95200007E8</v>
      </c>
      <c r="H98" s="79" t="s">
        <v>104</v>
      </c>
      <c r="I98" s="80">
        <v>20000.0</v>
      </c>
      <c r="J98" s="50" t="s">
        <v>25</v>
      </c>
      <c r="K98" s="81" t="s">
        <v>26</v>
      </c>
      <c r="L98" s="83" t="s">
        <v>105</v>
      </c>
      <c r="M98" s="53"/>
    </row>
    <row r="99" ht="15.75" customHeight="1">
      <c r="A99" s="54">
        <f t="shared" si="1"/>
        <v>-273</v>
      </c>
      <c r="B99" s="71" t="s">
        <v>38</v>
      </c>
      <c r="C99" s="71" t="s">
        <v>22</v>
      </c>
      <c r="D99" s="72">
        <v>45775.0</v>
      </c>
      <c r="E99" s="58">
        <f>MONTH('BOLETAS 2025'!$D99)</f>
        <v>4</v>
      </c>
      <c r="F99" s="73">
        <v>191736.0</v>
      </c>
      <c r="G99" s="73">
        <v>9.95200007E8</v>
      </c>
      <c r="H99" s="73" t="s">
        <v>104</v>
      </c>
      <c r="I99" s="74">
        <v>20000.0</v>
      </c>
      <c r="J99" s="61" t="s">
        <v>25</v>
      </c>
      <c r="K99" s="75" t="s">
        <v>35</v>
      </c>
      <c r="L99" s="85" t="s">
        <v>105</v>
      </c>
      <c r="M99" s="64"/>
    </row>
    <row r="100" ht="15.75" customHeight="1">
      <c r="A100" s="44">
        <f t="shared" si="1"/>
        <v>-279</v>
      </c>
      <c r="B100" s="76" t="s">
        <v>38</v>
      </c>
      <c r="C100" s="76" t="s">
        <v>22</v>
      </c>
      <c r="D100" s="78">
        <v>45769.0</v>
      </c>
      <c r="E100" s="47">
        <f>MONTH('BOLETAS 2025'!$D100)</f>
        <v>4</v>
      </c>
      <c r="F100" s="79">
        <v>6.50055851E8</v>
      </c>
      <c r="G100" s="79">
        <v>9.95543907E8</v>
      </c>
      <c r="H100" s="79" t="s">
        <v>145</v>
      </c>
      <c r="I100" s="80">
        <v>2000.0</v>
      </c>
      <c r="J100" s="50" t="s">
        <v>25</v>
      </c>
      <c r="K100" s="81" t="s">
        <v>35</v>
      </c>
      <c r="L100" s="83" t="s">
        <v>27</v>
      </c>
      <c r="M100" s="53"/>
    </row>
    <row r="101" ht="15.75" customHeight="1">
      <c r="A101" s="54">
        <f t="shared" si="1"/>
        <v>-300</v>
      </c>
      <c r="B101" s="71" t="s">
        <v>38</v>
      </c>
      <c r="C101" s="71" t="s">
        <v>22</v>
      </c>
      <c r="D101" s="72">
        <v>45748.0</v>
      </c>
      <c r="E101" s="58">
        <f>MONTH('BOLETAS 2025'!$D101)</f>
        <v>4</v>
      </c>
      <c r="F101" s="73">
        <v>2095933.0</v>
      </c>
      <c r="G101" s="73">
        <v>7.61670239E8</v>
      </c>
      <c r="H101" s="73" t="s">
        <v>120</v>
      </c>
      <c r="I101" s="74">
        <v>2870.0</v>
      </c>
      <c r="J101" s="61" t="s">
        <v>25</v>
      </c>
      <c r="K101" s="75" t="s">
        <v>26</v>
      </c>
      <c r="L101" s="85" t="s">
        <v>27</v>
      </c>
      <c r="M101" s="64"/>
    </row>
    <row r="102" ht="15.75" customHeight="1">
      <c r="A102" s="44">
        <f t="shared" si="1"/>
        <v>-286</v>
      </c>
      <c r="B102" s="76" t="s">
        <v>38</v>
      </c>
      <c r="C102" s="76" t="s">
        <v>22</v>
      </c>
      <c r="D102" s="78">
        <v>45762.0</v>
      </c>
      <c r="E102" s="47">
        <f>MONTH('BOLETAS 2025'!$D102)</f>
        <v>4</v>
      </c>
      <c r="F102" s="79">
        <v>1.114307703E9</v>
      </c>
      <c r="G102" s="79" t="s">
        <v>52</v>
      </c>
      <c r="H102" s="79" t="s">
        <v>53</v>
      </c>
      <c r="I102" s="80">
        <v>7915.0</v>
      </c>
      <c r="J102" s="50" t="s">
        <v>25</v>
      </c>
      <c r="K102" s="51"/>
      <c r="L102" s="83" t="s">
        <v>27</v>
      </c>
      <c r="M102" s="53"/>
    </row>
    <row r="103" ht="15.75" customHeight="1">
      <c r="A103" s="54">
        <f t="shared" si="1"/>
        <v>-299</v>
      </c>
      <c r="B103" s="71" t="s">
        <v>38</v>
      </c>
      <c r="C103" s="71" t="s">
        <v>22</v>
      </c>
      <c r="D103" s="72">
        <v>45749.0</v>
      </c>
      <c r="E103" s="58">
        <f>MONTH('BOLETAS 2025'!$D103)</f>
        <v>4</v>
      </c>
      <c r="F103" s="73">
        <v>46210.0</v>
      </c>
      <c r="G103" s="73">
        <v>9.956581E8</v>
      </c>
      <c r="H103" s="73" t="s">
        <v>165</v>
      </c>
      <c r="I103" s="74">
        <v>16170.0</v>
      </c>
      <c r="J103" s="61" t="s">
        <v>25</v>
      </c>
      <c r="K103" s="75" t="s">
        <v>26</v>
      </c>
      <c r="L103" s="85" t="s">
        <v>27</v>
      </c>
      <c r="M103" s="64"/>
    </row>
    <row r="104" ht="15.75" customHeight="1">
      <c r="A104" s="44">
        <f t="shared" si="1"/>
        <v>-293</v>
      </c>
      <c r="B104" s="76" t="s">
        <v>38</v>
      </c>
      <c r="C104" s="76" t="s">
        <v>22</v>
      </c>
      <c r="D104" s="78">
        <v>45755.0</v>
      </c>
      <c r="E104" s="47">
        <f>MONTH('BOLETAS 2025'!$D104)</f>
        <v>4</v>
      </c>
      <c r="F104" s="79">
        <v>640931.0</v>
      </c>
      <c r="G104" s="79" t="s">
        <v>166</v>
      </c>
      <c r="H104" s="79" t="s">
        <v>167</v>
      </c>
      <c r="I104" s="80">
        <v>29990.0</v>
      </c>
      <c r="J104" s="50" t="s">
        <v>25</v>
      </c>
      <c r="K104" s="81" t="s">
        <v>26</v>
      </c>
      <c r="L104" s="83" t="s">
        <v>27</v>
      </c>
      <c r="M104" s="53"/>
    </row>
    <row r="105" ht="15.75" customHeight="1">
      <c r="A105" s="54">
        <f t="shared" si="1"/>
        <v>-298</v>
      </c>
      <c r="B105" s="71" t="s">
        <v>38</v>
      </c>
      <c r="C105" s="71" t="s">
        <v>22</v>
      </c>
      <c r="D105" s="72">
        <v>45750.0</v>
      </c>
      <c r="E105" s="58">
        <f>MONTH('BOLETAS 2025'!$D105)</f>
        <v>4</v>
      </c>
      <c r="F105" s="73">
        <v>10791.0</v>
      </c>
      <c r="G105" s="73">
        <v>7.71479987E8</v>
      </c>
      <c r="H105" s="73" t="s">
        <v>168</v>
      </c>
      <c r="I105" s="74">
        <v>3300.0</v>
      </c>
      <c r="J105" s="61" t="s">
        <v>25</v>
      </c>
      <c r="K105" s="75" t="s">
        <v>26</v>
      </c>
      <c r="L105" s="85" t="s">
        <v>27</v>
      </c>
      <c r="M105" s="64"/>
    </row>
    <row r="106" ht="15.75" customHeight="1">
      <c r="A106" s="44">
        <f t="shared" si="1"/>
        <v>-293</v>
      </c>
      <c r="B106" s="76" t="s">
        <v>38</v>
      </c>
      <c r="C106" s="76" t="s">
        <v>22</v>
      </c>
      <c r="D106" s="78">
        <v>45755.0</v>
      </c>
      <c r="E106" s="47">
        <f>MONTH('BOLETAS 2025'!$D106)</f>
        <v>4</v>
      </c>
      <c r="F106" s="79">
        <v>493853.0</v>
      </c>
      <c r="G106" s="79">
        <v>6.90609002E8</v>
      </c>
      <c r="H106" s="79" t="s">
        <v>138</v>
      </c>
      <c r="I106" s="80">
        <v>3530.0</v>
      </c>
      <c r="J106" s="65" t="s">
        <v>25</v>
      </c>
      <c r="K106" s="81" t="s">
        <v>26</v>
      </c>
      <c r="L106" s="83" t="s">
        <v>27</v>
      </c>
      <c r="M106" s="53"/>
    </row>
    <row r="107" ht="15.75" customHeight="1">
      <c r="A107" s="54">
        <f t="shared" si="1"/>
        <v>-292</v>
      </c>
      <c r="B107" s="71" t="s">
        <v>38</v>
      </c>
      <c r="C107" s="71" t="s">
        <v>22</v>
      </c>
      <c r="D107" s="72">
        <v>45756.0</v>
      </c>
      <c r="E107" s="58">
        <f>MONTH('BOLETAS 2025'!$D107)</f>
        <v>4</v>
      </c>
      <c r="F107" s="73">
        <v>62954.0</v>
      </c>
      <c r="G107" s="73">
        <v>9.95332809E8</v>
      </c>
      <c r="H107" s="73" t="s">
        <v>169</v>
      </c>
      <c r="I107" s="74">
        <v>26800.0</v>
      </c>
      <c r="J107" s="66" t="s">
        <v>25</v>
      </c>
      <c r="K107" s="75" t="s">
        <v>26</v>
      </c>
      <c r="L107" s="85" t="s">
        <v>27</v>
      </c>
      <c r="M107" s="64"/>
    </row>
    <row r="108" ht="15.75" customHeight="1">
      <c r="A108" s="44">
        <f t="shared" si="1"/>
        <v>-291</v>
      </c>
      <c r="B108" s="76" t="s">
        <v>38</v>
      </c>
      <c r="C108" s="76" t="s">
        <v>22</v>
      </c>
      <c r="D108" s="78">
        <v>45757.0</v>
      </c>
      <c r="E108" s="47">
        <f>MONTH('BOLETAS 2025'!$D108)</f>
        <v>4</v>
      </c>
      <c r="F108" s="79">
        <v>470739.0</v>
      </c>
      <c r="G108" s="79">
        <v>9.95332809E8</v>
      </c>
      <c r="H108" s="79" t="s">
        <v>169</v>
      </c>
      <c r="I108" s="80">
        <v>5940.0</v>
      </c>
      <c r="J108" s="65" t="s">
        <v>25</v>
      </c>
      <c r="K108" s="81" t="s">
        <v>26</v>
      </c>
      <c r="L108" s="83" t="s">
        <v>27</v>
      </c>
      <c r="M108" s="53"/>
    </row>
    <row r="109" ht="15.75" customHeight="1">
      <c r="A109" s="54">
        <f t="shared" si="1"/>
        <v>-290</v>
      </c>
      <c r="B109" s="71" t="s">
        <v>38</v>
      </c>
      <c r="C109" s="71" t="s">
        <v>22</v>
      </c>
      <c r="D109" s="72">
        <v>45758.0</v>
      </c>
      <c r="E109" s="58">
        <f>MONTH('BOLETAS 2025'!$D109)</f>
        <v>4</v>
      </c>
      <c r="F109" s="102">
        <v>10898.0</v>
      </c>
      <c r="G109" s="102">
        <v>7.71479987E8</v>
      </c>
      <c r="H109" s="102" t="s">
        <v>170</v>
      </c>
      <c r="I109" s="74">
        <v>11500.0</v>
      </c>
      <c r="J109" s="168" t="s">
        <v>25</v>
      </c>
      <c r="K109" s="75" t="s">
        <v>26</v>
      </c>
      <c r="L109" s="85" t="s">
        <v>27</v>
      </c>
      <c r="M109" s="104"/>
    </row>
    <row r="110" ht="15.75" customHeight="1">
      <c r="A110" s="44">
        <f t="shared" si="1"/>
        <v>-257</v>
      </c>
      <c r="B110" s="76" t="s">
        <v>38</v>
      </c>
      <c r="C110" s="76" t="s">
        <v>22</v>
      </c>
      <c r="D110" s="78">
        <v>45791.0</v>
      </c>
      <c r="E110" s="47">
        <f>MONTH('BOLETAS 2025'!$D110)</f>
        <v>5</v>
      </c>
      <c r="F110" s="105">
        <v>892497.0</v>
      </c>
      <c r="G110" s="105">
        <v>7.76481807E8</v>
      </c>
      <c r="H110" s="105" t="s">
        <v>171</v>
      </c>
      <c r="I110" s="80">
        <v>2290.0</v>
      </c>
      <c r="J110" s="169" t="s">
        <v>25</v>
      </c>
      <c r="K110" s="81" t="s">
        <v>26</v>
      </c>
      <c r="L110" s="83" t="s">
        <v>27</v>
      </c>
      <c r="M110" s="107"/>
    </row>
    <row r="111" ht="15.75" customHeight="1">
      <c r="A111" s="54">
        <f t="shared" si="1"/>
        <v>-287</v>
      </c>
      <c r="B111" s="71" t="s">
        <v>38</v>
      </c>
      <c r="C111" s="71" t="s">
        <v>22</v>
      </c>
      <c r="D111" s="72">
        <v>45761.0</v>
      </c>
      <c r="E111" s="58">
        <f>MONTH('BOLETAS 2025'!$D111)</f>
        <v>4</v>
      </c>
      <c r="F111" s="102">
        <v>430183.0</v>
      </c>
      <c r="G111" s="102">
        <v>7.65015677E8</v>
      </c>
      <c r="H111" s="102" t="s">
        <v>172</v>
      </c>
      <c r="I111" s="74">
        <v>2300.0</v>
      </c>
      <c r="J111" s="168" t="s">
        <v>25</v>
      </c>
      <c r="K111" s="75" t="s">
        <v>26</v>
      </c>
      <c r="L111" s="85" t="s">
        <v>27</v>
      </c>
      <c r="M111" s="104"/>
    </row>
    <row r="112" ht="15.75" customHeight="1">
      <c r="A112" s="44">
        <f t="shared" si="1"/>
        <v>-255</v>
      </c>
      <c r="B112" s="76" t="s">
        <v>38</v>
      </c>
      <c r="C112" s="76" t="s">
        <v>22</v>
      </c>
      <c r="D112" s="78">
        <v>45793.0</v>
      </c>
      <c r="E112" s="47">
        <f>MONTH('BOLETAS 2025'!$D112)</f>
        <v>5</v>
      </c>
      <c r="F112" s="105">
        <v>1.207654542E9</v>
      </c>
      <c r="G112" s="79" t="s">
        <v>52</v>
      </c>
      <c r="H112" s="79" t="s">
        <v>53</v>
      </c>
      <c r="I112" s="80">
        <v>4490.0</v>
      </c>
      <c r="J112" s="169" t="s">
        <v>25</v>
      </c>
      <c r="K112" s="81" t="s">
        <v>26</v>
      </c>
      <c r="L112" s="83" t="s">
        <v>27</v>
      </c>
      <c r="M112" s="107"/>
    </row>
    <row r="113" ht="15.75" customHeight="1">
      <c r="A113" s="54">
        <f t="shared" si="1"/>
        <v>-286</v>
      </c>
      <c r="B113" s="71" t="s">
        <v>38</v>
      </c>
      <c r="C113" s="71" t="s">
        <v>22</v>
      </c>
      <c r="D113" s="72">
        <v>45762.0</v>
      </c>
      <c r="E113" s="58">
        <f>MONTH('BOLETAS 2025'!$D113)</f>
        <v>4</v>
      </c>
      <c r="F113" s="170"/>
      <c r="G113" s="73">
        <v>7.80442174E8</v>
      </c>
      <c r="H113" s="73" t="s">
        <v>162</v>
      </c>
      <c r="I113" s="74">
        <v>3400.0</v>
      </c>
      <c r="J113" s="168" t="s">
        <v>25</v>
      </c>
      <c r="K113" s="75" t="s">
        <v>30</v>
      </c>
      <c r="L113" s="85" t="s">
        <v>27</v>
      </c>
      <c r="M113" s="104"/>
    </row>
    <row r="114" ht="15.75" customHeight="1">
      <c r="A114" s="44">
        <f t="shared" si="1"/>
        <v>-244</v>
      </c>
      <c r="B114" s="76" t="s">
        <v>38</v>
      </c>
      <c r="C114" s="76" t="s">
        <v>22</v>
      </c>
      <c r="D114" s="78">
        <v>45804.0</v>
      </c>
      <c r="E114" s="47">
        <f>MONTH('BOLETAS 2025'!$D114)</f>
        <v>5</v>
      </c>
      <c r="F114" s="171"/>
      <c r="G114" s="79">
        <v>9.95200007E8</v>
      </c>
      <c r="H114" s="79" t="s">
        <v>104</v>
      </c>
      <c r="I114" s="80">
        <v>20000.0</v>
      </c>
      <c r="J114" s="50" t="s">
        <v>25</v>
      </c>
      <c r="K114" s="81" t="s">
        <v>35</v>
      </c>
      <c r="L114" s="83" t="s">
        <v>105</v>
      </c>
      <c r="M114" s="107"/>
    </row>
    <row r="115" ht="15.75" customHeight="1">
      <c r="A115" s="54">
        <f t="shared" si="1"/>
        <v>-242</v>
      </c>
      <c r="B115" s="71" t="s">
        <v>38</v>
      </c>
      <c r="C115" s="71" t="s">
        <v>22</v>
      </c>
      <c r="D115" s="72">
        <v>45806.0</v>
      </c>
      <c r="E115" s="58">
        <f>MONTH('BOLETAS 2025'!$D115)</f>
        <v>5</v>
      </c>
      <c r="F115" s="102">
        <v>8.1669984E7</v>
      </c>
      <c r="G115" s="102">
        <v>9.66909803E8</v>
      </c>
      <c r="H115" s="102" t="s">
        <v>173</v>
      </c>
      <c r="I115" s="74">
        <v>3780.0</v>
      </c>
      <c r="J115" s="168" t="s">
        <v>25</v>
      </c>
      <c r="K115" s="75" t="s">
        <v>30</v>
      </c>
      <c r="L115" s="85" t="s">
        <v>27</v>
      </c>
      <c r="M115" s="104"/>
    </row>
    <row r="116" ht="15.75" customHeight="1">
      <c r="A116" s="44">
        <f t="shared" si="1"/>
        <v>-255</v>
      </c>
      <c r="B116" s="76" t="s">
        <v>38</v>
      </c>
      <c r="C116" s="76" t="s">
        <v>22</v>
      </c>
      <c r="D116" s="78">
        <v>45793.0</v>
      </c>
      <c r="E116" s="47">
        <f>MONTH('BOLETAS 2025'!$D116)</f>
        <v>5</v>
      </c>
      <c r="F116" s="105">
        <v>910.0</v>
      </c>
      <c r="G116" s="105">
        <v>7.70062241E8</v>
      </c>
      <c r="H116" s="105" t="s">
        <v>174</v>
      </c>
      <c r="I116" s="80">
        <v>7990.0</v>
      </c>
      <c r="J116" s="169" t="s">
        <v>25</v>
      </c>
      <c r="K116" s="81" t="s">
        <v>26</v>
      </c>
      <c r="L116" s="83" t="s">
        <v>27</v>
      </c>
      <c r="M116" s="107"/>
    </row>
    <row r="117" ht="15.75" customHeight="1">
      <c r="A117" s="54">
        <f t="shared" si="1"/>
        <v>-259</v>
      </c>
      <c r="B117" s="71" t="s">
        <v>38</v>
      </c>
      <c r="C117" s="71" t="s">
        <v>22</v>
      </c>
      <c r="D117" s="72">
        <v>45789.0</v>
      </c>
      <c r="E117" s="58">
        <f>MONTH('BOLETAS 2025'!$D117)</f>
        <v>5</v>
      </c>
      <c r="F117" s="102">
        <v>2545.0</v>
      </c>
      <c r="G117" s="102">
        <v>7.79832295E8</v>
      </c>
      <c r="H117" s="102" t="s">
        <v>175</v>
      </c>
      <c r="I117" s="74">
        <v>3600.0</v>
      </c>
      <c r="J117" s="168" t="s">
        <v>25</v>
      </c>
      <c r="K117" s="75" t="s">
        <v>30</v>
      </c>
      <c r="L117" s="85" t="s">
        <v>27</v>
      </c>
      <c r="M117" s="104"/>
    </row>
    <row r="118" ht="15.75" customHeight="1">
      <c r="A118" s="44">
        <f t="shared" si="1"/>
        <v>-269</v>
      </c>
      <c r="B118" s="76" t="s">
        <v>38</v>
      </c>
      <c r="C118" s="76" t="s">
        <v>22</v>
      </c>
      <c r="D118" s="78">
        <v>45779.0</v>
      </c>
      <c r="E118" s="47">
        <f>MONTH('BOLETAS 2025'!$D118)</f>
        <v>5</v>
      </c>
      <c r="F118" s="105">
        <v>8439627.0</v>
      </c>
      <c r="G118" s="105">
        <v>7.76481807E8</v>
      </c>
      <c r="H118" s="105" t="s">
        <v>171</v>
      </c>
      <c r="I118" s="80">
        <v>2290.0</v>
      </c>
      <c r="J118" s="169" t="s">
        <v>25</v>
      </c>
      <c r="K118" s="81" t="s">
        <v>26</v>
      </c>
      <c r="L118" s="83" t="s">
        <v>27</v>
      </c>
      <c r="M118" s="107"/>
    </row>
    <row r="119" ht="15.75" customHeight="1">
      <c r="A119" s="54">
        <f t="shared" si="1"/>
        <v>-266</v>
      </c>
      <c r="B119" s="71" t="s">
        <v>38</v>
      </c>
      <c r="C119" s="71" t="s">
        <v>22</v>
      </c>
      <c r="D119" s="72">
        <v>45782.0</v>
      </c>
      <c r="E119" s="58">
        <f>MONTH('BOLETAS 2025'!$D119)</f>
        <v>5</v>
      </c>
      <c r="F119" s="102">
        <v>232297.0</v>
      </c>
      <c r="G119" s="102">
        <v>7.74408754E8</v>
      </c>
      <c r="H119" s="102" t="s">
        <v>176</v>
      </c>
      <c r="I119" s="74">
        <v>1550.0</v>
      </c>
      <c r="J119" s="168" t="s">
        <v>25</v>
      </c>
      <c r="K119" s="75" t="s">
        <v>26</v>
      </c>
      <c r="L119" s="85" t="s">
        <v>27</v>
      </c>
      <c r="M119" s="104"/>
    </row>
    <row r="120" ht="15.75" customHeight="1">
      <c r="A120" s="44">
        <f t="shared" si="1"/>
        <v>-265</v>
      </c>
      <c r="B120" s="76" t="s">
        <v>38</v>
      </c>
      <c r="C120" s="76" t="s">
        <v>22</v>
      </c>
      <c r="D120" s="78">
        <v>45783.0</v>
      </c>
      <c r="E120" s="47">
        <f>MONTH('BOLETAS 2025'!$D120)</f>
        <v>5</v>
      </c>
      <c r="F120" s="105">
        <v>82821.0</v>
      </c>
      <c r="G120" s="105">
        <v>7.61242555E8</v>
      </c>
      <c r="H120" s="105" t="s">
        <v>177</v>
      </c>
      <c r="I120" s="80">
        <v>4770.0</v>
      </c>
      <c r="J120" s="169" t="s">
        <v>25</v>
      </c>
      <c r="K120" s="81" t="s">
        <v>26</v>
      </c>
      <c r="L120" s="83" t="s">
        <v>27</v>
      </c>
      <c r="M120" s="107"/>
    </row>
    <row r="121" ht="15.75" customHeight="1">
      <c r="A121" s="54">
        <f t="shared" si="1"/>
        <v>-265</v>
      </c>
      <c r="B121" s="71" t="s">
        <v>38</v>
      </c>
      <c r="C121" s="71" t="s">
        <v>22</v>
      </c>
      <c r="D121" s="72">
        <v>45783.0</v>
      </c>
      <c r="E121" s="58">
        <f>MONTH('BOLETAS 2025'!$D121)</f>
        <v>5</v>
      </c>
      <c r="F121" s="102">
        <v>1.26115E7</v>
      </c>
      <c r="G121" s="102">
        <v>9.67564303E8</v>
      </c>
      <c r="H121" s="102" t="s">
        <v>178</v>
      </c>
      <c r="I121" s="74">
        <v>21737.0</v>
      </c>
      <c r="J121" s="168" t="s">
        <v>25</v>
      </c>
      <c r="K121" s="75" t="s">
        <v>26</v>
      </c>
      <c r="L121" s="85" t="s">
        <v>27</v>
      </c>
      <c r="M121" s="104"/>
    </row>
    <row r="122" ht="15.75" customHeight="1">
      <c r="A122" s="44">
        <f t="shared" si="1"/>
        <v>-239</v>
      </c>
      <c r="B122" s="76" t="s">
        <v>38</v>
      </c>
      <c r="C122" s="76" t="s">
        <v>22</v>
      </c>
      <c r="D122" s="78">
        <v>45809.0</v>
      </c>
      <c r="E122" s="47">
        <f>MONTH('BOLETAS 2025'!$D122)</f>
        <v>6</v>
      </c>
      <c r="F122" s="105">
        <v>8.2213808E7</v>
      </c>
      <c r="G122" s="105">
        <v>9.66909803E8</v>
      </c>
      <c r="H122" s="105" t="s">
        <v>173</v>
      </c>
      <c r="I122" s="80">
        <v>8900.0</v>
      </c>
      <c r="J122" s="169" t="s">
        <v>25</v>
      </c>
      <c r="K122" s="81" t="s">
        <v>30</v>
      </c>
      <c r="L122" s="83" t="s">
        <v>27</v>
      </c>
      <c r="M122" s="107"/>
    </row>
    <row r="123" ht="15.75" customHeight="1">
      <c r="A123" s="54">
        <f t="shared" si="1"/>
        <v>-236</v>
      </c>
      <c r="B123" s="71" t="s">
        <v>38</v>
      </c>
      <c r="C123" s="71" t="s">
        <v>22</v>
      </c>
      <c r="D123" s="72">
        <v>45812.0</v>
      </c>
      <c r="E123" s="58">
        <f>MONTH('BOLETAS 2025'!$D123)</f>
        <v>6</v>
      </c>
      <c r="F123" s="102">
        <v>27950.0</v>
      </c>
      <c r="G123" s="102">
        <v>7.67146337E8</v>
      </c>
      <c r="H123" s="102" t="s">
        <v>179</v>
      </c>
      <c r="I123" s="74">
        <v>21900.0</v>
      </c>
      <c r="J123" s="168" t="s">
        <v>25</v>
      </c>
      <c r="K123" s="75" t="s">
        <v>26</v>
      </c>
      <c r="L123" s="85" t="s">
        <v>27</v>
      </c>
      <c r="M123" s="104"/>
    </row>
    <row r="124" ht="15.75" customHeight="1">
      <c r="A124" s="44">
        <f t="shared" si="1"/>
        <v>-236</v>
      </c>
      <c r="B124" s="76" t="s">
        <v>38</v>
      </c>
      <c r="C124" s="76" t="s">
        <v>22</v>
      </c>
      <c r="D124" s="78">
        <v>45812.0</v>
      </c>
      <c r="E124" s="47">
        <f>MONTH('BOLETAS 2025'!$D124)</f>
        <v>6</v>
      </c>
      <c r="F124" s="105">
        <v>1698.0</v>
      </c>
      <c r="G124" s="105">
        <v>7.79680835E8</v>
      </c>
      <c r="H124" s="105" t="s">
        <v>180</v>
      </c>
      <c r="I124" s="80">
        <v>11980.0</v>
      </c>
      <c r="J124" s="169" t="s">
        <v>25</v>
      </c>
      <c r="K124" s="81" t="s">
        <v>26</v>
      </c>
      <c r="L124" s="83" t="s">
        <v>27</v>
      </c>
      <c r="M124" s="107"/>
    </row>
    <row r="125" ht="15.75" customHeight="1">
      <c r="A125" s="54">
        <f t="shared" si="1"/>
        <v>-230</v>
      </c>
      <c r="B125" s="71" t="s">
        <v>38</v>
      </c>
      <c r="C125" s="71" t="s">
        <v>22</v>
      </c>
      <c r="D125" s="72">
        <v>45818.0</v>
      </c>
      <c r="E125" s="58">
        <f>MONTH('BOLETAS 2025'!$D125)</f>
        <v>6</v>
      </c>
      <c r="F125" s="102">
        <v>2975.0</v>
      </c>
      <c r="G125" s="102">
        <v>7.79680835E8</v>
      </c>
      <c r="H125" s="102" t="s">
        <v>180</v>
      </c>
      <c r="I125" s="74">
        <v>1000.0</v>
      </c>
      <c r="J125" s="168" t="s">
        <v>25</v>
      </c>
      <c r="K125" s="75" t="s">
        <v>35</v>
      </c>
      <c r="L125" s="85" t="s">
        <v>27</v>
      </c>
      <c r="M125" s="104"/>
    </row>
    <row r="126" ht="15.75" customHeight="1">
      <c r="A126" s="44">
        <f t="shared" si="1"/>
        <v>-232</v>
      </c>
      <c r="B126" s="76" t="s">
        <v>38</v>
      </c>
      <c r="C126" s="76" t="s">
        <v>22</v>
      </c>
      <c r="D126" s="78">
        <v>45816.0</v>
      </c>
      <c r="E126" s="47">
        <f>MONTH('BOLETAS 2025'!$D126)</f>
        <v>6</v>
      </c>
      <c r="F126" s="105">
        <v>20434.0</v>
      </c>
      <c r="G126" s="105">
        <v>7.6458299E7</v>
      </c>
      <c r="H126" s="105" t="s">
        <v>150</v>
      </c>
      <c r="I126" s="80">
        <v>9570.0</v>
      </c>
      <c r="J126" s="169" t="s">
        <v>25</v>
      </c>
      <c r="K126" s="81" t="s">
        <v>26</v>
      </c>
      <c r="L126" s="83" t="s">
        <v>27</v>
      </c>
      <c r="M126" s="107"/>
    </row>
    <row r="127" ht="15.75" customHeight="1">
      <c r="A127" s="54">
        <f t="shared" si="1"/>
        <v>-231</v>
      </c>
      <c r="B127" s="71" t="s">
        <v>38</v>
      </c>
      <c r="C127" s="71" t="s">
        <v>22</v>
      </c>
      <c r="D127" s="72">
        <v>45817.0</v>
      </c>
      <c r="E127" s="58">
        <f>MONTH('BOLETAS 2025'!$D127)</f>
        <v>6</v>
      </c>
      <c r="F127" s="102">
        <v>28833.0</v>
      </c>
      <c r="G127" s="102">
        <v>7.69198679E8</v>
      </c>
      <c r="H127" s="102" t="s">
        <v>181</v>
      </c>
      <c r="I127" s="74">
        <v>5890.0</v>
      </c>
      <c r="J127" s="168" t="s">
        <v>25</v>
      </c>
      <c r="K127" s="75" t="s">
        <v>26</v>
      </c>
      <c r="L127" s="85" t="s">
        <v>27</v>
      </c>
      <c r="M127" s="104"/>
    </row>
    <row r="128" ht="15.75" customHeight="1">
      <c r="A128" s="44">
        <f t="shared" si="1"/>
        <v>-231</v>
      </c>
      <c r="B128" s="76" t="s">
        <v>38</v>
      </c>
      <c r="C128" s="76" t="s">
        <v>22</v>
      </c>
      <c r="D128" s="78">
        <v>45817.0</v>
      </c>
      <c r="E128" s="47">
        <f>MONTH('BOLETAS 2025'!$D128)</f>
        <v>6</v>
      </c>
      <c r="F128" s="105">
        <v>8.207175E7</v>
      </c>
      <c r="G128" s="105">
        <v>9.66909803E8</v>
      </c>
      <c r="H128" s="105" t="s">
        <v>173</v>
      </c>
      <c r="I128" s="80">
        <v>3570.0</v>
      </c>
      <c r="J128" s="169" t="s">
        <v>25</v>
      </c>
      <c r="K128" s="81" t="s">
        <v>30</v>
      </c>
      <c r="L128" s="83" t="s">
        <v>27</v>
      </c>
      <c r="M128" s="107"/>
    </row>
    <row r="129" ht="15.75" customHeight="1">
      <c r="A129" s="54">
        <f t="shared" si="1"/>
        <v>-230</v>
      </c>
      <c r="B129" s="71" t="s">
        <v>38</v>
      </c>
      <c r="C129" s="71" t="s">
        <v>22</v>
      </c>
      <c r="D129" s="72">
        <v>45818.0</v>
      </c>
      <c r="E129" s="58">
        <f>MONTH('BOLETAS 2025'!$D129)</f>
        <v>6</v>
      </c>
      <c r="F129" s="102">
        <v>96.0</v>
      </c>
      <c r="G129" s="102">
        <v>7.7956625E8</v>
      </c>
      <c r="H129" s="102" t="s">
        <v>182</v>
      </c>
      <c r="I129" s="74">
        <v>1110.0</v>
      </c>
      <c r="J129" s="168" t="s">
        <v>25</v>
      </c>
      <c r="K129" s="75" t="s">
        <v>26</v>
      </c>
      <c r="L129" s="85" t="s">
        <v>27</v>
      </c>
      <c r="M129" s="104"/>
    </row>
    <row r="130" ht="15.75" customHeight="1">
      <c r="A130" s="44">
        <f t="shared" si="1"/>
        <v>-230</v>
      </c>
      <c r="B130" s="76" t="s">
        <v>38</v>
      </c>
      <c r="C130" s="76" t="s">
        <v>22</v>
      </c>
      <c r="D130" s="78">
        <v>45818.0</v>
      </c>
      <c r="E130" s="47">
        <f>MONTH('BOLETAS 2025'!$D130)</f>
        <v>6</v>
      </c>
      <c r="F130" s="171"/>
      <c r="G130" s="79">
        <v>7.80442174E8</v>
      </c>
      <c r="H130" s="79" t="s">
        <v>162</v>
      </c>
      <c r="I130" s="80">
        <v>2000.0</v>
      </c>
      <c r="J130" s="169" t="s">
        <v>25</v>
      </c>
      <c r="K130" s="81" t="s">
        <v>26</v>
      </c>
      <c r="L130" s="83" t="s">
        <v>27</v>
      </c>
      <c r="M130" s="107"/>
    </row>
    <row r="131" ht="15.75" customHeight="1">
      <c r="A131" s="54">
        <f t="shared" si="1"/>
        <v>-229</v>
      </c>
      <c r="B131" s="71" t="s">
        <v>38</v>
      </c>
      <c r="C131" s="71" t="s">
        <v>22</v>
      </c>
      <c r="D131" s="72">
        <v>45819.0</v>
      </c>
      <c r="E131" s="58">
        <f>MONTH('BOLETAS 2025'!$D131)</f>
        <v>6</v>
      </c>
      <c r="F131" s="102">
        <v>234976.0</v>
      </c>
      <c r="G131" s="102">
        <v>7.74408754E8</v>
      </c>
      <c r="H131" s="102" t="s">
        <v>176</v>
      </c>
      <c r="I131" s="74">
        <v>9840.0</v>
      </c>
      <c r="J131" s="168" t="s">
        <v>25</v>
      </c>
      <c r="K131" s="75" t="s">
        <v>26</v>
      </c>
      <c r="L131" s="85" t="s">
        <v>27</v>
      </c>
      <c r="M131" s="104"/>
    </row>
    <row r="132" ht="15.75" customHeight="1">
      <c r="A132" s="44">
        <f t="shared" si="1"/>
        <v>-229</v>
      </c>
      <c r="B132" s="76" t="s">
        <v>38</v>
      </c>
      <c r="C132" s="76" t="s">
        <v>22</v>
      </c>
      <c r="D132" s="78">
        <v>45819.0</v>
      </c>
      <c r="E132" s="47">
        <f>MONTH('BOLETAS 2025'!$D132)</f>
        <v>6</v>
      </c>
      <c r="F132" s="105">
        <v>2477.0</v>
      </c>
      <c r="G132" s="105">
        <v>7.79832295E8</v>
      </c>
      <c r="H132" s="105" t="s">
        <v>183</v>
      </c>
      <c r="I132" s="80">
        <v>2100.0</v>
      </c>
      <c r="J132" s="169" t="s">
        <v>25</v>
      </c>
      <c r="K132" s="81" t="s">
        <v>26</v>
      </c>
      <c r="L132" s="83" t="s">
        <v>27</v>
      </c>
      <c r="M132" s="107"/>
    </row>
    <row r="133" ht="15.75" customHeight="1">
      <c r="A133" s="54">
        <f t="shared" si="1"/>
        <v>-218</v>
      </c>
      <c r="B133" s="71" t="s">
        <v>38</v>
      </c>
      <c r="C133" s="71" t="s">
        <v>22</v>
      </c>
      <c r="D133" s="72">
        <v>45830.0</v>
      </c>
      <c r="E133" s="58">
        <f>MONTH('BOLETAS 2025'!$D133)</f>
        <v>6</v>
      </c>
      <c r="F133" s="102">
        <v>1.1430931E7</v>
      </c>
      <c r="G133" s="102">
        <v>7.64583299E8</v>
      </c>
      <c r="H133" s="102" t="s">
        <v>184</v>
      </c>
      <c r="I133" s="74">
        <v>8340.0</v>
      </c>
      <c r="J133" s="168" t="s">
        <v>25</v>
      </c>
      <c r="K133" s="75" t="s">
        <v>26</v>
      </c>
      <c r="L133" s="85" t="s">
        <v>27</v>
      </c>
      <c r="M133" s="104"/>
    </row>
    <row r="134" ht="15.75" customHeight="1">
      <c r="A134" s="44">
        <f t="shared" si="1"/>
        <v>-218</v>
      </c>
      <c r="B134" s="76" t="s">
        <v>38</v>
      </c>
      <c r="C134" s="76" t="s">
        <v>22</v>
      </c>
      <c r="D134" s="78">
        <v>45830.0</v>
      </c>
      <c r="E134" s="47">
        <f>MONTH('BOLETAS 2025'!$D134)</f>
        <v>6</v>
      </c>
      <c r="F134" s="105">
        <v>31516.0</v>
      </c>
      <c r="G134" s="105">
        <v>1.87995612E8</v>
      </c>
      <c r="H134" s="105" t="s">
        <v>185</v>
      </c>
      <c r="I134" s="80">
        <v>3150.0</v>
      </c>
      <c r="J134" s="169" t="s">
        <v>25</v>
      </c>
      <c r="K134" s="81" t="s">
        <v>26</v>
      </c>
      <c r="L134" s="83" t="s">
        <v>27</v>
      </c>
      <c r="M134" s="107"/>
    </row>
    <row r="135" ht="15.75" customHeight="1">
      <c r="A135" s="54">
        <f t="shared" si="1"/>
        <v>-209</v>
      </c>
      <c r="B135" s="71" t="s">
        <v>38</v>
      </c>
      <c r="C135" s="71" t="s">
        <v>22</v>
      </c>
      <c r="D135" s="72">
        <v>45839.0</v>
      </c>
      <c r="E135" s="58">
        <f>MONTH('BOLETAS 2025'!$D135)</f>
        <v>7</v>
      </c>
      <c r="F135" s="102">
        <v>3.105548727E9</v>
      </c>
      <c r="G135" s="102" t="s">
        <v>186</v>
      </c>
      <c r="H135" s="102" t="s">
        <v>187</v>
      </c>
      <c r="I135" s="74">
        <v>49080.0</v>
      </c>
      <c r="J135" s="168" t="s">
        <v>25</v>
      </c>
      <c r="K135" s="75" t="s">
        <v>26</v>
      </c>
      <c r="L135" s="85" t="s">
        <v>27</v>
      </c>
      <c r="M135" s="104"/>
    </row>
    <row r="136" ht="15.75" customHeight="1">
      <c r="A136" s="44">
        <f t="shared" si="1"/>
        <v>-217</v>
      </c>
      <c r="B136" s="76" t="s">
        <v>38</v>
      </c>
      <c r="C136" s="76" t="s">
        <v>22</v>
      </c>
      <c r="D136" s="78">
        <v>45831.0</v>
      </c>
      <c r="E136" s="47">
        <f>MONTH('BOLETAS 2025'!$D136)</f>
        <v>6</v>
      </c>
      <c r="F136" s="105">
        <v>8.2763041E7</v>
      </c>
      <c r="G136" s="105">
        <v>9.66909803E8</v>
      </c>
      <c r="H136" s="105" t="s">
        <v>173</v>
      </c>
      <c r="I136" s="80">
        <v>4130.0</v>
      </c>
      <c r="J136" s="169" t="s">
        <v>25</v>
      </c>
      <c r="K136" s="81" t="s">
        <v>30</v>
      </c>
      <c r="L136" s="83" t="s">
        <v>27</v>
      </c>
      <c r="M136" s="107"/>
    </row>
    <row r="137" ht="15.75" customHeight="1">
      <c r="A137" s="54">
        <f t="shared" si="1"/>
        <v>-216</v>
      </c>
      <c r="B137" s="71" t="s">
        <v>38</v>
      </c>
      <c r="C137" s="71" t="s">
        <v>22</v>
      </c>
      <c r="D137" s="72">
        <v>45832.0</v>
      </c>
      <c r="E137" s="58">
        <f>MONTH('BOLETAS 2025'!$D137)</f>
        <v>6</v>
      </c>
      <c r="F137" s="102">
        <v>5.69921553E8</v>
      </c>
      <c r="G137" s="102">
        <v>7.72156405E8</v>
      </c>
      <c r="H137" s="102" t="s">
        <v>188</v>
      </c>
      <c r="I137" s="74">
        <v>1940.0</v>
      </c>
      <c r="J137" s="168" t="s">
        <v>25</v>
      </c>
      <c r="K137" s="75" t="s">
        <v>26</v>
      </c>
      <c r="L137" s="85" t="s">
        <v>27</v>
      </c>
      <c r="M137" s="104"/>
    </row>
    <row r="138" ht="15.75" customHeight="1">
      <c r="A138" s="44">
        <f t="shared" si="1"/>
        <v>-212</v>
      </c>
      <c r="B138" s="76" t="s">
        <v>38</v>
      </c>
      <c r="C138" s="76" t="s">
        <v>22</v>
      </c>
      <c r="D138" s="78">
        <v>45836.0</v>
      </c>
      <c r="E138" s="47">
        <f>MONTH('BOLETAS 2025'!$D138)</f>
        <v>6</v>
      </c>
      <c r="F138" s="105">
        <v>15007.0</v>
      </c>
      <c r="G138" s="105">
        <v>7.78292033E8</v>
      </c>
      <c r="H138" s="105" t="s">
        <v>189</v>
      </c>
      <c r="I138" s="80">
        <v>37950.0</v>
      </c>
      <c r="J138" s="169" t="s">
        <v>25</v>
      </c>
      <c r="K138" s="81" t="s">
        <v>26</v>
      </c>
      <c r="L138" s="83" t="s">
        <v>27</v>
      </c>
      <c r="M138" s="107"/>
    </row>
    <row r="139" ht="15.75" customHeight="1">
      <c r="A139" s="54">
        <f t="shared" si="1"/>
        <v>-214</v>
      </c>
      <c r="B139" s="71" t="s">
        <v>38</v>
      </c>
      <c r="C139" s="71" t="s">
        <v>22</v>
      </c>
      <c r="D139" s="72">
        <v>45834.0</v>
      </c>
      <c r="E139" s="58">
        <f>MONTH('BOLETAS 2025'!$D139)</f>
        <v>6</v>
      </c>
      <c r="F139" s="102">
        <v>95.0</v>
      </c>
      <c r="G139" s="102">
        <v>7.74421122E8</v>
      </c>
      <c r="H139" s="102" t="s">
        <v>190</v>
      </c>
      <c r="I139" s="74">
        <v>3700.0</v>
      </c>
      <c r="J139" s="168" t="s">
        <v>25</v>
      </c>
      <c r="K139" s="75" t="s">
        <v>26</v>
      </c>
      <c r="L139" s="85" t="s">
        <v>27</v>
      </c>
      <c r="M139" s="104"/>
    </row>
    <row r="140" ht="15.75" customHeight="1">
      <c r="A140" s="44">
        <f t="shared" si="1"/>
        <v>-211</v>
      </c>
      <c r="B140" s="76" t="s">
        <v>38</v>
      </c>
      <c r="C140" s="76" t="s">
        <v>22</v>
      </c>
      <c r="D140" s="78">
        <v>45837.0</v>
      </c>
      <c r="E140" s="47">
        <f>MONTH('BOLETAS 2025'!$D140)</f>
        <v>6</v>
      </c>
      <c r="F140" s="105">
        <v>1.202007484E9</v>
      </c>
      <c r="G140" s="79" t="s">
        <v>52</v>
      </c>
      <c r="H140" s="79" t="s">
        <v>53</v>
      </c>
      <c r="I140" s="80">
        <v>43667.0</v>
      </c>
      <c r="J140" s="169" t="s">
        <v>25</v>
      </c>
      <c r="K140" s="81" t="s">
        <v>26</v>
      </c>
      <c r="L140" s="83" t="s">
        <v>27</v>
      </c>
      <c r="M140" s="107"/>
    </row>
    <row r="141" ht="15.75" customHeight="1">
      <c r="A141" s="54">
        <f t="shared" si="1"/>
        <v>-237</v>
      </c>
      <c r="B141" s="71" t="s">
        <v>38</v>
      </c>
      <c r="C141" s="71" t="s">
        <v>22</v>
      </c>
      <c r="D141" s="72">
        <v>45811.0</v>
      </c>
      <c r="E141" s="58">
        <f>MONTH('BOLETAS 2025'!$D141)</f>
        <v>6</v>
      </c>
      <c r="F141" s="102">
        <v>1672755.0</v>
      </c>
      <c r="G141" s="102">
        <v>9.9045264E7</v>
      </c>
      <c r="H141" s="102" t="s">
        <v>191</v>
      </c>
      <c r="I141" s="74">
        <v>60195.0</v>
      </c>
      <c r="J141" s="168" t="s">
        <v>25</v>
      </c>
      <c r="K141" s="75" t="s">
        <v>35</v>
      </c>
      <c r="L141" s="85" t="s">
        <v>105</v>
      </c>
      <c r="M141" s="104"/>
    </row>
    <row r="142" ht="15.75" customHeight="1">
      <c r="A142" s="44">
        <f t="shared" si="1"/>
        <v>-230</v>
      </c>
      <c r="B142" s="76" t="s">
        <v>38</v>
      </c>
      <c r="C142" s="76" t="s">
        <v>22</v>
      </c>
      <c r="D142" s="78">
        <v>45818.0</v>
      </c>
      <c r="E142" s="47">
        <f>MONTH('BOLETAS 2025'!$D142)</f>
        <v>6</v>
      </c>
      <c r="F142" s="105">
        <v>1947540.0</v>
      </c>
      <c r="G142" s="79">
        <v>9.95200007E8</v>
      </c>
      <c r="H142" s="79" t="s">
        <v>104</v>
      </c>
      <c r="I142" s="80">
        <v>20000.0</v>
      </c>
      <c r="J142" s="169" t="s">
        <v>25</v>
      </c>
      <c r="K142" s="81" t="s">
        <v>35</v>
      </c>
      <c r="L142" s="83" t="s">
        <v>105</v>
      </c>
      <c r="M142" s="107"/>
    </row>
    <row r="143" ht="15.75" customHeight="1">
      <c r="A143" s="54">
        <f t="shared" si="1"/>
        <v>-225</v>
      </c>
      <c r="B143" s="71" t="s">
        <v>38</v>
      </c>
      <c r="C143" s="71" t="s">
        <v>22</v>
      </c>
      <c r="D143" s="72">
        <v>45823.0</v>
      </c>
      <c r="E143" s="58">
        <f>MONTH('BOLETAS 2025'!$D143)</f>
        <v>6</v>
      </c>
      <c r="F143" s="102">
        <v>3.1211936E7</v>
      </c>
      <c r="G143" s="73">
        <v>9.95200007E8</v>
      </c>
      <c r="H143" s="73" t="s">
        <v>104</v>
      </c>
      <c r="I143" s="74">
        <v>20000.0</v>
      </c>
      <c r="J143" s="168" t="s">
        <v>25</v>
      </c>
      <c r="K143" s="75" t="s">
        <v>35</v>
      </c>
      <c r="L143" s="85" t="s">
        <v>105</v>
      </c>
      <c r="M143" s="104"/>
    </row>
    <row r="144" ht="15.75" customHeight="1">
      <c r="A144" s="44">
        <f t="shared" si="1"/>
        <v>-220</v>
      </c>
      <c r="B144" s="76" t="s">
        <v>38</v>
      </c>
      <c r="C144" s="76" t="s">
        <v>22</v>
      </c>
      <c r="D144" s="78">
        <v>45828.0</v>
      </c>
      <c r="E144" s="47">
        <f>MONTH('BOLETAS 2025'!$D144)</f>
        <v>6</v>
      </c>
      <c r="F144" s="105">
        <v>1954559.0</v>
      </c>
      <c r="G144" s="79">
        <v>9.95200007E8</v>
      </c>
      <c r="H144" s="79" t="s">
        <v>104</v>
      </c>
      <c r="I144" s="80">
        <v>20000.0</v>
      </c>
      <c r="J144" s="169" t="s">
        <v>25</v>
      </c>
      <c r="K144" s="81" t="s">
        <v>35</v>
      </c>
      <c r="L144" s="83" t="s">
        <v>105</v>
      </c>
      <c r="M144" s="107"/>
    </row>
    <row r="145" ht="15.75" customHeight="1">
      <c r="A145" s="54">
        <f t="shared" si="1"/>
        <v>-212</v>
      </c>
      <c r="B145" s="71" t="s">
        <v>38</v>
      </c>
      <c r="C145" s="71" t="s">
        <v>22</v>
      </c>
      <c r="D145" s="72">
        <v>45836.0</v>
      </c>
      <c r="E145" s="58">
        <f>MONTH('BOLETAS 2025'!$D145)</f>
        <v>6</v>
      </c>
      <c r="F145" s="102">
        <v>1960120.0</v>
      </c>
      <c r="G145" s="73">
        <v>9.95200007E8</v>
      </c>
      <c r="H145" s="73" t="s">
        <v>104</v>
      </c>
      <c r="I145" s="74">
        <v>20000.0</v>
      </c>
      <c r="J145" s="168" t="s">
        <v>25</v>
      </c>
      <c r="K145" s="75" t="s">
        <v>35</v>
      </c>
      <c r="L145" s="85" t="s">
        <v>105</v>
      </c>
      <c r="M145" s="104"/>
    </row>
    <row r="146" ht="15.75" customHeight="1">
      <c r="A146" s="44">
        <f t="shared" si="1"/>
        <v>-209</v>
      </c>
      <c r="B146" s="76" t="s">
        <v>38</v>
      </c>
      <c r="C146" s="76" t="s">
        <v>22</v>
      </c>
      <c r="D146" s="78">
        <v>45839.0</v>
      </c>
      <c r="E146" s="47">
        <f>MONTH('BOLETAS 2025'!$D146)</f>
        <v>7</v>
      </c>
      <c r="F146" s="105">
        <v>1217035.0</v>
      </c>
      <c r="G146" s="105">
        <v>9.46250007E8</v>
      </c>
      <c r="H146" s="105" t="s">
        <v>192</v>
      </c>
      <c r="I146" s="80">
        <v>2190.0</v>
      </c>
      <c r="J146" s="169" t="s">
        <v>25</v>
      </c>
      <c r="K146" s="81" t="s">
        <v>26</v>
      </c>
      <c r="L146" s="83" t="s">
        <v>27</v>
      </c>
      <c r="M146" s="107"/>
    </row>
    <row r="147" ht="15.75" customHeight="1">
      <c r="A147" s="54">
        <f t="shared" si="1"/>
        <v>-209</v>
      </c>
      <c r="B147" s="71" t="s">
        <v>38</v>
      </c>
      <c r="C147" s="71" t="s">
        <v>22</v>
      </c>
      <c r="D147" s="72">
        <v>45839.0</v>
      </c>
      <c r="E147" s="58">
        <f>MONTH('BOLETAS 2025'!$D147)</f>
        <v>7</v>
      </c>
      <c r="F147" s="102">
        <v>2.89357052E8</v>
      </c>
      <c r="G147" s="102">
        <v>7.97061204E8</v>
      </c>
      <c r="H147" s="102" t="s">
        <v>193</v>
      </c>
      <c r="I147" s="74">
        <v>3680.0</v>
      </c>
      <c r="J147" s="168" t="s">
        <v>25</v>
      </c>
      <c r="K147" s="75" t="s">
        <v>26</v>
      </c>
      <c r="L147" s="85" t="s">
        <v>27</v>
      </c>
      <c r="M147" s="104"/>
    </row>
    <row r="148" ht="15.75" customHeight="1">
      <c r="A148" s="44">
        <f t="shared" si="1"/>
        <v>-209</v>
      </c>
      <c r="B148" s="76" t="s">
        <v>38</v>
      </c>
      <c r="C148" s="76" t="s">
        <v>22</v>
      </c>
      <c r="D148" s="78">
        <v>45839.0</v>
      </c>
      <c r="E148" s="47">
        <f>MONTH('BOLETAS 2025'!$D148)</f>
        <v>7</v>
      </c>
      <c r="F148" s="105">
        <v>16960.0</v>
      </c>
      <c r="G148" s="105">
        <v>7.73790469E8</v>
      </c>
      <c r="H148" s="105" t="s">
        <v>194</v>
      </c>
      <c r="I148" s="80">
        <v>15580.0</v>
      </c>
      <c r="J148" s="169" t="s">
        <v>25</v>
      </c>
      <c r="K148" s="81" t="s">
        <v>26</v>
      </c>
      <c r="L148" s="83" t="s">
        <v>27</v>
      </c>
      <c r="M148" s="107"/>
    </row>
    <row r="149" ht="15.75" customHeight="1">
      <c r="A149" s="54">
        <f t="shared" si="1"/>
        <v>-209</v>
      </c>
      <c r="B149" s="71" t="s">
        <v>38</v>
      </c>
      <c r="C149" s="71" t="s">
        <v>22</v>
      </c>
      <c r="D149" s="72">
        <v>45839.0</v>
      </c>
      <c r="E149" s="58">
        <f>MONTH('BOLETAS 2025'!$D149)</f>
        <v>7</v>
      </c>
      <c r="F149" s="102">
        <v>5.07010376E8</v>
      </c>
      <c r="G149" s="102">
        <v>7.68003254E8</v>
      </c>
      <c r="H149" s="102" t="s">
        <v>195</v>
      </c>
      <c r="I149" s="74">
        <v>8650.0</v>
      </c>
      <c r="J149" s="168" t="s">
        <v>25</v>
      </c>
      <c r="K149" s="75" t="s">
        <v>26</v>
      </c>
      <c r="L149" s="85" t="s">
        <v>27</v>
      </c>
      <c r="M149" s="104"/>
    </row>
    <row r="150" ht="15.75" customHeight="1">
      <c r="A150" s="44">
        <f t="shared" si="1"/>
        <v>-209</v>
      </c>
      <c r="B150" s="76" t="s">
        <v>38</v>
      </c>
      <c r="C150" s="76" t="s">
        <v>22</v>
      </c>
      <c r="D150" s="78">
        <v>45839.0</v>
      </c>
      <c r="E150" s="47">
        <f>MONTH('BOLETAS 2025'!$D150)</f>
        <v>7</v>
      </c>
      <c r="F150" s="105">
        <v>145394.0</v>
      </c>
      <c r="G150" s="105" t="s">
        <v>186</v>
      </c>
      <c r="H150" s="105" t="s">
        <v>187</v>
      </c>
      <c r="I150" s="80">
        <v>30141.0</v>
      </c>
      <c r="J150" s="169" t="s">
        <v>25</v>
      </c>
      <c r="K150" s="81" t="s">
        <v>26</v>
      </c>
      <c r="L150" s="83" t="s">
        <v>27</v>
      </c>
      <c r="M150" s="107"/>
    </row>
    <row r="151" ht="15.75" customHeight="1">
      <c r="A151" s="54">
        <f t="shared" si="1"/>
        <v>-203</v>
      </c>
      <c r="B151" s="71" t="s">
        <v>38</v>
      </c>
      <c r="C151" s="71" t="s">
        <v>22</v>
      </c>
      <c r="D151" s="72">
        <v>45845.0</v>
      </c>
      <c r="E151" s="58">
        <f>MONTH('BOLETAS 2025'!$D151)</f>
        <v>7</v>
      </c>
      <c r="F151" s="102">
        <v>67906.0</v>
      </c>
      <c r="G151" s="102">
        <v>7.81827177E8</v>
      </c>
      <c r="H151" s="102" t="s">
        <v>196</v>
      </c>
      <c r="I151" s="74">
        <v>8400.0</v>
      </c>
      <c r="J151" s="168" t="s">
        <v>25</v>
      </c>
      <c r="K151" s="75" t="s">
        <v>26</v>
      </c>
      <c r="L151" s="85" t="s">
        <v>27</v>
      </c>
      <c r="M151" s="104"/>
    </row>
    <row r="152" ht="15.75" customHeight="1">
      <c r="A152" s="44">
        <f t="shared" si="1"/>
        <v>-203</v>
      </c>
      <c r="B152" s="76" t="s">
        <v>38</v>
      </c>
      <c r="C152" s="76" t="s">
        <v>22</v>
      </c>
      <c r="D152" s="78">
        <v>45845.0</v>
      </c>
      <c r="E152" s="47">
        <f>MONTH('BOLETAS 2025'!$D152)</f>
        <v>7</v>
      </c>
      <c r="F152" s="105">
        <v>8.6286661E7</v>
      </c>
      <c r="G152" s="79">
        <v>9.6811302E7</v>
      </c>
      <c r="H152" s="79" t="s">
        <v>117</v>
      </c>
      <c r="I152" s="80">
        <v>11193.0</v>
      </c>
      <c r="J152" s="169" t="s">
        <v>25</v>
      </c>
      <c r="K152" s="81" t="s">
        <v>35</v>
      </c>
      <c r="L152" s="83" t="s">
        <v>27</v>
      </c>
      <c r="M152" s="107"/>
    </row>
    <row r="153" ht="15.75" customHeight="1">
      <c r="A153" s="54">
        <f t="shared" si="1"/>
        <v>-201</v>
      </c>
      <c r="B153" s="71" t="s">
        <v>38</v>
      </c>
      <c r="C153" s="71" t="s">
        <v>22</v>
      </c>
      <c r="D153" s="72">
        <v>45847.0</v>
      </c>
      <c r="E153" s="58">
        <f>MONTH('BOLETAS 2025'!$D153)</f>
        <v>7</v>
      </c>
      <c r="F153" s="102">
        <v>16818.0</v>
      </c>
      <c r="G153" s="102" t="s">
        <v>186</v>
      </c>
      <c r="H153" s="102" t="s">
        <v>187</v>
      </c>
      <c r="I153" s="74">
        <v>2990.0</v>
      </c>
      <c r="J153" s="168" t="s">
        <v>25</v>
      </c>
      <c r="K153" s="75" t="s">
        <v>26</v>
      </c>
      <c r="L153" s="85" t="s">
        <v>27</v>
      </c>
      <c r="M153" s="104"/>
    </row>
    <row r="154" ht="15.75" customHeight="1">
      <c r="A154" s="44">
        <f t="shared" si="1"/>
        <v>-197</v>
      </c>
      <c r="B154" s="76" t="s">
        <v>38</v>
      </c>
      <c r="C154" s="76" t="s">
        <v>22</v>
      </c>
      <c r="D154" s="78">
        <v>45851.0</v>
      </c>
      <c r="E154" s="47">
        <f>MONTH('BOLETAS 2025'!$D154)</f>
        <v>7</v>
      </c>
      <c r="F154" s="105">
        <v>1463057.0</v>
      </c>
      <c r="G154" s="105" t="s">
        <v>186</v>
      </c>
      <c r="H154" s="105" t="s">
        <v>187</v>
      </c>
      <c r="I154" s="80">
        <v>48444.0</v>
      </c>
      <c r="J154" s="169" t="s">
        <v>25</v>
      </c>
      <c r="K154" s="81" t="s">
        <v>26</v>
      </c>
      <c r="L154" s="83" t="s">
        <v>27</v>
      </c>
      <c r="M154" s="107"/>
    </row>
    <row r="155" ht="15.75" customHeight="1">
      <c r="A155" s="54">
        <f t="shared" si="1"/>
        <v>-197</v>
      </c>
      <c r="B155" s="71" t="s">
        <v>38</v>
      </c>
      <c r="C155" s="71" t="s">
        <v>22</v>
      </c>
      <c r="D155" s="72">
        <v>45851.0</v>
      </c>
      <c r="E155" s="58">
        <f>MONTH('BOLETAS 2025'!$D155)</f>
        <v>7</v>
      </c>
      <c r="F155" s="102">
        <v>207807.0</v>
      </c>
      <c r="G155" s="102">
        <v>7.75274255E8</v>
      </c>
      <c r="H155" s="102" t="s">
        <v>197</v>
      </c>
      <c r="I155" s="74">
        <v>18500.0</v>
      </c>
      <c r="J155" s="168" t="s">
        <v>25</v>
      </c>
      <c r="K155" s="75" t="s">
        <v>35</v>
      </c>
      <c r="L155" s="85" t="s">
        <v>27</v>
      </c>
      <c r="M155" s="104"/>
    </row>
    <row r="156" ht="15.75" customHeight="1">
      <c r="A156" s="44">
        <f t="shared" si="1"/>
        <v>-194</v>
      </c>
      <c r="B156" s="76" t="s">
        <v>38</v>
      </c>
      <c r="C156" s="76" t="s">
        <v>22</v>
      </c>
      <c r="D156" s="78">
        <v>45854.0</v>
      </c>
      <c r="E156" s="47">
        <f>MONTH('BOLETAS 2025'!$D156)</f>
        <v>7</v>
      </c>
      <c r="F156" s="105">
        <v>3150579.0</v>
      </c>
      <c r="G156" s="79">
        <v>9.95200007E8</v>
      </c>
      <c r="H156" s="79" t="s">
        <v>104</v>
      </c>
      <c r="I156" s="80">
        <v>20000.0</v>
      </c>
      <c r="J156" s="169" t="s">
        <v>25</v>
      </c>
      <c r="K156" s="81" t="s">
        <v>35</v>
      </c>
      <c r="L156" s="83" t="s">
        <v>105</v>
      </c>
      <c r="M156" s="107"/>
    </row>
    <row r="157" ht="15.75" customHeight="1">
      <c r="A157" s="54">
        <f t="shared" si="1"/>
        <v>-204</v>
      </c>
      <c r="B157" s="71" t="s">
        <v>38</v>
      </c>
      <c r="C157" s="71" t="s">
        <v>22</v>
      </c>
      <c r="D157" s="72">
        <v>45844.0</v>
      </c>
      <c r="E157" s="58">
        <f>MONTH('BOLETAS 2025'!$D157)</f>
        <v>7</v>
      </c>
      <c r="F157" s="102">
        <v>3141578.0</v>
      </c>
      <c r="G157" s="73">
        <v>9.95200007E8</v>
      </c>
      <c r="H157" s="73" t="s">
        <v>104</v>
      </c>
      <c r="I157" s="74">
        <v>30000.0</v>
      </c>
      <c r="J157" s="168" t="s">
        <v>25</v>
      </c>
      <c r="K157" s="75" t="s">
        <v>26</v>
      </c>
      <c r="L157" s="85" t="s">
        <v>105</v>
      </c>
      <c r="M157" s="104"/>
    </row>
    <row r="158" ht="15.75" customHeight="1">
      <c r="A158" s="44">
        <f t="shared" si="1"/>
        <v>-209</v>
      </c>
      <c r="B158" s="76" t="s">
        <v>38</v>
      </c>
      <c r="C158" s="76" t="s">
        <v>22</v>
      </c>
      <c r="D158" s="78">
        <v>45839.0</v>
      </c>
      <c r="E158" s="47">
        <f>MONTH('BOLETAS 2025'!$D158)</f>
        <v>7</v>
      </c>
      <c r="F158" s="105">
        <v>2965400.0</v>
      </c>
      <c r="G158" s="79">
        <v>9.95200007E8</v>
      </c>
      <c r="H158" s="79" t="s">
        <v>104</v>
      </c>
      <c r="I158" s="80">
        <v>20000.0</v>
      </c>
      <c r="J158" s="169" t="s">
        <v>25</v>
      </c>
      <c r="K158" s="81" t="s">
        <v>26</v>
      </c>
      <c r="L158" s="83" t="s">
        <v>105</v>
      </c>
      <c r="M158" s="107"/>
    </row>
    <row r="159" ht="15.75" customHeight="1">
      <c r="A159" s="54">
        <f t="shared" si="1"/>
        <v>-145</v>
      </c>
      <c r="B159" s="71" t="s">
        <v>38</v>
      </c>
      <c r="C159" s="71" t="s">
        <v>22</v>
      </c>
      <c r="D159" s="72">
        <v>45903.0</v>
      </c>
      <c r="E159" s="58">
        <f>MONTH('BOLETAS 2025'!$D159)</f>
        <v>9</v>
      </c>
      <c r="F159" s="102">
        <v>1.223567689E9</v>
      </c>
      <c r="G159" s="102">
        <v>7.61349465E8</v>
      </c>
      <c r="H159" s="102" t="s">
        <v>53</v>
      </c>
      <c r="I159" s="74">
        <v>2980.0</v>
      </c>
      <c r="J159" s="168" t="s">
        <v>25</v>
      </c>
      <c r="K159" s="75" t="s">
        <v>35</v>
      </c>
      <c r="L159" s="85" t="s">
        <v>27</v>
      </c>
      <c r="M159" s="104"/>
    </row>
    <row r="160" ht="15.75" customHeight="1">
      <c r="A160" s="44">
        <f t="shared" si="1"/>
        <v>-208</v>
      </c>
      <c r="B160" s="76" t="s">
        <v>38</v>
      </c>
      <c r="C160" s="76" t="s">
        <v>22</v>
      </c>
      <c r="D160" s="78">
        <v>45840.0</v>
      </c>
      <c r="E160" s="47">
        <f>MONTH('BOLETAS 2025'!$D160)</f>
        <v>7</v>
      </c>
      <c r="F160" s="105">
        <v>3.118931633E9</v>
      </c>
      <c r="G160" s="105" t="s">
        <v>186</v>
      </c>
      <c r="H160" s="105" t="s">
        <v>198</v>
      </c>
      <c r="I160" s="80">
        <v>28745.0</v>
      </c>
      <c r="J160" s="169" t="s">
        <v>25</v>
      </c>
      <c r="K160" s="81" t="s">
        <v>26</v>
      </c>
      <c r="L160" s="83" t="s">
        <v>27</v>
      </c>
      <c r="M160" s="107"/>
    </row>
    <row r="161" ht="15.75" customHeight="1">
      <c r="A161" s="54">
        <f t="shared" si="1"/>
        <v>-208</v>
      </c>
      <c r="B161" s="71" t="s">
        <v>38</v>
      </c>
      <c r="C161" s="71" t="s">
        <v>22</v>
      </c>
      <c r="D161" s="72">
        <v>45840.0</v>
      </c>
      <c r="E161" s="58">
        <f>MONTH('BOLETAS 2025'!$D161)</f>
        <v>7</v>
      </c>
      <c r="F161" s="102">
        <v>1000889.0</v>
      </c>
      <c r="G161" s="102">
        <v>9.66909803E8</v>
      </c>
      <c r="H161" s="102" t="s">
        <v>199</v>
      </c>
      <c r="I161" s="74">
        <v>10880.0</v>
      </c>
      <c r="J161" s="168" t="s">
        <v>25</v>
      </c>
      <c r="K161" s="75" t="s">
        <v>26</v>
      </c>
      <c r="L161" s="85" t="s">
        <v>27</v>
      </c>
      <c r="M161" s="104"/>
    </row>
    <row r="162" ht="15.75" customHeight="1">
      <c r="A162" s="44">
        <f t="shared" si="1"/>
        <v>-187</v>
      </c>
      <c r="B162" s="76" t="s">
        <v>38</v>
      </c>
      <c r="C162" s="76" t="s">
        <v>22</v>
      </c>
      <c r="D162" s="78">
        <v>45861.0</v>
      </c>
      <c r="E162" s="47">
        <f>MONTH('BOLETAS 2025'!$D162)</f>
        <v>7</v>
      </c>
      <c r="F162" s="105">
        <v>1.223651714E9</v>
      </c>
      <c r="G162" s="105">
        <v>7.61349465E8</v>
      </c>
      <c r="H162" s="105" t="s">
        <v>53</v>
      </c>
      <c r="I162" s="80">
        <v>46669.0</v>
      </c>
      <c r="J162" s="169" t="s">
        <v>25</v>
      </c>
      <c r="K162" s="81" t="s">
        <v>26</v>
      </c>
      <c r="L162" s="83" t="s">
        <v>27</v>
      </c>
      <c r="M162" s="107"/>
    </row>
    <row r="163" ht="15.75" customHeight="1">
      <c r="A163" s="54">
        <f t="shared" si="1"/>
        <v>-185</v>
      </c>
      <c r="B163" s="71" t="s">
        <v>38</v>
      </c>
      <c r="C163" s="71" t="s">
        <v>22</v>
      </c>
      <c r="D163" s="72">
        <v>45863.0</v>
      </c>
      <c r="E163" s="58">
        <f>MONTH('BOLETAS 2025'!$D163)</f>
        <v>7</v>
      </c>
      <c r="F163" s="102">
        <v>1978128.0</v>
      </c>
      <c r="G163" s="102">
        <v>7.71780504E8</v>
      </c>
      <c r="H163" s="73" t="s">
        <v>104</v>
      </c>
      <c r="I163" s="74">
        <v>20000.0</v>
      </c>
      <c r="J163" s="168" t="s">
        <v>25</v>
      </c>
      <c r="K163" s="75" t="s">
        <v>26</v>
      </c>
      <c r="L163" s="85" t="s">
        <v>105</v>
      </c>
      <c r="M163" s="104"/>
    </row>
    <row r="164" ht="15.75" customHeight="1">
      <c r="A164" s="44">
        <f t="shared" si="1"/>
        <v>-179</v>
      </c>
      <c r="B164" s="76" t="s">
        <v>38</v>
      </c>
      <c r="C164" s="76" t="s">
        <v>22</v>
      </c>
      <c r="D164" s="78">
        <v>45869.0</v>
      </c>
      <c r="E164" s="47">
        <f>MONTH('BOLETAS 2025'!$D164)</f>
        <v>7</v>
      </c>
      <c r="F164" s="105">
        <v>2661464.0</v>
      </c>
      <c r="G164" s="105">
        <v>7.65749549E8</v>
      </c>
      <c r="H164" s="105" t="s">
        <v>200</v>
      </c>
      <c r="I164" s="80">
        <v>20000.0</v>
      </c>
      <c r="J164" s="169" t="s">
        <v>25</v>
      </c>
      <c r="K164" s="81" t="s">
        <v>35</v>
      </c>
      <c r="L164" s="83" t="s">
        <v>105</v>
      </c>
      <c r="M164" s="107"/>
    </row>
    <row r="165" ht="15.75" customHeight="1">
      <c r="A165" s="54">
        <f t="shared" si="1"/>
        <v>-178</v>
      </c>
      <c r="B165" s="71" t="s">
        <v>38</v>
      </c>
      <c r="C165" s="71" t="s">
        <v>22</v>
      </c>
      <c r="D165" s="72">
        <v>45870.0</v>
      </c>
      <c r="E165" s="58">
        <f>MONTH('BOLETAS 2025'!$D165)</f>
        <v>8</v>
      </c>
      <c r="F165" s="102">
        <v>2272628.0</v>
      </c>
      <c r="G165" s="102">
        <v>8.78676009E8</v>
      </c>
      <c r="H165" s="73" t="s">
        <v>104</v>
      </c>
      <c r="I165" s="74">
        <v>10000.0</v>
      </c>
      <c r="J165" s="168" t="s">
        <v>25</v>
      </c>
      <c r="K165" s="75" t="s">
        <v>35</v>
      </c>
      <c r="L165" s="85" t="s">
        <v>105</v>
      </c>
      <c r="M165" s="104"/>
    </row>
    <row r="166" ht="15.75" customHeight="1">
      <c r="A166" s="44">
        <f t="shared" si="1"/>
        <v>-173</v>
      </c>
      <c r="B166" s="76" t="s">
        <v>38</v>
      </c>
      <c r="C166" s="76" t="s">
        <v>22</v>
      </c>
      <c r="D166" s="78">
        <v>45875.0</v>
      </c>
      <c r="E166" s="47">
        <f>MONTH('BOLETAS 2025'!$D166)</f>
        <v>8</v>
      </c>
      <c r="F166" s="105">
        <v>1985422.0</v>
      </c>
      <c r="G166" s="105">
        <v>7.71780504E8</v>
      </c>
      <c r="H166" s="79" t="s">
        <v>104</v>
      </c>
      <c r="I166" s="80">
        <v>40000.0</v>
      </c>
      <c r="J166" s="169" t="s">
        <v>25</v>
      </c>
      <c r="K166" s="81" t="s">
        <v>35</v>
      </c>
      <c r="L166" s="83" t="s">
        <v>105</v>
      </c>
      <c r="M166" s="107"/>
    </row>
    <row r="167" ht="15.75" customHeight="1">
      <c r="A167" s="54">
        <f t="shared" si="1"/>
        <v>-168</v>
      </c>
      <c r="B167" s="71" t="s">
        <v>38</v>
      </c>
      <c r="C167" s="71" t="s">
        <v>22</v>
      </c>
      <c r="D167" s="72">
        <v>45880.0</v>
      </c>
      <c r="E167" s="58">
        <f>MONTH('BOLETAS 2025'!$D167)</f>
        <v>8</v>
      </c>
      <c r="F167" s="102">
        <v>5146378.0</v>
      </c>
      <c r="G167" s="102">
        <v>7.88030606E8</v>
      </c>
      <c r="H167" s="73" t="s">
        <v>104</v>
      </c>
      <c r="I167" s="74">
        <v>30300.0</v>
      </c>
      <c r="J167" s="168" t="s">
        <v>25</v>
      </c>
      <c r="K167" s="75" t="s">
        <v>26</v>
      </c>
      <c r="L167" s="85" t="s">
        <v>105</v>
      </c>
      <c r="M167" s="104"/>
    </row>
    <row r="168" ht="15.75" customHeight="1">
      <c r="A168" s="44">
        <f t="shared" si="1"/>
        <v>-166</v>
      </c>
      <c r="B168" s="76" t="s">
        <v>38</v>
      </c>
      <c r="C168" s="76" t="s">
        <v>22</v>
      </c>
      <c r="D168" s="78">
        <v>45882.0</v>
      </c>
      <c r="E168" s="47">
        <f>MONTH('BOLETAS 2025'!$D168)</f>
        <v>8</v>
      </c>
      <c r="F168" s="105">
        <v>7.8565533E7</v>
      </c>
      <c r="G168" s="105">
        <v>7.61349414E8</v>
      </c>
      <c r="H168" s="105" t="s">
        <v>53</v>
      </c>
      <c r="I168" s="80">
        <v>31000.0</v>
      </c>
      <c r="J168" s="169" t="s">
        <v>25</v>
      </c>
      <c r="K168" s="81" t="s">
        <v>35</v>
      </c>
      <c r="L168" s="83" t="s">
        <v>27</v>
      </c>
      <c r="M168" s="107"/>
    </row>
    <row r="169" ht="15.75" customHeight="1">
      <c r="A169" s="54">
        <f t="shared" si="1"/>
        <v>-165</v>
      </c>
      <c r="B169" s="71" t="s">
        <v>38</v>
      </c>
      <c r="C169" s="71" t="s">
        <v>22</v>
      </c>
      <c r="D169" s="72">
        <v>45883.0</v>
      </c>
      <c r="E169" s="58">
        <f>MONTH('BOLETAS 2025'!$D169)</f>
        <v>8</v>
      </c>
      <c r="F169" s="102">
        <v>8.3641669E7</v>
      </c>
      <c r="G169" s="102">
        <v>9.66909803E8</v>
      </c>
      <c r="H169" s="102" t="s">
        <v>199</v>
      </c>
      <c r="I169" s="74">
        <v>4420.0</v>
      </c>
      <c r="J169" s="168" t="s">
        <v>25</v>
      </c>
      <c r="K169" s="75" t="s">
        <v>26</v>
      </c>
      <c r="L169" s="85" t="s">
        <v>27</v>
      </c>
      <c r="M169" s="104"/>
    </row>
    <row r="170" ht="15.75" customHeight="1">
      <c r="A170" s="44">
        <f t="shared" si="1"/>
        <v>-164</v>
      </c>
      <c r="B170" s="76" t="s">
        <v>38</v>
      </c>
      <c r="C170" s="76" t="s">
        <v>22</v>
      </c>
      <c r="D170" s="78">
        <v>45884.0</v>
      </c>
      <c r="E170" s="47">
        <f>MONTH('BOLETAS 2025'!$D170)</f>
        <v>8</v>
      </c>
      <c r="F170" s="105">
        <v>3.160787141E9</v>
      </c>
      <c r="G170" s="105" t="s">
        <v>186</v>
      </c>
      <c r="H170" s="105" t="s">
        <v>198</v>
      </c>
      <c r="I170" s="80">
        <v>91939.0</v>
      </c>
      <c r="J170" s="169" t="s">
        <v>25</v>
      </c>
      <c r="K170" s="81" t="s">
        <v>26</v>
      </c>
      <c r="L170" s="83" t="s">
        <v>27</v>
      </c>
      <c r="M170" s="107"/>
    </row>
    <row r="171" ht="15.75" customHeight="1">
      <c r="A171" s="54">
        <f t="shared" si="1"/>
        <v>-159</v>
      </c>
      <c r="B171" s="71" t="s">
        <v>38</v>
      </c>
      <c r="C171" s="71" t="s">
        <v>22</v>
      </c>
      <c r="D171" s="72">
        <v>45889.0</v>
      </c>
      <c r="E171" s="58">
        <f>MONTH('BOLETAS 2025'!$D171)</f>
        <v>8</v>
      </c>
      <c r="F171" s="102">
        <v>1000239.0</v>
      </c>
      <c r="G171" s="102">
        <v>9.66909803E8</v>
      </c>
      <c r="H171" s="102" t="s">
        <v>199</v>
      </c>
      <c r="I171" s="74">
        <v>4420.0</v>
      </c>
      <c r="J171" s="168" t="s">
        <v>25</v>
      </c>
      <c r="K171" s="75" t="s">
        <v>26</v>
      </c>
      <c r="L171" s="85" t="s">
        <v>27</v>
      </c>
      <c r="M171" s="104"/>
    </row>
    <row r="172" ht="15.75" customHeight="1">
      <c r="A172" s="44">
        <f t="shared" si="1"/>
        <v>-158</v>
      </c>
      <c r="B172" s="76" t="s">
        <v>38</v>
      </c>
      <c r="C172" s="76" t="s">
        <v>22</v>
      </c>
      <c r="D172" s="78">
        <v>45890.0</v>
      </c>
      <c r="E172" s="47">
        <f>MONTH('BOLETAS 2025'!$D172)</f>
        <v>8</v>
      </c>
      <c r="F172" s="105">
        <v>7.8565732E7</v>
      </c>
      <c r="G172" s="105">
        <v>7.61349414E8</v>
      </c>
      <c r="H172" s="105" t="s">
        <v>53</v>
      </c>
      <c r="I172" s="80">
        <v>38430.0</v>
      </c>
      <c r="J172" s="169" t="s">
        <v>25</v>
      </c>
      <c r="K172" s="81" t="s">
        <v>35</v>
      </c>
      <c r="L172" s="83" t="s">
        <v>27</v>
      </c>
      <c r="M172" s="107"/>
    </row>
    <row r="173" ht="15.75" customHeight="1">
      <c r="A173" s="54">
        <f t="shared" si="1"/>
        <v>-156</v>
      </c>
      <c r="B173" s="71" t="s">
        <v>38</v>
      </c>
      <c r="C173" s="71" t="s">
        <v>22</v>
      </c>
      <c r="D173" s="72">
        <v>45892.0</v>
      </c>
      <c r="E173" s="58">
        <f>MONTH('BOLETAS 2025'!$D173)</f>
        <v>8</v>
      </c>
      <c r="F173" s="102">
        <v>1997604.0</v>
      </c>
      <c r="G173" s="102">
        <v>7.71780504E8</v>
      </c>
      <c r="H173" s="73" t="s">
        <v>104</v>
      </c>
      <c r="I173" s="74">
        <v>20000.0</v>
      </c>
      <c r="J173" s="168" t="s">
        <v>25</v>
      </c>
      <c r="K173" s="75" t="s">
        <v>35</v>
      </c>
      <c r="L173" s="85" t="s">
        <v>105</v>
      </c>
      <c r="M173" s="104"/>
    </row>
    <row r="174" ht="15.75" customHeight="1">
      <c r="A174" s="44">
        <f t="shared" si="1"/>
        <v>-156</v>
      </c>
      <c r="B174" s="76" t="s">
        <v>38</v>
      </c>
      <c r="C174" s="76" t="s">
        <v>22</v>
      </c>
      <c r="D174" s="78">
        <v>45892.0</v>
      </c>
      <c r="E174" s="47">
        <f>MONTH('BOLETAS 2025'!$D174)</f>
        <v>8</v>
      </c>
      <c r="F174" s="105">
        <v>7.8565766E7</v>
      </c>
      <c r="G174" s="105">
        <v>7.61349414E8</v>
      </c>
      <c r="H174" s="105" t="s">
        <v>53</v>
      </c>
      <c r="I174" s="80">
        <v>21240.0</v>
      </c>
      <c r="J174" s="169" t="s">
        <v>25</v>
      </c>
      <c r="K174" s="81" t="s">
        <v>26</v>
      </c>
      <c r="L174" s="83" t="s">
        <v>27</v>
      </c>
      <c r="M174" s="107"/>
    </row>
    <row r="175" ht="15.75" customHeight="1">
      <c r="A175" s="54">
        <f t="shared" si="1"/>
        <v>-155</v>
      </c>
      <c r="B175" s="71" t="s">
        <v>38</v>
      </c>
      <c r="C175" s="71" t="s">
        <v>22</v>
      </c>
      <c r="D175" s="72">
        <v>45893.0</v>
      </c>
      <c r="E175" s="58">
        <f>MONTH('BOLETAS 2025'!$D175)</f>
        <v>8</v>
      </c>
      <c r="F175" s="102">
        <v>7.8565779E7</v>
      </c>
      <c r="G175" s="102">
        <v>7.61349414E8</v>
      </c>
      <c r="H175" s="102" t="s">
        <v>53</v>
      </c>
      <c r="I175" s="74">
        <v>21000.0</v>
      </c>
      <c r="J175" s="168" t="s">
        <v>25</v>
      </c>
      <c r="K175" s="75" t="s">
        <v>35</v>
      </c>
      <c r="L175" s="85" t="s">
        <v>27</v>
      </c>
      <c r="M175" s="104"/>
    </row>
    <row r="176" ht="15.75" customHeight="1">
      <c r="A176" s="44">
        <f t="shared" si="1"/>
        <v>-154</v>
      </c>
      <c r="B176" s="76" t="s">
        <v>38</v>
      </c>
      <c r="C176" s="76" t="s">
        <v>22</v>
      </c>
      <c r="D176" s="78">
        <v>45894.0</v>
      </c>
      <c r="E176" s="47">
        <f>MONTH('BOLETAS 2025'!$D176)</f>
        <v>8</v>
      </c>
      <c r="F176" s="105">
        <v>229420.0</v>
      </c>
      <c r="G176" s="105">
        <v>7.75274255E8</v>
      </c>
      <c r="H176" s="105" t="s">
        <v>201</v>
      </c>
      <c r="I176" s="80">
        <v>2000.0</v>
      </c>
      <c r="J176" s="169" t="s">
        <v>25</v>
      </c>
      <c r="K176" s="81" t="s">
        <v>35</v>
      </c>
      <c r="L176" s="83" t="s">
        <v>27</v>
      </c>
      <c r="M176" s="107"/>
    </row>
    <row r="177" ht="15.75" customHeight="1">
      <c r="A177" s="54">
        <f t="shared" si="1"/>
        <v>-153</v>
      </c>
      <c r="B177" s="71" t="s">
        <v>38</v>
      </c>
      <c r="C177" s="71" t="s">
        <v>22</v>
      </c>
      <c r="D177" s="72">
        <v>45895.0</v>
      </c>
      <c r="E177" s="58">
        <f>MONTH('BOLETAS 2025'!$D177)</f>
        <v>8</v>
      </c>
      <c r="F177" s="102">
        <v>500823.0</v>
      </c>
      <c r="G177" s="102">
        <v>7.67146337E8</v>
      </c>
      <c r="H177" s="102" t="s">
        <v>202</v>
      </c>
      <c r="I177" s="74">
        <v>21900.0</v>
      </c>
      <c r="J177" s="168" t="s">
        <v>25</v>
      </c>
      <c r="K177" s="75" t="s">
        <v>26</v>
      </c>
      <c r="L177" s="85" t="s">
        <v>27</v>
      </c>
      <c r="M177" s="104"/>
    </row>
    <row r="178" ht="15.75" customHeight="1">
      <c r="A178" s="44">
        <f t="shared" si="1"/>
        <v>-152</v>
      </c>
      <c r="B178" s="76" t="s">
        <v>38</v>
      </c>
      <c r="C178" s="76" t="s">
        <v>22</v>
      </c>
      <c r="D178" s="78">
        <v>45896.0</v>
      </c>
      <c r="E178" s="47">
        <f>MONTH('BOLETAS 2025'!$D178)</f>
        <v>8</v>
      </c>
      <c r="F178" s="105">
        <v>8.419267E7</v>
      </c>
      <c r="G178" s="105">
        <v>9.66909803E8</v>
      </c>
      <c r="H178" s="105" t="s">
        <v>199</v>
      </c>
      <c r="I178" s="80">
        <v>2600.0</v>
      </c>
      <c r="J178" s="169" t="s">
        <v>25</v>
      </c>
      <c r="K178" s="81" t="s">
        <v>26</v>
      </c>
      <c r="L178" s="83" t="s">
        <v>27</v>
      </c>
      <c r="M178" s="107"/>
    </row>
    <row r="179" ht="15.75" customHeight="1">
      <c r="A179" s="54">
        <f t="shared" si="1"/>
        <v>-152</v>
      </c>
      <c r="B179" s="71" t="s">
        <v>38</v>
      </c>
      <c r="C179" s="71" t="s">
        <v>22</v>
      </c>
      <c r="D179" s="72">
        <v>45896.0</v>
      </c>
      <c r="E179" s="58">
        <f>MONTH('BOLETAS 2025'!$D179)</f>
        <v>8</v>
      </c>
      <c r="F179" s="102">
        <v>7.867935E7</v>
      </c>
      <c r="G179" s="102">
        <v>7.61349414E8</v>
      </c>
      <c r="H179" s="102" t="s">
        <v>53</v>
      </c>
      <c r="I179" s="74">
        <v>22740.0</v>
      </c>
      <c r="J179" s="168" t="s">
        <v>25</v>
      </c>
      <c r="K179" s="75" t="s">
        <v>26</v>
      </c>
      <c r="L179" s="85" t="s">
        <v>27</v>
      </c>
      <c r="M179" s="104"/>
    </row>
    <row r="180" ht="15.75" customHeight="1">
      <c r="A180" s="44">
        <f t="shared" si="1"/>
        <v>-150</v>
      </c>
      <c r="B180" s="76" t="s">
        <v>38</v>
      </c>
      <c r="C180" s="76" t="s">
        <v>22</v>
      </c>
      <c r="D180" s="78">
        <v>45898.0</v>
      </c>
      <c r="E180" s="47">
        <f>MONTH('BOLETAS 2025'!$D180)</f>
        <v>8</v>
      </c>
      <c r="F180" s="105">
        <v>7.8679393E7</v>
      </c>
      <c r="G180" s="105">
        <v>7.61349414E8</v>
      </c>
      <c r="H180" s="105" t="s">
        <v>53</v>
      </c>
      <c r="I180" s="80">
        <v>15041.0</v>
      </c>
      <c r="J180" s="169" t="s">
        <v>25</v>
      </c>
      <c r="K180" s="81" t="s">
        <v>35</v>
      </c>
      <c r="L180" s="83" t="s">
        <v>27</v>
      </c>
      <c r="M180" s="107"/>
    </row>
    <row r="181" ht="15.75" customHeight="1">
      <c r="A181" s="54">
        <f t="shared" si="1"/>
        <v>-148</v>
      </c>
      <c r="B181" s="71" t="s">
        <v>38</v>
      </c>
      <c r="C181" s="71" t="s">
        <v>22</v>
      </c>
      <c r="D181" s="72">
        <v>45900.0</v>
      </c>
      <c r="E181" s="58">
        <f>MONTH('BOLETAS 2025'!$D181)</f>
        <v>8</v>
      </c>
      <c r="F181" s="102">
        <v>7.8679438E7</v>
      </c>
      <c r="G181" s="102">
        <v>7.61349414E8</v>
      </c>
      <c r="H181" s="102" t="s">
        <v>53</v>
      </c>
      <c r="I181" s="74">
        <v>4800.0</v>
      </c>
      <c r="J181" s="168" t="s">
        <v>25</v>
      </c>
      <c r="K181" s="75" t="s">
        <v>35</v>
      </c>
      <c r="L181" s="85" t="s">
        <v>27</v>
      </c>
      <c r="M181" s="104"/>
    </row>
    <row r="182" ht="15.75" customHeight="1">
      <c r="A182" s="44">
        <f t="shared" si="1"/>
        <v>-199</v>
      </c>
      <c r="B182" s="76" t="s">
        <v>38</v>
      </c>
      <c r="C182" s="76" t="s">
        <v>22</v>
      </c>
      <c r="D182" s="78">
        <v>45849.0</v>
      </c>
      <c r="E182" s="47">
        <f>MONTH('BOLETAS 2025'!$D182)</f>
        <v>7</v>
      </c>
      <c r="F182" s="105">
        <v>2.257587958E9</v>
      </c>
      <c r="G182" s="105">
        <v>7.61349414E8</v>
      </c>
      <c r="H182" s="105" t="s">
        <v>53</v>
      </c>
      <c r="I182" s="80">
        <v>30433.0</v>
      </c>
      <c r="J182" s="169" t="s">
        <v>25</v>
      </c>
      <c r="K182" s="81" t="s">
        <v>26</v>
      </c>
      <c r="L182" s="83" t="s">
        <v>27</v>
      </c>
      <c r="M182" s="107"/>
    </row>
    <row r="183" ht="15.75" customHeight="1">
      <c r="A183" s="54">
        <f t="shared" si="1"/>
        <v>-123</v>
      </c>
      <c r="B183" s="71" t="s">
        <v>38</v>
      </c>
      <c r="C183" s="71" t="s">
        <v>22</v>
      </c>
      <c r="D183" s="72">
        <v>45925.0</v>
      </c>
      <c r="E183" s="58">
        <f>MONTH('BOLETAS 2025'!$D183)</f>
        <v>9</v>
      </c>
      <c r="F183" s="102">
        <v>5.09250533E8</v>
      </c>
      <c r="G183" s="102">
        <v>7.75274255E8</v>
      </c>
      <c r="H183" s="102" t="s">
        <v>149</v>
      </c>
      <c r="I183" s="74">
        <v>4400.0</v>
      </c>
      <c r="J183" s="168" t="s">
        <v>25</v>
      </c>
      <c r="K183" s="75" t="s">
        <v>26</v>
      </c>
      <c r="L183" s="85" t="s">
        <v>27</v>
      </c>
      <c r="M183" s="104"/>
    </row>
    <row r="184" ht="15.75" customHeight="1">
      <c r="A184" s="44">
        <f t="shared" si="1"/>
        <v>-123</v>
      </c>
      <c r="B184" s="76" t="s">
        <v>38</v>
      </c>
      <c r="C184" s="76" t="s">
        <v>22</v>
      </c>
      <c r="D184" s="78">
        <v>45925.0</v>
      </c>
      <c r="E184" s="47">
        <f>MONTH('BOLETAS 2025'!$D184)</f>
        <v>9</v>
      </c>
      <c r="F184" s="105">
        <v>7.8786956E7</v>
      </c>
      <c r="G184" s="105">
        <v>7.61349414E8</v>
      </c>
      <c r="H184" s="105" t="s">
        <v>53</v>
      </c>
      <c r="I184" s="80">
        <v>6840.0</v>
      </c>
      <c r="J184" s="169" t="s">
        <v>25</v>
      </c>
      <c r="K184" s="81" t="s">
        <v>26</v>
      </c>
      <c r="L184" s="83" t="s">
        <v>27</v>
      </c>
      <c r="M184" s="107"/>
    </row>
    <row r="185" ht="15.75" customHeight="1">
      <c r="A185" s="54">
        <f t="shared" si="1"/>
        <v>-132</v>
      </c>
      <c r="B185" s="71" t="s">
        <v>38</v>
      </c>
      <c r="C185" s="71" t="s">
        <v>22</v>
      </c>
      <c r="D185" s="72">
        <v>45916.0</v>
      </c>
      <c r="E185" s="58">
        <f>MONTH('BOLETAS 2025'!$D185)</f>
        <v>9</v>
      </c>
      <c r="F185" s="102">
        <v>240759.0</v>
      </c>
      <c r="G185" s="102">
        <v>7.74408754E8</v>
      </c>
      <c r="H185" s="102" t="s">
        <v>176</v>
      </c>
      <c r="I185" s="74">
        <v>3990.0</v>
      </c>
      <c r="J185" s="168" t="s">
        <v>25</v>
      </c>
      <c r="K185" s="75" t="s">
        <v>26</v>
      </c>
      <c r="L185" s="85" t="s">
        <v>27</v>
      </c>
      <c r="M185" s="104"/>
    </row>
    <row r="186" ht="15.75" customHeight="1">
      <c r="A186" s="44">
        <f t="shared" si="1"/>
        <v>-126</v>
      </c>
      <c r="B186" s="76" t="s">
        <v>38</v>
      </c>
      <c r="C186" s="76" t="s">
        <v>22</v>
      </c>
      <c r="D186" s="78">
        <v>45922.0</v>
      </c>
      <c r="E186" s="47">
        <f>MONTH('BOLETAS 2025'!$D186)</f>
        <v>9</v>
      </c>
      <c r="F186" s="105">
        <v>2.5175065E7</v>
      </c>
      <c r="G186" s="105" t="s">
        <v>58</v>
      </c>
      <c r="H186" s="105" t="s">
        <v>122</v>
      </c>
      <c r="I186" s="80">
        <v>55907.0</v>
      </c>
      <c r="J186" s="169" t="s">
        <v>25</v>
      </c>
      <c r="K186" s="81" t="s">
        <v>26</v>
      </c>
      <c r="L186" s="83" t="s">
        <v>27</v>
      </c>
      <c r="M186" s="107"/>
    </row>
    <row r="187" ht="15.75" customHeight="1">
      <c r="A187" s="54">
        <f t="shared" si="1"/>
        <v>-132</v>
      </c>
      <c r="B187" s="71" t="s">
        <v>38</v>
      </c>
      <c r="C187" s="71" t="s">
        <v>22</v>
      </c>
      <c r="D187" s="72">
        <v>45916.0</v>
      </c>
      <c r="E187" s="58">
        <f>MONTH('BOLETAS 2025'!$D187)</f>
        <v>9</v>
      </c>
      <c r="F187" s="102">
        <v>5.7637105E7</v>
      </c>
      <c r="G187" s="102">
        <v>7.61349465E8</v>
      </c>
      <c r="H187" s="102" t="s">
        <v>53</v>
      </c>
      <c r="I187" s="74">
        <v>19641.0</v>
      </c>
      <c r="J187" s="168" t="s">
        <v>25</v>
      </c>
      <c r="K187" s="75" t="s">
        <v>35</v>
      </c>
      <c r="L187" s="85" t="s">
        <v>27</v>
      </c>
      <c r="M187" s="104"/>
    </row>
    <row r="188" ht="15.75" customHeight="1">
      <c r="A188" s="44">
        <f t="shared" si="1"/>
        <v>-132</v>
      </c>
      <c r="B188" s="76" t="s">
        <v>38</v>
      </c>
      <c r="C188" s="76" t="s">
        <v>22</v>
      </c>
      <c r="D188" s="78">
        <v>45916.0</v>
      </c>
      <c r="E188" s="47">
        <f>MONTH('BOLETAS 2025'!$D188)</f>
        <v>9</v>
      </c>
      <c r="F188" s="105">
        <v>238026.0</v>
      </c>
      <c r="G188" s="105">
        <v>9.538683E7</v>
      </c>
      <c r="H188" s="105" t="s">
        <v>34</v>
      </c>
      <c r="I188" s="80">
        <v>7300.0</v>
      </c>
      <c r="J188" s="169" t="s">
        <v>25</v>
      </c>
      <c r="K188" s="81" t="s">
        <v>35</v>
      </c>
      <c r="L188" s="83" t="s">
        <v>27</v>
      </c>
      <c r="M188" s="107"/>
    </row>
    <row r="189" ht="15.75" customHeight="1">
      <c r="A189" s="54">
        <f t="shared" si="1"/>
        <v>-132</v>
      </c>
      <c r="B189" s="71" t="s">
        <v>38</v>
      </c>
      <c r="C189" s="71" t="s">
        <v>22</v>
      </c>
      <c r="D189" s="72">
        <v>45916.0</v>
      </c>
      <c r="E189" s="58">
        <f>MONTH('BOLETAS 2025'!$D189)</f>
        <v>9</v>
      </c>
      <c r="F189" s="102">
        <v>2012906.0</v>
      </c>
      <c r="G189" s="102">
        <v>7.71780504E8</v>
      </c>
      <c r="H189" s="102" t="s">
        <v>203</v>
      </c>
      <c r="I189" s="74">
        <v>20000.0</v>
      </c>
      <c r="J189" s="168" t="s">
        <v>25</v>
      </c>
      <c r="K189" s="75" t="s">
        <v>35</v>
      </c>
      <c r="L189" s="85" t="s">
        <v>105</v>
      </c>
      <c r="M189" s="104"/>
    </row>
    <row r="190" ht="15.75" customHeight="1">
      <c r="A190" s="44">
        <f t="shared" si="1"/>
        <v>-132</v>
      </c>
      <c r="B190" s="76" t="s">
        <v>38</v>
      </c>
      <c r="C190" s="76" t="s">
        <v>22</v>
      </c>
      <c r="D190" s="78">
        <v>45916.0</v>
      </c>
      <c r="E190" s="47">
        <f>MONTH('BOLETAS 2025'!$D190)</f>
        <v>9</v>
      </c>
      <c r="F190" s="105">
        <v>23638.0</v>
      </c>
      <c r="G190" s="105">
        <v>8.3992107E7</v>
      </c>
      <c r="H190" s="105" t="s">
        <v>204</v>
      </c>
      <c r="I190" s="80">
        <v>3990.0</v>
      </c>
      <c r="J190" s="169" t="s">
        <v>25</v>
      </c>
      <c r="K190" s="81" t="s">
        <v>35</v>
      </c>
      <c r="L190" s="83" t="s">
        <v>27</v>
      </c>
      <c r="M190" s="107"/>
    </row>
    <row r="191" ht="15.75" customHeight="1">
      <c r="A191" s="54">
        <f t="shared" si="1"/>
        <v>-136</v>
      </c>
      <c r="B191" s="71" t="s">
        <v>38</v>
      </c>
      <c r="C191" s="71" t="s">
        <v>22</v>
      </c>
      <c r="D191" s="72">
        <v>45912.0</v>
      </c>
      <c r="E191" s="58">
        <f>MONTH('BOLETAS 2025'!$D191)</f>
        <v>9</v>
      </c>
      <c r="F191" s="102">
        <v>7.8679696E7</v>
      </c>
      <c r="G191" s="102">
        <v>7.61349414E8</v>
      </c>
      <c r="H191" s="102" t="s">
        <v>53</v>
      </c>
      <c r="I191" s="74">
        <v>116163.0</v>
      </c>
      <c r="J191" s="168" t="s">
        <v>25</v>
      </c>
      <c r="K191" s="75" t="s">
        <v>26</v>
      </c>
      <c r="L191" s="85" t="s">
        <v>27</v>
      </c>
      <c r="M191" s="104"/>
    </row>
    <row r="192" ht="15.75" customHeight="1">
      <c r="A192" s="44">
        <f t="shared" si="1"/>
        <v>-136</v>
      </c>
      <c r="B192" s="76" t="s">
        <v>38</v>
      </c>
      <c r="C192" s="76" t="s">
        <v>22</v>
      </c>
      <c r="D192" s="78">
        <v>45912.0</v>
      </c>
      <c r="E192" s="47">
        <f>MONTH('BOLETAS 2025'!$D192)</f>
        <v>9</v>
      </c>
      <c r="F192" s="105">
        <v>694790.0</v>
      </c>
      <c r="G192" s="105">
        <v>7.69887598E8</v>
      </c>
      <c r="H192" s="105" t="s">
        <v>205</v>
      </c>
      <c r="I192" s="80">
        <v>750.0</v>
      </c>
      <c r="J192" s="169" t="s">
        <v>25</v>
      </c>
      <c r="K192" s="81" t="s">
        <v>35</v>
      </c>
      <c r="L192" s="83" t="s">
        <v>27</v>
      </c>
      <c r="M192" s="107"/>
    </row>
    <row r="193" ht="15.75" customHeight="1">
      <c r="A193" s="54">
        <f t="shared" si="1"/>
        <v>-136</v>
      </c>
      <c r="B193" s="71" t="s">
        <v>38</v>
      </c>
      <c r="C193" s="71" t="s">
        <v>22</v>
      </c>
      <c r="D193" s="72">
        <v>45912.0</v>
      </c>
      <c r="E193" s="58">
        <f>MONTH('BOLETAS 2025'!$D193)</f>
        <v>9</v>
      </c>
      <c r="F193" s="102">
        <v>17005.0</v>
      </c>
      <c r="G193" s="102">
        <v>7.77445669E8</v>
      </c>
      <c r="H193" s="102" t="s">
        <v>206</v>
      </c>
      <c r="I193" s="74">
        <v>5170.0</v>
      </c>
      <c r="J193" s="168" t="s">
        <v>25</v>
      </c>
      <c r="K193" s="75" t="s">
        <v>35</v>
      </c>
      <c r="L193" s="85" t="s">
        <v>27</v>
      </c>
      <c r="M193" s="104"/>
    </row>
    <row r="194" ht="15.75" customHeight="1">
      <c r="A194" s="44">
        <f t="shared" si="1"/>
        <v>-140</v>
      </c>
      <c r="B194" s="76" t="s">
        <v>38</v>
      </c>
      <c r="C194" s="76" t="s">
        <v>22</v>
      </c>
      <c r="D194" s="78">
        <v>45908.0</v>
      </c>
      <c r="E194" s="47">
        <f>MONTH('BOLETAS 2025'!$D194)</f>
        <v>9</v>
      </c>
      <c r="F194" s="105">
        <v>1520004.0</v>
      </c>
      <c r="G194" s="105" t="s">
        <v>121</v>
      </c>
      <c r="H194" s="105" t="s">
        <v>207</v>
      </c>
      <c r="I194" s="80">
        <v>22294.0</v>
      </c>
      <c r="J194" s="169" t="s">
        <v>25</v>
      </c>
      <c r="K194" s="81" t="s">
        <v>26</v>
      </c>
      <c r="L194" s="83" t="s">
        <v>27</v>
      </c>
      <c r="M194" s="107"/>
    </row>
    <row r="195" ht="15.75" customHeight="1">
      <c r="A195" s="54">
        <f t="shared" si="1"/>
        <v>-137</v>
      </c>
      <c r="B195" s="71" t="s">
        <v>38</v>
      </c>
      <c r="C195" s="71" t="s">
        <v>22</v>
      </c>
      <c r="D195" s="72">
        <v>45911.0</v>
      </c>
      <c r="E195" s="58">
        <f>MONTH('BOLETAS 2025'!$D195)</f>
        <v>9</v>
      </c>
      <c r="F195" s="102">
        <v>17562.0</v>
      </c>
      <c r="G195" s="102">
        <v>7.69887598E8</v>
      </c>
      <c r="H195" s="102" t="s">
        <v>208</v>
      </c>
      <c r="I195" s="74">
        <v>22000.0</v>
      </c>
      <c r="J195" s="168" t="s">
        <v>25</v>
      </c>
      <c r="K195" s="75" t="s">
        <v>26</v>
      </c>
      <c r="L195" s="85" t="s">
        <v>27</v>
      </c>
      <c r="M195" s="104"/>
    </row>
    <row r="196" ht="15.75" customHeight="1">
      <c r="A196" s="44">
        <f t="shared" si="1"/>
        <v>-137</v>
      </c>
      <c r="B196" s="76" t="s">
        <v>38</v>
      </c>
      <c r="C196" s="76" t="s">
        <v>22</v>
      </c>
      <c r="D196" s="78">
        <v>45911.0</v>
      </c>
      <c r="E196" s="47">
        <f>MONTH('BOLETAS 2025'!$D196)</f>
        <v>9</v>
      </c>
      <c r="F196" s="105">
        <v>110091.0</v>
      </c>
      <c r="G196" s="105">
        <v>7.77445669E8</v>
      </c>
      <c r="H196" s="105" t="s">
        <v>209</v>
      </c>
      <c r="I196" s="80">
        <v>14124.0</v>
      </c>
      <c r="J196" s="169" t="s">
        <v>25</v>
      </c>
      <c r="K196" s="81" t="s">
        <v>35</v>
      </c>
      <c r="L196" s="83" t="s">
        <v>27</v>
      </c>
      <c r="M196" s="107"/>
    </row>
    <row r="197" ht="15.75" customHeight="1">
      <c r="A197" s="54">
        <f t="shared" si="1"/>
        <v>-141</v>
      </c>
      <c r="B197" s="71" t="s">
        <v>38</v>
      </c>
      <c r="C197" s="71" t="s">
        <v>22</v>
      </c>
      <c r="D197" s="72">
        <v>45907.0</v>
      </c>
      <c r="E197" s="58">
        <f>MONTH('BOLETAS 2025'!$D197)</f>
        <v>9</v>
      </c>
      <c r="F197" s="102">
        <v>20360.0</v>
      </c>
      <c r="G197" s="102" t="s">
        <v>121</v>
      </c>
      <c r="H197" s="102" t="s">
        <v>207</v>
      </c>
      <c r="I197" s="74">
        <v>68789.0</v>
      </c>
      <c r="J197" s="168" t="s">
        <v>25</v>
      </c>
      <c r="K197" s="75" t="s">
        <v>35</v>
      </c>
      <c r="L197" s="85" t="s">
        <v>27</v>
      </c>
      <c r="M197" s="104"/>
    </row>
    <row r="198" ht="15.75" customHeight="1">
      <c r="A198" s="44">
        <f t="shared" si="1"/>
        <v>-140</v>
      </c>
      <c r="B198" s="76" t="s">
        <v>38</v>
      </c>
      <c r="C198" s="76" t="s">
        <v>22</v>
      </c>
      <c r="D198" s="78">
        <v>45908.0</v>
      </c>
      <c r="E198" s="47">
        <f>MONTH('BOLETAS 2025'!$D198)</f>
        <v>9</v>
      </c>
      <c r="F198" s="105">
        <v>237191.0</v>
      </c>
      <c r="G198" s="105">
        <v>9.538683E7</v>
      </c>
      <c r="H198" s="105" t="s">
        <v>34</v>
      </c>
      <c r="I198" s="80">
        <v>10500.0</v>
      </c>
      <c r="J198" s="169" t="s">
        <v>25</v>
      </c>
      <c r="K198" s="81" t="s">
        <v>35</v>
      </c>
      <c r="L198" s="83" t="s">
        <v>27</v>
      </c>
      <c r="M198" s="107"/>
    </row>
    <row r="199" ht="15.75" customHeight="1">
      <c r="A199" s="54">
        <f t="shared" si="1"/>
        <v>-143</v>
      </c>
      <c r="B199" s="71" t="s">
        <v>38</v>
      </c>
      <c r="C199" s="71" t="s">
        <v>22</v>
      </c>
      <c r="D199" s="72">
        <v>45905.0</v>
      </c>
      <c r="E199" s="58">
        <f>MONTH('BOLETAS 2025'!$D199)</f>
        <v>9</v>
      </c>
      <c r="F199" s="102">
        <v>40066.0</v>
      </c>
      <c r="G199" s="102">
        <v>7.65879949E8</v>
      </c>
      <c r="H199" s="102" t="s">
        <v>104</v>
      </c>
      <c r="I199" s="74">
        <v>20000.0</v>
      </c>
      <c r="J199" s="168" t="s">
        <v>25</v>
      </c>
      <c r="K199" s="75" t="s">
        <v>26</v>
      </c>
      <c r="L199" s="85" t="s">
        <v>105</v>
      </c>
      <c r="M199" s="104"/>
    </row>
    <row r="200" ht="15.75" customHeight="1">
      <c r="A200" s="44">
        <f t="shared" si="1"/>
        <v>-142</v>
      </c>
      <c r="B200" s="76" t="s">
        <v>38</v>
      </c>
      <c r="C200" s="76" t="s">
        <v>22</v>
      </c>
      <c r="D200" s="78">
        <v>45906.0</v>
      </c>
      <c r="E200" s="47">
        <f>MONTH('BOLETAS 2025'!$D200)</f>
        <v>9</v>
      </c>
      <c r="F200" s="105">
        <v>7.8679579E7</v>
      </c>
      <c r="G200" s="105">
        <v>7.61349414E8</v>
      </c>
      <c r="H200" s="105" t="s">
        <v>53</v>
      </c>
      <c r="I200" s="80">
        <v>41112.0</v>
      </c>
      <c r="J200" s="169" t="s">
        <v>25</v>
      </c>
      <c r="K200" s="81" t="s">
        <v>35</v>
      </c>
      <c r="L200" s="83" t="s">
        <v>27</v>
      </c>
      <c r="M200" s="107"/>
    </row>
    <row r="201" ht="15.75" customHeight="1">
      <c r="A201" s="54">
        <f t="shared" si="1"/>
        <v>-141</v>
      </c>
      <c r="B201" s="71" t="s">
        <v>38</v>
      </c>
      <c r="C201" s="71" t="s">
        <v>22</v>
      </c>
      <c r="D201" s="72">
        <v>45907.0</v>
      </c>
      <c r="E201" s="58">
        <f>MONTH('BOLETAS 2025'!$D201)</f>
        <v>9</v>
      </c>
      <c r="F201" s="102">
        <v>2928.0</v>
      </c>
      <c r="G201" s="170"/>
      <c r="H201" s="102" t="s">
        <v>210</v>
      </c>
      <c r="I201" s="74">
        <v>67200.0</v>
      </c>
      <c r="J201" s="168" t="s">
        <v>25</v>
      </c>
      <c r="K201" s="62"/>
      <c r="L201" s="85" t="s">
        <v>27</v>
      </c>
      <c r="M201" s="104"/>
    </row>
    <row r="202" ht="15.75" customHeight="1">
      <c r="A202" s="44">
        <f t="shared" si="1"/>
        <v>-146</v>
      </c>
      <c r="B202" s="76" t="s">
        <v>38</v>
      </c>
      <c r="C202" s="76" t="s">
        <v>22</v>
      </c>
      <c r="D202" s="78">
        <v>45902.0</v>
      </c>
      <c r="E202" s="47">
        <f>MONTH('BOLETAS 2025'!$D202)</f>
        <v>9</v>
      </c>
      <c r="F202" s="105">
        <v>1513050.0</v>
      </c>
      <c r="G202" s="105" t="s">
        <v>121</v>
      </c>
      <c r="H202" s="105" t="s">
        <v>207</v>
      </c>
      <c r="I202" s="80">
        <v>36029.0</v>
      </c>
      <c r="J202" s="169" t="s">
        <v>25</v>
      </c>
      <c r="K202" s="81" t="s">
        <v>26</v>
      </c>
      <c r="L202" s="83" t="s">
        <v>27</v>
      </c>
      <c r="M202" s="107"/>
    </row>
    <row r="203" ht="15.75" customHeight="1">
      <c r="A203" s="54">
        <f t="shared" si="1"/>
        <v>-144</v>
      </c>
      <c r="B203" s="71" t="s">
        <v>38</v>
      </c>
      <c r="C203" s="71" t="s">
        <v>22</v>
      </c>
      <c r="D203" s="72">
        <v>45904.0</v>
      </c>
      <c r="E203" s="58">
        <f>MONTH('BOLETAS 2025'!$D203)</f>
        <v>9</v>
      </c>
      <c r="F203" s="102">
        <v>236913.0</v>
      </c>
      <c r="G203" s="102">
        <v>9.538683E7</v>
      </c>
      <c r="H203" s="102" t="s">
        <v>34</v>
      </c>
      <c r="I203" s="74">
        <v>9000.0</v>
      </c>
      <c r="J203" s="168" t="s">
        <v>25</v>
      </c>
      <c r="K203" s="75" t="s">
        <v>35</v>
      </c>
      <c r="L203" s="85" t="s">
        <v>27</v>
      </c>
      <c r="M203" s="104"/>
    </row>
    <row r="204" ht="15.75" customHeight="1">
      <c r="A204" s="44">
        <f t="shared" si="1"/>
        <v>-147</v>
      </c>
      <c r="B204" s="76" t="s">
        <v>38</v>
      </c>
      <c r="C204" s="76" t="s">
        <v>22</v>
      </c>
      <c r="D204" s="78">
        <v>45901.0</v>
      </c>
      <c r="E204" s="47">
        <f>MONTH('BOLETAS 2025'!$D204)</f>
        <v>9</v>
      </c>
      <c r="F204" s="105">
        <v>8.3623555E7</v>
      </c>
      <c r="G204" s="105">
        <v>9.68111302E8</v>
      </c>
      <c r="H204" s="105" t="s">
        <v>211</v>
      </c>
      <c r="I204" s="80">
        <v>2793.0</v>
      </c>
      <c r="J204" s="169" t="s">
        <v>25</v>
      </c>
      <c r="K204" s="81" t="s">
        <v>35</v>
      </c>
      <c r="L204" s="83" t="s">
        <v>27</v>
      </c>
      <c r="M204" s="107"/>
    </row>
    <row r="205" ht="15.75" customHeight="1">
      <c r="A205" s="54">
        <f t="shared" si="1"/>
        <v>-147</v>
      </c>
      <c r="B205" s="71" t="s">
        <v>38</v>
      </c>
      <c r="C205" s="71" t="s">
        <v>22</v>
      </c>
      <c r="D205" s="72">
        <v>45901.0</v>
      </c>
      <c r="E205" s="58">
        <f>MONTH('BOLETAS 2025'!$D205)</f>
        <v>9</v>
      </c>
      <c r="F205" s="102">
        <v>105650.0</v>
      </c>
      <c r="G205" s="102" t="s">
        <v>212</v>
      </c>
      <c r="H205" s="102" t="s">
        <v>213</v>
      </c>
      <c r="I205" s="74">
        <v>24970.0</v>
      </c>
      <c r="J205" s="168" t="s">
        <v>25</v>
      </c>
      <c r="K205" s="75" t="s">
        <v>35</v>
      </c>
      <c r="L205" s="85" t="s">
        <v>27</v>
      </c>
      <c r="M205" s="104"/>
    </row>
    <row r="206" ht="15.75" customHeight="1">
      <c r="A206" s="44">
        <f t="shared" si="1"/>
        <v>-146</v>
      </c>
      <c r="B206" s="76" t="s">
        <v>38</v>
      </c>
      <c r="C206" s="76" t="s">
        <v>22</v>
      </c>
      <c r="D206" s="78">
        <v>45902.0</v>
      </c>
      <c r="E206" s="47">
        <f>MONTH('BOLETAS 2025'!$D206)</f>
        <v>9</v>
      </c>
      <c r="F206" s="105">
        <v>40126.0</v>
      </c>
      <c r="G206" s="105">
        <v>7.7178504E7</v>
      </c>
      <c r="H206" s="105" t="s">
        <v>104</v>
      </c>
      <c r="I206" s="80">
        <v>20000.0</v>
      </c>
      <c r="J206" s="169" t="s">
        <v>25</v>
      </c>
      <c r="K206" s="81" t="s">
        <v>35</v>
      </c>
      <c r="L206" s="83" t="s">
        <v>105</v>
      </c>
      <c r="M206" s="107"/>
    </row>
    <row r="207" ht="15.75" customHeight="1">
      <c r="A207" s="54">
        <f t="shared" si="1"/>
        <v>-116</v>
      </c>
      <c r="B207" s="71" t="s">
        <v>38</v>
      </c>
      <c r="C207" s="71" t="s">
        <v>22</v>
      </c>
      <c r="D207" s="72">
        <v>45932.0</v>
      </c>
      <c r="E207" s="58">
        <f>MONTH('BOLETAS 2025'!$D207)</f>
        <v>10</v>
      </c>
      <c r="F207" s="102">
        <v>3224314.0</v>
      </c>
      <c r="G207" s="102">
        <v>7.65879949E8</v>
      </c>
      <c r="H207" s="102" t="s">
        <v>104</v>
      </c>
      <c r="I207" s="74">
        <v>20000.0</v>
      </c>
      <c r="J207" s="168" t="s">
        <v>25</v>
      </c>
      <c r="K207" s="75" t="s">
        <v>26</v>
      </c>
      <c r="L207" s="85" t="s">
        <v>105</v>
      </c>
      <c r="M207" s="104"/>
    </row>
    <row r="208" ht="15.75" customHeight="1">
      <c r="A208" s="44">
        <f t="shared" si="1"/>
        <v>-115</v>
      </c>
      <c r="B208" s="76" t="s">
        <v>38</v>
      </c>
      <c r="C208" s="76" t="s">
        <v>22</v>
      </c>
      <c r="D208" s="78">
        <v>45933.0</v>
      </c>
      <c r="E208" s="47">
        <f>MONTH('BOLETAS 2025'!$D208)</f>
        <v>10</v>
      </c>
      <c r="F208" s="105">
        <v>3224428.0</v>
      </c>
      <c r="G208" s="105">
        <v>7.65879949E8</v>
      </c>
      <c r="H208" s="105" t="s">
        <v>104</v>
      </c>
      <c r="I208" s="80">
        <v>20000.0</v>
      </c>
      <c r="J208" s="169" t="s">
        <v>25</v>
      </c>
      <c r="K208" s="81" t="s">
        <v>35</v>
      </c>
      <c r="L208" s="83" t="s">
        <v>105</v>
      </c>
      <c r="M208" s="107"/>
    </row>
    <row r="209" ht="15.75" customHeight="1">
      <c r="A209" s="54">
        <f t="shared" si="1"/>
        <v>-112</v>
      </c>
      <c r="B209" s="71" t="s">
        <v>38</v>
      </c>
      <c r="C209" s="71" t="s">
        <v>22</v>
      </c>
      <c r="D209" s="72">
        <v>45936.0</v>
      </c>
      <c r="E209" s="58">
        <f>MONTH('BOLETAS 2025'!$D209)</f>
        <v>10</v>
      </c>
      <c r="F209" s="102">
        <v>8.4677037E7</v>
      </c>
      <c r="G209" s="102">
        <v>9.66909803E8</v>
      </c>
      <c r="H209" s="102" t="s">
        <v>214</v>
      </c>
      <c r="I209" s="74">
        <v>3640.0</v>
      </c>
      <c r="J209" s="168" t="s">
        <v>25</v>
      </c>
      <c r="K209" s="75" t="s">
        <v>30</v>
      </c>
      <c r="L209" s="85" t="s">
        <v>27</v>
      </c>
      <c r="M209" s="104"/>
    </row>
    <row r="210" ht="15.75" customHeight="1">
      <c r="A210" s="44">
        <f t="shared" si="1"/>
        <v>-109</v>
      </c>
      <c r="B210" s="76" t="s">
        <v>38</v>
      </c>
      <c r="C210" s="76" t="s">
        <v>22</v>
      </c>
      <c r="D210" s="78">
        <v>45939.0</v>
      </c>
      <c r="E210" s="47">
        <f>MONTH('BOLETAS 2025'!$D210)</f>
        <v>10</v>
      </c>
      <c r="F210" s="105">
        <v>1551043.0</v>
      </c>
      <c r="G210" s="105" t="s">
        <v>186</v>
      </c>
      <c r="H210" s="105" t="s">
        <v>207</v>
      </c>
      <c r="I210" s="80">
        <v>10652.0</v>
      </c>
      <c r="J210" s="169" t="s">
        <v>25</v>
      </c>
      <c r="K210" s="81" t="s">
        <v>26</v>
      </c>
      <c r="L210" s="83" t="s">
        <v>27</v>
      </c>
      <c r="M210" s="107"/>
    </row>
    <row r="211" ht="15.75" customHeight="1">
      <c r="A211" s="54">
        <f t="shared" si="1"/>
        <v>-108</v>
      </c>
      <c r="B211" s="71" t="s">
        <v>38</v>
      </c>
      <c r="C211" s="71" t="s">
        <v>22</v>
      </c>
      <c r="D211" s="72">
        <v>45940.0</v>
      </c>
      <c r="E211" s="58">
        <f>MONTH('BOLETAS 2025'!$D211)</f>
        <v>10</v>
      </c>
      <c r="F211" s="102">
        <v>8.5171028E7</v>
      </c>
      <c r="G211" s="102">
        <v>9.66909803E8</v>
      </c>
      <c r="H211" s="102" t="s">
        <v>214</v>
      </c>
      <c r="I211" s="74">
        <v>2600.0</v>
      </c>
      <c r="J211" s="168" t="s">
        <v>25</v>
      </c>
      <c r="K211" s="75" t="s">
        <v>26</v>
      </c>
      <c r="L211" s="85" t="s">
        <v>27</v>
      </c>
      <c r="M211" s="104"/>
    </row>
    <row r="212" ht="15.75" customHeight="1">
      <c r="A212" s="44">
        <f t="shared" si="1"/>
        <v>-107</v>
      </c>
      <c r="B212" s="76" t="s">
        <v>38</v>
      </c>
      <c r="C212" s="76" t="s">
        <v>22</v>
      </c>
      <c r="D212" s="78">
        <v>45941.0</v>
      </c>
      <c r="E212" s="47">
        <f>MONTH('BOLETAS 2025'!$D212)</f>
        <v>10</v>
      </c>
      <c r="F212" s="105">
        <v>7894167.0</v>
      </c>
      <c r="G212" s="105">
        <v>7.61349414E8</v>
      </c>
      <c r="H212" s="105" t="s">
        <v>53</v>
      </c>
      <c r="I212" s="80">
        <v>53267.0</v>
      </c>
      <c r="J212" s="169" t="s">
        <v>25</v>
      </c>
      <c r="K212" s="81" t="s">
        <v>26</v>
      </c>
      <c r="L212" s="83" t="s">
        <v>27</v>
      </c>
      <c r="M212" s="107"/>
    </row>
    <row r="213" ht="15.75" customHeight="1">
      <c r="A213" s="54">
        <f t="shared" si="1"/>
        <v>-105</v>
      </c>
      <c r="B213" s="71" t="s">
        <v>38</v>
      </c>
      <c r="C213" s="71" t="s">
        <v>22</v>
      </c>
      <c r="D213" s="72">
        <v>45943.0</v>
      </c>
      <c r="E213" s="58">
        <f>MONTH('BOLETAS 2025'!$D213)</f>
        <v>10</v>
      </c>
      <c r="F213" s="102">
        <v>40126.0</v>
      </c>
      <c r="G213" s="102">
        <v>7.71780504E8</v>
      </c>
      <c r="H213" s="102" t="s">
        <v>104</v>
      </c>
      <c r="I213" s="74">
        <v>20000.0</v>
      </c>
      <c r="J213" s="168" t="s">
        <v>25</v>
      </c>
      <c r="K213" s="75" t="s">
        <v>35</v>
      </c>
      <c r="L213" s="85" t="s">
        <v>105</v>
      </c>
      <c r="M213" s="104"/>
    </row>
    <row r="214" ht="15.75" customHeight="1">
      <c r="A214" s="44">
        <f t="shared" si="1"/>
        <v>-105</v>
      </c>
      <c r="B214" s="76" t="s">
        <v>38</v>
      </c>
      <c r="C214" s="76" t="s">
        <v>22</v>
      </c>
      <c r="D214" s="78">
        <v>45943.0</v>
      </c>
      <c r="E214" s="47">
        <f>MONTH('BOLETAS 2025'!$D214)</f>
        <v>10</v>
      </c>
      <c r="F214" s="105">
        <v>7.8941206E7</v>
      </c>
      <c r="G214" s="105">
        <v>7.61349414E8</v>
      </c>
      <c r="H214" s="105" t="s">
        <v>53</v>
      </c>
      <c r="I214" s="80">
        <v>51607.0</v>
      </c>
      <c r="J214" s="169" t="s">
        <v>25</v>
      </c>
      <c r="K214" s="81" t="s">
        <v>26</v>
      </c>
      <c r="L214" s="83" t="s">
        <v>27</v>
      </c>
      <c r="M214" s="107"/>
    </row>
    <row r="215" ht="15.75" customHeight="1">
      <c r="A215" s="54">
        <f t="shared" si="1"/>
        <v>-102</v>
      </c>
      <c r="B215" s="71" t="s">
        <v>38</v>
      </c>
      <c r="C215" s="71" t="s">
        <v>22</v>
      </c>
      <c r="D215" s="72">
        <v>45946.0</v>
      </c>
      <c r="E215" s="58">
        <f>MONTH('BOLETAS 2025'!$D215)</f>
        <v>10</v>
      </c>
      <c r="F215" s="102">
        <v>7.8941304E7</v>
      </c>
      <c r="G215" s="102">
        <v>7.61349414E8</v>
      </c>
      <c r="H215" s="102" t="s">
        <v>53</v>
      </c>
      <c r="I215" s="74">
        <v>22430.0</v>
      </c>
      <c r="J215" s="168" t="s">
        <v>25</v>
      </c>
      <c r="K215" s="75" t="s">
        <v>26</v>
      </c>
      <c r="L215" s="85" t="s">
        <v>27</v>
      </c>
      <c r="M215" s="104"/>
    </row>
    <row r="216" ht="15.75" customHeight="1">
      <c r="A216" s="44">
        <f t="shared" si="1"/>
        <v>-98</v>
      </c>
      <c r="B216" s="76" t="s">
        <v>38</v>
      </c>
      <c r="C216" s="76" t="s">
        <v>22</v>
      </c>
      <c r="D216" s="78">
        <v>45950.0</v>
      </c>
      <c r="E216" s="47">
        <f>MONTH('BOLETAS 2025'!$D216)</f>
        <v>10</v>
      </c>
      <c r="F216" s="105">
        <v>288220.0</v>
      </c>
      <c r="G216" s="105">
        <v>8.66644004E8</v>
      </c>
      <c r="H216" s="105" t="s">
        <v>215</v>
      </c>
      <c r="I216" s="80">
        <v>14950.0</v>
      </c>
      <c r="J216" s="169" t="s">
        <v>25</v>
      </c>
      <c r="K216" s="81" t="s">
        <v>26</v>
      </c>
      <c r="L216" s="83" t="s">
        <v>27</v>
      </c>
      <c r="M216" s="107"/>
    </row>
    <row r="217" ht="15.75" customHeight="1">
      <c r="A217" s="54">
        <f t="shared" si="1"/>
        <v>-87</v>
      </c>
      <c r="B217" s="71" t="s">
        <v>38</v>
      </c>
      <c r="C217" s="71" t="s">
        <v>22</v>
      </c>
      <c r="D217" s="72">
        <v>45961.0</v>
      </c>
      <c r="E217" s="58">
        <f>MONTH('BOLETAS 2025'!$D217)</f>
        <v>10</v>
      </c>
      <c r="F217" s="102">
        <v>7.8999158E7</v>
      </c>
      <c r="G217" s="102">
        <v>7.61349414E8</v>
      </c>
      <c r="H217" s="102" t="s">
        <v>53</v>
      </c>
      <c r="I217" s="74">
        <v>28935.0</v>
      </c>
      <c r="J217" s="168" t="s">
        <v>25</v>
      </c>
      <c r="K217" s="75" t="s">
        <v>35</v>
      </c>
      <c r="L217" s="85" t="s">
        <v>27</v>
      </c>
      <c r="M217" s="104"/>
    </row>
    <row r="218" ht="15.75" customHeight="1">
      <c r="A218" s="44">
        <f t="shared" si="1"/>
        <v>-80</v>
      </c>
      <c r="B218" s="76" t="s">
        <v>38</v>
      </c>
      <c r="C218" s="76" t="s">
        <v>22</v>
      </c>
      <c r="D218" s="78">
        <v>45968.0</v>
      </c>
      <c r="E218" s="47">
        <f>MONTH('BOLETAS 2025'!$D218)</f>
        <v>11</v>
      </c>
      <c r="F218" s="105">
        <v>1.0842978E7</v>
      </c>
      <c r="G218" s="105">
        <v>8.81929007E8</v>
      </c>
      <c r="H218" s="105" t="s">
        <v>216</v>
      </c>
      <c r="I218" s="80">
        <v>7476.0</v>
      </c>
      <c r="J218" s="169" t="s">
        <v>25</v>
      </c>
      <c r="K218" s="81" t="s">
        <v>35</v>
      </c>
      <c r="L218" s="83" t="s">
        <v>27</v>
      </c>
      <c r="M218" s="107"/>
    </row>
    <row r="219" ht="15.75" customHeight="1">
      <c r="A219" s="54">
        <f t="shared" si="1"/>
        <v>-86</v>
      </c>
      <c r="B219" s="71" t="s">
        <v>38</v>
      </c>
      <c r="C219" s="71" t="s">
        <v>22</v>
      </c>
      <c r="D219" s="72">
        <v>45962.0</v>
      </c>
      <c r="E219" s="58">
        <f>MONTH('BOLETAS 2025'!$D219)</f>
        <v>11</v>
      </c>
      <c r="F219" s="102">
        <v>40066.0</v>
      </c>
      <c r="G219" s="102">
        <v>7.71780504E8</v>
      </c>
      <c r="H219" s="102" t="s">
        <v>104</v>
      </c>
      <c r="I219" s="74">
        <v>20000.0</v>
      </c>
      <c r="J219" s="168" t="s">
        <v>25</v>
      </c>
      <c r="K219" s="75" t="s">
        <v>35</v>
      </c>
      <c r="L219" s="85" t="s">
        <v>105</v>
      </c>
      <c r="M219" s="104"/>
    </row>
    <row r="220" ht="15.75" customHeight="1">
      <c r="A220" s="44">
        <f t="shared" si="1"/>
        <v>-85</v>
      </c>
      <c r="B220" s="76" t="s">
        <v>38</v>
      </c>
      <c r="C220" s="76" t="s">
        <v>22</v>
      </c>
      <c r="D220" s="78">
        <v>45963.0</v>
      </c>
      <c r="E220" s="47">
        <f>MONTH('BOLETAS 2025'!$D220)</f>
        <v>11</v>
      </c>
      <c r="F220" s="105">
        <v>2270.0</v>
      </c>
      <c r="G220" s="105">
        <v>9.4625007E7</v>
      </c>
      <c r="H220" s="105" t="s">
        <v>192</v>
      </c>
      <c r="I220" s="80">
        <v>20500.0</v>
      </c>
      <c r="J220" s="169" t="s">
        <v>25</v>
      </c>
      <c r="K220" s="81" t="s">
        <v>26</v>
      </c>
      <c r="L220" s="83" t="s">
        <v>27</v>
      </c>
      <c r="M220" s="107"/>
    </row>
    <row r="221" ht="15.75" customHeight="1">
      <c r="A221" s="54">
        <f t="shared" si="1"/>
        <v>-80</v>
      </c>
      <c r="B221" s="71" t="s">
        <v>38</v>
      </c>
      <c r="C221" s="71" t="s">
        <v>22</v>
      </c>
      <c r="D221" s="72">
        <v>45968.0</v>
      </c>
      <c r="E221" s="58">
        <f>MONTH('BOLETAS 2025'!$D221)</f>
        <v>11</v>
      </c>
      <c r="F221" s="102">
        <v>1680296.0</v>
      </c>
      <c r="G221" s="102">
        <v>7.63391329E8</v>
      </c>
      <c r="H221" s="102" t="s">
        <v>217</v>
      </c>
      <c r="I221" s="74">
        <v>20000.0</v>
      </c>
      <c r="J221" s="168" t="s">
        <v>25</v>
      </c>
      <c r="K221" s="75" t="s">
        <v>35</v>
      </c>
      <c r="L221" s="85" t="s">
        <v>105</v>
      </c>
      <c r="M221" s="104"/>
    </row>
    <row r="222" ht="15.75" customHeight="1">
      <c r="A222" s="44">
        <f t="shared" si="1"/>
        <v>-81</v>
      </c>
      <c r="B222" s="76" t="s">
        <v>38</v>
      </c>
      <c r="C222" s="76" t="s">
        <v>22</v>
      </c>
      <c r="D222" s="78">
        <v>45967.0</v>
      </c>
      <c r="E222" s="47">
        <f>MONTH('BOLETAS 2025'!$D222)</f>
        <v>11</v>
      </c>
      <c r="F222" s="105">
        <v>7.8999305E7</v>
      </c>
      <c r="G222" s="105">
        <v>7.61349414E8</v>
      </c>
      <c r="H222" s="105" t="s">
        <v>53</v>
      </c>
      <c r="I222" s="80">
        <v>43080.0</v>
      </c>
      <c r="J222" s="169" t="s">
        <v>25</v>
      </c>
      <c r="K222" s="81" t="s">
        <v>26</v>
      </c>
      <c r="L222" s="83" t="s">
        <v>27</v>
      </c>
      <c r="M222" s="107"/>
    </row>
    <row r="223" ht="15.75" customHeight="1">
      <c r="A223" s="54">
        <f t="shared" si="1"/>
        <v>-81</v>
      </c>
      <c r="B223" s="71" t="s">
        <v>38</v>
      </c>
      <c r="C223" s="71" t="s">
        <v>22</v>
      </c>
      <c r="D223" s="72">
        <v>45967.0</v>
      </c>
      <c r="E223" s="58">
        <f>MONTH('BOLETAS 2025'!$D223)</f>
        <v>11</v>
      </c>
      <c r="F223" s="102">
        <v>1.538809496E9</v>
      </c>
      <c r="G223" s="102">
        <v>8.98072002E8</v>
      </c>
      <c r="H223" s="102" t="s">
        <v>218</v>
      </c>
      <c r="I223" s="74">
        <v>6880.0</v>
      </c>
      <c r="J223" s="168" t="s">
        <v>25</v>
      </c>
      <c r="K223" s="75" t="s">
        <v>26</v>
      </c>
      <c r="L223" s="85" t="s">
        <v>27</v>
      </c>
      <c r="M223" s="104"/>
    </row>
    <row r="224" ht="15.75" customHeight="1">
      <c r="A224" s="44">
        <f t="shared" si="1"/>
        <v>-78</v>
      </c>
      <c r="B224" s="76" t="s">
        <v>38</v>
      </c>
      <c r="C224" s="76" t="s">
        <v>22</v>
      </c>
      <c r="D224" s="78">
        <v>45970.0</v>
      </c>
      <c r="E224" s="47">
        <f>MONTH('BOLETAS 2025'!$D224)</f>
        <v>11</v>
      </c>
      <c r="F224" s="105">
        <v>7.8999392E7</v>
      </c>
      <c r="G224" s="105">
        <v>7.61349414E8</v>
      </c>
      <c r="H224" s="105" t="s">
        <v>53</v>
      </c>
      <c r="I224" s="80">
        <v>32150.0</v>
      </c>
      <c r="J224" s="169" t="s">
        <v>25</v>
      </c>
      <c r="K224" s="81" t="s">
        <v>26</v>
      </c>
      <c r="L224" s="83" t="s">
        <v>27</v>
      </c>
      <c r="M224" s="107"/>
    </row>
    <row r="225" ht="15.75" customHeight="1">
      <c r="A225" s="54">
        <f t="shared" si="1"/>
        <v>-71</v>
      </c>
      <c r="B225" s="71" t="s">
        <v>38</v>
      </c>
      <c r="C225" s="71" t="s">
        <v>22</v>
      </c>
      <c r="D225" s="72">
        <v>45977.0</v>
      </c>
      <c r="E225" s="58">
        <f>MONTH('BOLETAS 2025'!$D225)</f>
        <v>11</v>
      </c>
      <c r="F225" s="102">
        <v>2.90647109E8</v>
      </c>
      <c r="G225" s="102">
        <v>7.60846821E8</v>
      </c>
      <c r="H225" s="102" t="s">
        <v>219</v>
      </c>
      <c r="I225" s="74">
        <v>9110.0</v>
      </c>
      <c r="J225" s="168" t="s">
        <v>25</v>
      </c>
      <c r="K225" s="75" t="s">
        <v>26</v>
      </c>
      <c r="L225" s="85" t="s">
        <v>27</v>
      </c>
      <c r="M225" s="104"/>
    </row>
    <row r="226" ht="15.75" customHeight="1">
      <c r="A226" s="44">
        <f t="shared" si="1"/>
        <v>-71</v>
      </c>
      <c r="B226" s="76" t="s">
        <v>38</v>
      </c>
      <c r="C226" s="76" t="s">
        <v>22</v>
      </c>
      <c r="D226" s="78">
        <v>45977.0</v>
      </c>
      <c r="E226" s="47">
        <f>MONTH('BOLETAS 2025'!$D226)</f>
        <v>11</v>
      </c>
      <c r="F226" s="105">
        <v>40126.0</v>
      </c>
      <c r="G226" s="105">
        <v>7.71780504E8</v>
      </c>
      <c r="H226" s="105" t="s">
        <v>104</v>
      </c>
      <c r="I226" s="80">
        <v>10000.0</v>
      </c>
      <c r="J226" s="169" t="s">
        <v>25</v>
      </c>
      <c r="K226" s="81" t="s">
        <v>26</v>
      </c>
      <c r="L226" s="83" t="s">
        <v>105</v>
      </c>
      <c r="M226" s="107"/>
    </row>
    <row r="227" ht="15.75" customHeight="1">
      <c r="A227" s="54">
        <f t="shared" si="1"/>
        <v>-71</v>
      </c>
      <c r="B227" s="71" t="s">
        <v>38</v>
      </c>
      <c r="C227" s="71" t="s">
        <v>22</v>
      </c>
      <c r="D227" s="72">
        <v>45977.0</v>
      </c>
      <c r="E227" s="58">
        <f>MONTH('BOLETAS 2025'!$D227)</f>
        <v>11</v>
      </c>
      <c r="F227" s="102">
        <v>40126.0</v>
      </c>
      <c r="G227" s="102">
        <v>7.71780504E8</v>
      </c>
      <c r="H227" s="102" t="s">
        <v>104</v>
      </c>
      <c r="I227" s="74">
        <v>20000.0</v>
      </c>
      <c r="J227" s="168" t="s">
        <v>25</v>
      </c>
      <c r="K227" s="75" t="s">
        <v>35</v>
      </c>
      <c r="L227" s="85" t="s">
        <v>105</v>
      </c>
      <c r="M227" s="104"/>
    </row>
    <row r="228" ht="15.75" customHeight="1">
      <c r="A228" s="44">
        <f t="shared" si="1"/>
        <v>-70</v>
      </c>
      <c r="B228" s="76" t="s">
        <v>38</v>
      </c>
      <c r="C228" s="76" t="s">
        <v>22</v>
      </c>
      <c r="D228" s="78">
        <v>45978.0</v>
      </c>
      <c r="E228" s="47">
        <f>MONTH('BOLETAS 2025'!$D228)</f>
        <v>11</v>
      </c>
      <c r="F228" s="105">
        <v>2786.0</v>
      </c>
      <c r="G228" s="105">
        <v>9.69436205E8</v>
      </c>
      <c r="H228" s="105" t="s">
        <v>220</v>
      </c>
      <c r="I228" s="80">
        <v>2786.0</v>
      </c>
      <c r="J228" s="169" t="s">
        <v>25</v>
      </c>
      <c r="K228" s="81" t="s">
        <v>35</v>
      </c>
      <c r="L228" s="83" t="s">
        <v>27</v>
      </c>
      <c r="M228" s="107"/>
    </row>
    <row r="229" ht="15.75" customHeight="1">
      <c r="A229" s="54">
        <f t="shared" si="1"/>
        <v>-70</v>
      </c>
      <c r="B229" s="71" t="s">
        <v>38</v>
      </c>
      <c r="C229" s="71" t="s">
        <v>22</v>
      </c>
      <c r="D229" s="72">
        <v>45978.0</v>
      </c>
      <c r="E229" s="58">
        <f>MONTH('BOLETAS 2025'!$D229)</f>
        <v>11</v>
      </c>
      <c r="F229" s="102">
        <v>3451.0</v>
      </c>
      <c r="G229" s="102">
        <v>9.69436205E8</v>
      </c>
      <c r="H229" s="102" t="s">
        <v>220</v>
      </c>
      <c r="I229" s="74">
        <v>3451.0</v>
      </c>
      <c r="J229" s="168" t="s">
        <v>25</v>
      </c>
      <c r="K229" s="75" t="s">
        <v>35</v>
      </c>
      <c r="L229" s="85" t="s">
        <v>27</v>
      </c>
      <c r="M229" s="104"/>
    </row>
    <row r="230" ht="15.75" customHeight="1">
      <c r="A230" s="44">
        <f t="shared" si="1"/>
        <v>-70</v>
      </c>
      <c r="B230" s="76" t="s">
        <v>38</v>
      </c>
      <c r="C230" s="76" t="s">
        <v>22</v>
      </c>
      <c r="D230" s="78">
        <v>45978.0</v>
      </c>
      <c r="E230" s="47">
        <f>MONTH('BOLETAS 2025'!$D230)</f>
        <v>11</v>
      </c>
      <c r="F230" s="105">
        <v>6.5922405E7</v>
      </c>
      <c r="G230" s="105">
        <v>9.95543907E8</v>
      </c>
      <c r="H230" s="105" t="s">
        <v>221</v>
      </c>
      <c r="I230" s="80">
        <v>3650.0</v>
      </c>
      <c r="J230" s="169" t="s">
        <v>25</v>
      </c>
      <c r="K230" s="81" t="s">
        <v>26</v>
      </c>
      <c r="L230" s="83" t="s">
        <v>27</v>
      </c>
      <c r="M230" s="107"/>
    </row>
    <row r="231" ht="15.75" customHeight="1">
      <c r="A231" s="54">
        <f t="shared" si="1"/>
        <v>-69</v>
      </c>
      <c r="B231" s="71" t="s">
        <v>38</v>
      </c>
      <c r="C231" s="71" t="s">
        <v>22</v>
      </c>
      <c r="D231" s="72">
        <v>45979.0</v>
      </c>
      <c r="E231" s="58">
        <f>MONTH('BOLETAS 2025'!$D231)</f>
        <v>11</v>
      </c>
      <c r="F231" s="102">
        <v>40126.0</v>
      </c>
      <c r="G231" s="102">
        <v>7.71780504E8</v>
      </c>
      <c r="H231" s="102" t="s">
        <v>104</v>
      </c>
      <c r="I231" s="74">
        <v>10000.0</v>
      </c>
      <c r="J231" s="168" t="s">
        <v>25</v>
      </c>
      <c r="K231" s="75" t="s">
        <v>26</v>
      </c>
      <c r="L231" s="85" t="s">
        <v>105</v>
      </c>
      <c r="M231" s="104"/>
    </row>
    <row r="232" ht="15.75" customHeight="1">
      <c r="A232" s="44"/>
      <c r="B232" s="76" t="s">
        <v>38</v>
      </c>
      <c r="C232" s="76" t="s">
        <v>22</v>
      </c>
      <c r="D232" s="78">
        <v>45981.0</v>
      </c>
      <c r="E232" s="47">
        <f>MONTH('BOLETAS 2025'!$D232)</f>
        <v>11</v>
      </c>
      <c r="F232" s="105">
        <v>9061773.0</v>
      </c>
      <c r="G232" s="105">
        <v>7.76482595E8</v>
      </c>
      <c r="H232" s="105" t="s">
        <v>222</v>
      </c>
      <c r="I232" s="80">
        <v>20000.0</v>
      </c>
      <c r="J232" s="169" t="s">
        <v>25</v>
      </c>
      <c r="K232" s="81" t="s">
        <v>26</v>
      </c>
      <c r="L232" s="83" t="s">
        <v>27</v>
      </c>
      <c r="M232" s="107"/>
    </row>
    <row r="233" ht="15.75" customHeight="1">
      <c r="A233" s="54"/>
      <c r="B233" s="71" t="s">
        <v>38</v>
      </c>
      <c r="C233" s="71" t="s">
        <v>22</v>
      </c>
      <c r="D233" s="72">
        <v>45982.0</v>
      </c>
      <c r="E233" s="58">
        <f>MONTH('BOLETAS 2025'!$D233)</f>
        <v>11</v>
      </c>
      <c r="F233" s="102">
        <v>7.9100666E7</v>
      </c>
      <c r="G233" s="102">
        <v>7.61349414E8</v>
      </c>
      <c r="H233" s="102" t="s">
        <v>53</v>
      </c>
      <c r="I233" s="74">
        <v>36820.0</v>
      </c>
      <c r="J233" s="168" t="s">
        <v>25</v>
      </c>
      <c r="K233" s="75" t="s">
        <v>35</v>
      </c>
      <c r="L233" s="85" t="s">
        <v>27</v>
      </c>
      <c r="M233" s="104"/>
    </row>
    <row r="234" ht="15.75" customHeight="1">
      <c r="A234" s="44"/>
      <c r="B234" s="76" t="s">
        <v>38</v>
      </c>
      <c r="C234" s="76" t="s">
        <v>22</v>
      </c>
      <c r="D234" s="78">
        <v>45984.0</v>
      </c>
      <c r="E234" s="47">
        <f>MONTH('BOLETAS 2025'!$D234)</f>
        <v>11</v>
      </c>
      <c r="F234" s="105">
        <v>8.6004887E7</v>
      </c>
      <c r="G234" s="105">
        <v>9.66909803E8</v>
      </c>
      <c r="H234" s="105" t="s">
        <v>214</v>
      </c>
      <c r="I234" s="80">
        <v>3120.0</v>
      </c>
      <c r="J234" s="169" t="s">
        <v>25</v>
      </c>
      <c r="K234" s="81" t="s">
        <v>26</v>
      </c>
      <c r="L234" s="83" t="s">
        <v>27</v>
      </c>
      <c r="M234" s="107"/>
    </row>
    <row r="235" ht="15.75" customHeight="1">
      <c r="A235" s="54"/>
      <c r="B235" s="71" t="s">
        <v>38</v>
      </c>
      <c r="C235" s="71" t="s">
        <v>22</v>
      </c>
      <c r="D235" s="72">
        <v>45984.0</v>
      </c>
      <c r="E235" s="58">
        <f>MONTH('BOLETAS 2025'!$D235)</f>
        <v>11</v>
      </c>
      <c r="F235" s="102">
        <v>2.5607191E7</v>
      </c>
      <c r="G235" s="102" t="s">
        <v>223</v>
      </c>
      <c r="H235" s="102" t="s">
        <v>207</v>
      </c>
      <c r="I235" s="74">
        <v>22383.0</v>
      </c>
      <c r="J235" s="168" t="s">
        <v>25</v>
      </c>
      <c r="K235" s="75" t="s">
        <v>26</v>
      </c>
      <c r="L235" s="85" t="s">
        <v>27</v>
      </c>
      <c r="M235" s="104"/>
    </row>
    <row r="236" ht="15.75" customHeight="1">
      <c r="A236" s="44"/>
      <c r="B236" s="76" t="s">
        <v>38</v>
      </c>
      <c r="C236" s="76" t="s">
        <v>22</v>
      </c>
      <c r="D236" s="78">
        <v>45984.0</v>
      </c>
      <c r="E236" s="47">
        <f>MONTH('BOLETAS 2025'!$D236)</f>
        <v>11</v>
      </c>
      <c r="F236" s="105">
        <v>40126.0</v>
      </c>
      <c r="G236" s="105">
        <v>7.71780504E8</v>
      </c>
      <c r="H236" s="105" t="s">
        <v>104</v>
      </c>
      <c r="I236" s="80">
        <v>20000.0</v>
      </c>
      <c r="J236" s="169" t="s">
        <v>25</v>
      </c>
      <c r="K236" s="81" t="s">
        <v>26</v>
      </c>
      <c r="L236" s="83" t="s">
        <v>105</v>
      </c>
      <c r="M236" s="107"/>
    </row>
    <row r="237" ht="15.75" customHeight="1">
      <c r="A237" s="54"/>
      <c r="B237" s="71" t="s">
        <v>38</v>
      </c>
      <c r="C237" s="71" t="s">
        <v>22</v>
      </c>
      <c r="D237" s="72">
        <v>45985.0</v>
      </c>
      <c r="E237" s="58">
        <f>MONTH('BOLETAS 2025'!$D237)</f>
        <v>11</v>
      </c>
      <c r="F237" s="170"/>
      <c r="G237" s="102">
        <v>6.90609002E8</v>
      </c>
      <c r="H237" s="102" t="s">
        <v>224</v>
      </c>
      <c r="I237" s="74">
        <v>850.0</v>
      </c>
      <c r="J237" s="168" t="s">
        <v>25</v>
      </c>
      <c r="K237" s="75" t="s">
        <v>35</v>
      </c>
      <c r="L237" s="85" t="s">
        <v>27</v>
      </c>
      <c r="M237" s="104"/>
    </row>
    <row r="238" ht="15.75" customHeight="1">
      <c r="A238" s="44"/>
      <c r="B238" s="76" t="s">
        <v>38</v>
      </c>
      <c r="C238" s="76" t="s">
        <v>22</v>
      </c>
      <c r="D238" s="78">
        <v>45985.0</v>
      </c>
      <c r="E238" s="47">
        <f>MONTH('BOLETAS 2025'!$D238)</f>
        <v>11</v>
      </c>
      <c r="F238" s="105">
        <v>3.5743195E7</v>
      </c>
      <c r="G238" s="105">
        <v>7.76481807E8</v>
      </c>
      <c r="H238" s="105" t="s">
        <v>171</v>
      </c>
      <c r="I238" s="80">
        <v>3690.0</v>
      </c>
      <c r="J238" s="169" t="s">
        <v>25</v>
      </c>
      <c r="K238" s="81" t="s">
        <v>35</v>
      </c>
      <c r="L238" s="83" t="s">
        <v>27</v>
      </c>
      <c r="M238" s="107"/>
    </row>
    <row r="239" ht="15.75" customHeight="1">
      <c r="A239" s="54"/>
      <c r="B239" s="71" t="s">
        <v>38</v>
      </c>
      <c r="C239" s="71" t="s">
        <v>22</v>
      </c>
      <c r="D239" s="72">
        <v>45991.0</v>
      </c>
      <c r="E239" s="58">
        <f>MONTH('BOLETAS 2025'!$D239)</f>
        <v>11</v>
      </c>
      <c r="F239" s="102">
        <v>40126.0</v>
      </c>
      <c r="G239" s="102">
        <v>7.71780504E8</v>
      </c>
      <c r="H239" s="102" t="s">
        <v>104</v>
      </c>
      <c r="I239" s="74">
        <v>20000.0</v>
      </c>
      <c r="J239" s="168" t="s">
        <v>25</v>
      </c>
      <c r="K239" s="75" t="s">
        <v>35</v>
      </c>
      <c r="L239" s="85" t="s">
        <v>105</v>
      </c>
      <c r="M239" s="104"/>
    </row>
    <row r="240" ht="15.75" customHeight="1">
      <c r="A240" s="44"/>
      <c r="B240" s="76" t="s">
        <v>38</v>
      </c>
      <c r="C240" s="76" t="s">
        <v>22</v>
      </c>
      <c r="D240" s="78">
        <v>45991.0</v>
      </c>
      <c r="E240" s="47">
        <f>MONTH('BOLETAS 2025'!$D240)</f>
        <v>11</v>
      </c>
      <c r="F240" s="105">
        <v>2.478215969E9</v>
      </c>
      <c r="G240" s="105">
        <v>7.61349414E8</v>
      </c>
      <c r="H240" s="105" t="s">
        <v>53</v>
      </c>
      <c r="I240" s="80">
        <v>2000.0</v>
      </c>
      <c r="J240" s="169" t="s">
        <v>25</v>
      </c>
      <c r="K240" s="81" t="s">
        <v>26</v>
      </c>
      <c r="L240" s="83" t="s">
        <v>27</v>
      </c>
      <c r="M240" s="107"/>
    </row>
    <row r="241" ht="15.75" customHeight="1">
      <c r="A241" s="54"/>
      <c r="B241" s="71" t="s">
        <v>38</v>
      </c>
      <c r="C241" s="71" t="s">
        <v>22</v>
      </c>
      <c r="D241" s="72">
        <v>45664.0</v>
      </c>
      <c r="E241" s="58">
        <f>MONTH('BOLETAS 2025'!$D241)</f>
        <v>1</v>
      </c>
      <c r="F241" s="102">
        <v>1234.0</v>
      </c>
      <c r="G241" s="170"/>
      <c r="H241" s="102" t="s">
        <v>225</v>
      </c>
      <c r="I241" s="74">
        <v>80000.0</v>
      </c>
      <c r="J241" s="168" t="s">
        <v>25</v>
      </c>
      <c r="K241" s="75" t="s">
        <v>35</v>
      </c>
      <c r="L241" s="85" t="s">
        <v>27</v>
      </c>
      <c r="M241" s="104"/>
    </row>
    <row r="242" ht="15.75" customHeight="1">
      <c r="A242" s="44"/>
      <c r="B242" s="76" t="s">
        <v>38</v>
      </c>
      <c r="C242" s="76" t="s">
        <v>22</v>
      </c>
      <c r="D242" s="78">
        <v>45692.0</v>
      </c>
      <c r="E242" s="47">
        <f>MONTH('BOLETAS 2025'!$D242)</f>
        <v>2</v>
      </c>
      <c r="F242" s="105">
        <v>56.0</v>
      </c>
      <c r="G242" s="171"/>
      <c r="H242" s="105" t="s">
        <v>225</v>
      </c>
      <c r="I242" s="80">
        <v>40000.0</v>
      </c>
      <c r="J242" s="169" t="s">
        <v>25</v>
      </c>
      <c r="K242" s="81" t="s">
        <v>35</v>
      </c>
      <c r="L242" s="83" t="s">
        <v>27</v>
      </c>
      <c r="M242" s="107"/>
    </row>
    <row r="243" ht="15.75" customHeight="1">
      <c r="A243" s="54"/>
      <c r="B243" s="71" t="s">
        <v>38</v>
      </c>
      <c r="C243" s="71" t="s">
        <v>22</v>
      </c>
      <c r="D243" s="172">
        <v>45720.0</v>
      </c>
      <c r="E243" s="58">
        <f>MONTH('BOLETAS 2025'!$D243)</f>
        <v>3</v>
      </c>
      <c r="F243" s="102">
        <v>78910.0</v>
      </c>
      <c r="G243" s="170"/>
      <c r="H243" s="102" t="s">
        <v>225</v>
      </c>
      <c r="I243" s="74">
        <v>80000.0</v>
      </c>
      <c r="J243" s="168" t="s">
        <v>25</v>
      </c>
      <c r="K243" s="75" t="s">
        <v>35</v>
      </c>
      <c r="L243" s="85" t="s">
        <v>27</v>
      </c>
      <c r="M243" s="104"/>
    </row>
    <row r="244" ht="15.75" customHeight="1">
      <c r="A244" s="44"/>
      <c r="B244" s="76" t="s">
        <v>38</v>
      </c>
      <c r="C244" s="76" t="s">
        <v>22</v>
      </c>
      <c r="D244" s="78">
        <v>45749.0</v>
      </c>
      <c r="E244" s="47">
        <f>MONTH('BOLETAS 2025'!$D244)</f>
        <v>4</v>
      </c>
      <c r="F244" s="105">
        <v>1.112131415E9</v>
      </c>
      <c r="G244" s="171"/>
      <c r="H244" s="105" t="s">
        <v>225</v>
      </c>
      <c r="I244" s="80">
        <v>100000.0</v>
      </c>
      <c r="J244" s="169" t="s">
        <v>25</v>
      </c>
      <c r="K244" s="81" t="s">
        <v>35</v>
      </c>
      <c r="L244" s="83" t="s">
        <v>27</v>
      </c>
      <c r="M244" s="107"/>
    </row>
    <row r="245" ht="15.75" customHeight="1">
      <c r="A245" s="54"/>
      <c r="B245" s="71" t="s">
        <v>38</v>
      </c>
      <c r="C245" s="71" t="s">
        <v>22</v>
      </c>
      <c r="D245" s="72">
        <v>45784.0</v>
      </c>
      <c r="E245" s="58">
        <f>MONTH('BOLETAS 2025'!$D245)</f>
        <v>5</v>
      </c>
      <c r="F245" s="102">
        <v>1.6171819E7</v>
      </c>
      <c r="G245" s="170"/>
      <c r="H245" s="102" t="s">
        <v>225</v>
      </c>
      <c r="I245" s="74">
        <v>80000.0</v>
      </c>
      <c r="J245" s="168" t="s">
        <v>25</v>
      </c>
      <c r="K245" s="75" t="s">
        <v>35</v>
      </c>
      <c r="L245" s="85" t="s">
        <v>27</v>
      </c>
      <c r="M245" s="104"/>
    </row>
    <row r="246" ht="15.75" customHeight="1">
      <c r="A246" s="44"/>
      <c r="B246" s="76" t="s">
        <v>38</v>
      </c>
      <c r="C246" s="76" t="s">
        <v>22</v>
      </c>
      <c r="D246" s="78">
        <v>45812.0</v>
      </c>
      <c r="E246" s="47">
        <f>MONTH('BOLETAS 2025'!$D246)</f>
        <v>6</v>
      </c>
      <c r="F246" s="105">
        <v>2.0212223E7</v>
      </c>
      <c r="G246" s="171"/>
      <c r="H246" s="105" t="s">
        <v>225</v>
      </c>
      <c r="I246" s="80">
        <v>80000.0</v>
      </c>
      <c r="J246" s="169" t="s">
        <v>25</v>
      </c>
      <c r="K246" s="81" t="s">
        <v>35</v>
      </c>
      <c r="L246" s="83" t="s">
        <v>27</v>
      </c>
      <c r="M246" s="107"/>
    </row>
    <row r="247" ht="15.75" customHeight="1">
      <c r="A247" s="54"/>
      <c r="B247" s="71" t="s">
        <v>38</v>
      </c>
      <c r="C247" s="71" t="s">
        <v>22</v>
      </c>
      <c r="D247" s="72">
        <v>45840.0</v>
      </c>
      <c r="E247" s="58">
        <f>MONTH('BOLETAS 2025'!$D247)</f>
        <v>7</v>
      </c>
      <c r="F247" s="102">
        <v>2.425262728E9</v>
      </c>
      <c r="G247" s="170"/>
      <c r="H247" s="102" t="s">
        <v>225</v>
      </c>
      <c r="I247" s="74">
        <v>100000.0</v>
      </c>
      <c r="J247" s="168" t="s">
        <v>25</v>
      </c>
      <c r="K247" s="75" t="s">
        <v>35</v>
      </c>
      <c r="L247" s="85" t="s">
        <v>27</v>
      </c>
      <c r="M247" s="104"/>
    </row>
    <row r="248" ht="15.75" customHeight="1">
      <c r="A248" s="44"/>
      <c r="B248" s="76" t="s">
        <v>38</v>
      </c>
      <c r="C248" s="76" t="s">
        <v>22</v>
      </c>
      <c r="D248" s="78">
        <v>45875.0</v>
      </c>
      <c r="E248" s="47">
        <f>MONTH('BOLETAS 2025'!$D248)</f>
        <v>8</v>
      </c>
      <c r="F248" s="105">
        <v>2.9303132E7</v>
      </c>
      <c r="G248" s="171"/>
      <c r="H248" s="105" t="s">
        <v>225</v>
      </c>
      <c r="I248" s="80">
        <v>80000.0</v>
      </c>
      <c r="J248" s="169" t="s">
        <v>25</v>
      </c>
      <c r="K248" s="81" t="s">
        <v>35</v>
      </c>
      <c r="L248" s="83" t="s">
        <v>27</v>
      </c>
      <c r="M248" s="107"/>
    </row>
    <row r="249" ht="15.75" customHeight="1">
      <c r="A249" s="54"/>
      <c r="B249" s="71" t="s">
        <v>38</v>
      </c>
      <c r="C249" s="71" t="s">
        <v>22</v>
      </c>
      <c r="D249" s="72">
        <v>45903.0</v>
      </c>
      <c r="E249" s="58">
        <f>MONTH('BOLETAS 2025'!$D249)</f>
        <v>9</v>
      </c>
      <c r="F249" s="102">
        <v>333435.0</v>
      </c>
      <c r="G249" s="170"/>
      <c r="H249" s="102" t="s">
        <v>225</v>
      </c>
      <c r="I249" s="74">
        <v>60000.0</v>
      </c>
      <c r="J249" s="168" t="s">
        <v>25</v>
      </c>
      <c r="K249" s="75" t="s">
        <v>35</v>
      </c>
      <c r="L249" s="85" t="s">
        <v>27</v>
      </c>
      <c r="M249" s="104"/>
    </row>
    <row r="250" ht="15.75" customHeight="1">
      <c r="A250" s="44"/>
      <c r="B250" s="76" t="s">
        <v>38</v>
      </c>
      <c r="C250" s="76" t="s">
        <v>22</v>
      </c>
      <c r="D250" s="78">
        <v>45931.0</v>
      </c>
      <c r="E250" s="47">
        <f>MONTH('BOLETAS 2025'!$D250)</f>
        <v>10</v>
      </c>
      <c r="F250" s="105">
        <v>3.63738394E9</v>
      </c>
      <c r="G250" s="171"/>
      <c r="H250" s="105" t="s">
        <v>225</v>
      </c>
      <c r="I250" s="80">
        <v>100000.0</v>
      </c>
      <c r="J250" s="169" t="s">
        <v>25</v>
      </c>
      <c r="K250" s="81" t="s">
        <v>35</v>
      </c>
      <c r="L250" s="83" t="s">
        <v>27</v>
      </c>
      <c r="M250" s="107"/>
    </row>
    <row r="251" ht="15.75" customHeight="1">
      <c r="A251" s="54"/>
      <c r="B251" s="71" t="s">
        <v>38</v>
      </c>
      <c r="C251" s="71" t="s">
        <v>22</v>
      </c>
      <c r="D251" s="72">
        <v>45966.0</v>
      </c>
      <c r="E251" s="58">
        <f>MONTH('BOLETAS 2025'!$D251)</f>
        <v>11</v>
      </c>
      <c r="F251" s="102">
        <v>4.1424344E7</v>
      </c>
      <c r="G251" s="170"/>
      <c r="H251" s="102" t="s">
        <v>225</v>
      </c>
      <c r="I251" s="74">
        <v>80000.0</v>
      </c>
      <c r="J251" s="168" t="s">
        <v>25</v>
      </c>
      <c r="K251" s="75" t="s">
        <v>35</v>
      </c>
      <c r="L251" s="85" t="s">
        <v>27</v>
      </c>
      <c r="M251" s="104"/>
    </row>
    <row r="252" ht="15.75" customHeight="1">
      <c r="A252" s="44"/>
      <c r="B252" s="76" t="s">
        <v>38</v>
      </c>
      <c r="C252" s="76" t="s">
        <v>22</v>
      </c>
      <c r="D252" s="78">
        <v>45994.0</v>
      </c>
      <c r="E252" s="47">
        <f>MONTH('BOLETAS 2025'!$D252)</f>
        <v>12</v>
      </c>
      <c r="F252" s="105">
        <v>4.546474849E9</v>
      </c>
      <c r="G252" s="171"/>
      <c r="H252" s="105" t="s">
        <v>225</v>
      </c>
      <c r="I252" s="80">
        <v>100000.0</v>
      </c>
      <c r="J252" s="169" t="s">
        <v>25</v>
      </c>
      <c r="K252" s="81" t="s">
        <v>35</v>
      </c>
      <c r="L252" s="83" t="s">
        <v>27</v>
      </c>
      <c r="M252" s="107"/>
    </row>
    <row r="253" ht="15.75" customHeight="1">
      <c r="A253" s="54"/>
      <c r="B253" s="71" t="s">
        <v>38</v>
      </c>
      <c r="C253" s="71" t="s">
        <v>22</v>
      </c>
      <c r="D253" s="72">
        <v>45998.0</v>
      </c>
      <c r="E253" s="58">
        <f>MONTH('BOLETAS 2025'!$D253)</f>
        <v>12</v>
      </c>
      <c r="F253" s="102">
        <v>40066.0</v>
      </c>
      <c r="G253" s="102">
        <v>9.95200007E8</v>
      </c>
      <c r="H253" s="102" t="s">
        <v>104</v>
      </c>
      <c r="I253" s="74">
        <v>20000.0</v>
      </c>
      <c r="J253" s="168" t="s">
        <v>25</v>
      </c>
      <c r="K253" s="75" t="s">
        <v>26</v>
      </c>
      <c r="L253" s="85" t="s">
        <v>105</v>
      </c>
      <c r="M253" s="104"/>
    </row>
    <row r="254" ht="15.75" customHeight="1">
      <c r="A254" s="44"/>
      <c r="B254" s="76" t="s">
        <v>38</v>
      </c>
      <c r="C254" s="76" t="s">
        <v>22</v>
      </c>
      <c r="D254" s="78">
        <v>46003.0</v>
      </c>
      <c r="E254" s="47">
        <f>MONTH('BOLETAS 2025'!$D254)</f>
        <v>12</v>
      </c>
      <c r="F254" s="105">
        <v>32.0</v>
      </c>
      <c r="G254" s="105">
        <v>9.69436205E8</v>
      </c>
      <c r="H254" s="105" t="s">
        <v>220</v>
      </c>
      <c r="I254" s="80">
        <v>1250.0</v>
      </c>
      <c r="J254" s="169" t="s">
        <v>25</v>
      </c>
      <c r="K254" s="81" t="s">
        <v>35</v>
      </c>
      <c r="L254" s="83" t="s">
        <v>27</v>
      </c>
      <c r="M254" s="107"/>
    </row>
    <row r="255" ht="15.75" customHeight="1">
      <c r="A255" s="54"/>
      <c r="B255" s="71" t="s">
        <v>38</v>
      </c>
      <c r="C255" s="71" t="s">
        <v>22</v>
      </c>
      <c r="D255" s="72">
        <v>46003.0</v>
      </c>
      <c r="E255" s="58">
        <f>MONTH('BOLETAS 2025'!$D255)</f>
        <v>12</v>
      </c>
      <c r="F255" s="102">
        <v>1.0</v>
      </c>
      <c r="G255" s="102">
        <v>9.69436205E8</v>
      </c>
      <c r="H255" s="102" t="s">
        <v>220</v>
      </c>
      <c r="I255" s="74">
        <v>1250.0</v>
      </c>
      <c r="J255" s="168" t="s">
        <v>25</v>
      </c>
      <c r="K255" s="75" t="s">
        <v>35</v>
      </c>
      <c r="L255" s="85" t="s">
        <v>27</v>
      </c>
      <c r="M255" s="104"/>
    </row>
    <row r="256" ht="15.75" customHeight="1">
      <c r="A256" s="44"/>
      <c r="B256" s="76" t="s">
        <v>38</v>
      </c>
      <c r="C256" s="76" t="s">
        <v>22</v>
      </c>
      <c r="D256" s="78">
        <v>46003.0</v>
      </c>
      <c r="E256" s="47">
        <f>MONTH('BOLETAS 2025'!$D256)</f>
        <v>12</v>
      </c>
      <c r="F256" s="105">
        <v>40066.0</v>
      </c>
      <c r="G256" s="105">
        <v>9.95200007E8</v>
      </c>
      <c r="H256" s="105" t="s">
        <v>104</v>
      </c>
      <c r="I256" s="80">
        <v>20000.0</v>
      </c>
      <c r="J256" s="169" t="s">
        <v>25</v>
      </c>
      <c r="K256" s="81" t="s">
        <v>35</v>
      </c>
      <c r="L256" s="83" t="s">
        <v>105</v>
      </c>
      <c r="M256" s="107"/>
    </row>
    <row r="257" ht="15.75" customHeight="1">
      <c r="A257" s="54"/>
      <c r="B257" s="71" t="s">
        <v>38</v>
      </c>
      <c r="C257" s="71" t="s">
        <v>22</v>
      </c>
      <c r="D257" s="72">
        <v>46005.0</v>
      </c>
      <c r="E257" s="58">
        <f>MONTH('BOLETAS 2025'!$D257)</f>
        <v>12</v>
      </c>
      <c r="F257" s="102">
        <v>1720969.0</v>
      </c>
      <c r="G257" s="102">
        <v>7.63391329E8</v>
      </c>
      <c r="H257" s="102" t="s">
        <v>226</v>
      </c>
      <c r="I257" s="74">
        <v>20000.0</v>
      </c>
      <c r="J257" s="168" t="s">
        <v>25</v>
      </c>
      <c r="K257" s="75" t="s">
        <v>35</v>
      </c>
      <c r="L257" s="85" t="s">
        <v>105</v>
      </c>
      <c r="M257" s="104"/>
    </row>
    <row r="258" ht="15.75" customHeight="1">
      <c r="A258" s="44"/>
      <c r="B258" s="76" t="s">
        <v>38</v>
      </c>
      <c r="C258" s="76" t="s">
        <v>22</v>
      </c>
      <c r="D258" s="78">
        <v>46010.0</v>
      </c>
      <c r="E258" s="47">
        <f>MONTH('BOLETAS 2025'!$D258)</f>
        <v>12</v>
      </c>
      <c r="F258" s="105">
        <v>40088.0</v>
      </c>
      <c r="G258" s="105">
        <v>9.95200007E8</v>
      </c>
      <c r="H258" s="105" t="s">
        <v>104</v>
      </c>
      <c r="I258" s="80">
        <v>10000.0</v>
      </c>
      <c r="J258" s="169" t="s">
        <v>25</v>
      </c>
      <c r="K258" s="81" t="s">
        <v>35</v>
      </c>
      <c r="L258" s="83" t="s">
        <v>105</v>
      </c>
      <c r="M258" s="107"/>
    </row>
    <row r="259" ht="15.75" customHeight="1">
      <c r="A259" s="54"/>
      <c r="B259" s="71" t="s">
        <v>38</v>
      </c>
      <c r="C259" s="71" t="s">
        <v>22</v>
      </c>
      <c r="D259" s="72">
        <v>46013.0</v>
      </c>
      <c r="E259" s="58">
        <f>MONTH('BOLETAS 2025'!$D259)</f>
        <v>12</v>
      </c>
      <c r="F259" s="102">
        <v>3153952.0</v>
      </c>
      <c r="G259" s="102">
        <v>7.71347843E8</v>
      </c>
      <c r="H259" s="102" t="s">
        <v>227</v>
      </c>
      <c r="I259" s="74">
        <v>10000.0</v>
      </c>
      <c r="J259" s="168" t="s">
        <v>25</v>
      </c>
      <c r="K259" s="75" t="s">
        <v>35</v>
      </c>
      <c r="L259" s="85" t="s">
        <v>105</v>
      </c>
      <c r="M259" s="104"/>
    </row>
    <row r="260" ht="15.75" customHeight="1">
      <c r="A260" s="44"/>
      <c r="B260" s="76" t="s">
        <v>38</v>
      </c>
      <c r="C260" s="76" t="s">
        <v>22</v>
      </c>
      <c r="D260" s="78">
        <v>45993.0</v>
      </c>
      <c r="E260" s="47">
        <f>MONTH('BOLETAS 2025'!$D260)</f>
        <v>12</v>
      </c>
      <c r="F260" s="105">
        <v>7.9100954E7</v>
      </c>
      <c r="G260" s="105">
        <v>7.61349414E8</v>
      </c>
      <c r="H260" s="105" t="s">
        <v>53</v>
      </c>
      <c r="I260" s="80">
        <v>17300.0</v>
      </c>
      <c r="J260" s="169" t="s">
        <v>25</v>
      </c>
      <c r="K260" s="81" t="s">
        <v>26</v>
      </c>
      <c r="L260" s="83" t="s">
        <v>27</v>
      </c>
      <c r="M260" s="107"/>
    </row>
    <row r="261" ht="15.75" customHeight="1">
      <c r="A261" s="54"/>
      <c r="B261" s="71" t="s">
        <v>38</v>
      </c>
      <c r="C261" s="71" t="s">
        <v>22</v>
      </c>
      <c r="D261" s="72">
        <v>46001.0</v>
      </c>
      <c r="E261" s="58">
        <f>MONTH('BOLETAS 2025'!$D261)</f>
        <v>12</v>
      </c>
      <c r="F261" s="102">
        <v>165.0</v>
      </c>
      <c r="G261" s="102">
        <v>7.63608689E8</v>
      </c>
      <c r="H261" s="102" t="s">
        <v>228</v>
      </c>
      <c r="I261" s="74">
        <v>18130.0</v>
      </c>
      <c r="J261" s="168" t="s">
        <v>25</v>
      </c>
      <c r="K261" s="75" t="s">
        <v>26</v>
      </c>
      <c r="L261" s="85" t="s">
        <v>27</v>
      </c>
      <c r="M261" s="104"/>
    </row>
    <row r="262">
      <c r="A262" s="44"/>
      <c r="B262" s="76" t="s">
        <v>38</v>
      </c>
      <c r="C262" s="76" t="s">
        <v>22</v>
      </c>
      <c r="D262" s="78">
        <v>46003.0</v>
      </c>
      <c r="E262" s="47">
        <f>MONTH('BOLETAS 2025'!$D262)</f>
        <v>12</v>
      </c>
      <c r="F262" s="105">
        <v>245391.0</v>
      </c>
      <c r="G262" s="105">
        <v>9.538683E7</v>
      </c>
      <c r="H262" s="105" t="s">
        <v>34</v>
      </c>
      <c r="I262" s="80">
        <v>16500.0</v>
      </c>
      <c r="J262" s="169" t="s">
        <v>25</v>
      </c>
      <c r="K262" s="81" t="s">
        <v>35</v>
      </c>
      <c r="L262" s="83" t="s">
        <v>27</v>
      </c>
      <c r="M262" s="107"/>
    </row>
    <row r="263" ht="15.75" customHeight="1">
      <c r="A263" s="54"/>
      <c r="B263" s="71" t="s">
        <v>38</v>
      </c>
      <c r="C263" s="71" t="s">
        <v>22</v>
      </c>
      <c r="D263" s="72">
        <v>46006.0</v>
      </c>
      <c r="E263" s="58">
        <f>MONTH('BOLETAS 2025'!$D263)</f>
        <v>12</v>
      </c>
      <c r="F263" s="102">
        <v>2.8897164E7</v>
      </c>
      <c r="G263" s="102">
        <v>7.76733873E8</v>
      </c>
      <c r="H263" s="102" t="s">
        <v>229</v>
      </c>
      <c r="I263" s="74">
        <v>1390.0</v>
      </c>
      <c r="J263" s="168" t="s">
        <v>25</v>
      </c>
      <c r="K263" s="75" t="s">
        <v>35</v>
      </c>
      <c r="L263" s="85" t="s">
        <v>27</v>
      </c>
      <c r="M263" s="104"/>
    </row>
    <row r="264" ht="15.75" customHeight="1">
      <c r="A264" s="44"/>
      <c r="B264" s="76" t="s">
        <v>38</v>
      </c>
      <c r="C264" s="76" t="s">
        <v>22</v>
      </c>
      <c r="D264" s="167">
        <v>46008.0</v>
      </c>
      <c r="E264" s="47">
        <f>MONTH('BOLETAS 2025'!$D264)</f>
        <v>12</v>
      </c>
      <c r="F264" s="105">
        <v>5595.0</v>
      </c>
      <c r="G264" s="105">
        <v>7.63225984E8</v>
      </c>
      <c r="H264" s="105" t="s">
        <v>230</v>
      </c>
      <c r="I264" s="80">
        <v>3900.0</v>
      </c>
      <c r="J264" s="169" t="s">
        <v>25</v>
      </c>
      <c r="K264" s="81" t="s">
        <v>26</v>
      </c>
      <c r="L264" s="83" t="s">
        <v>27</v>
      </c>
      <c r="M264" s="107"/>
    </row>
    <row r="265" ht="15.75" customHeight="1">
      <c r="A265" s="54"/>
      <c r="B265" s="71" t="s">
        <v>38</v>
      </c>
      <c r="C265" s="71" t="s">
        <v>22</v>
      </c>
      <c r="D265" s="72">
        <v>46009.0</v>
      </c>
      <c r="E265" s="58">
        <f>MONTH('BOLETAS 2025'!$D265)</f>
        <v>12</v>
      </c>
      <c r="F265" s="102">
        <v>7.6206853E7</v>
      </c>
      <c r="G265" s="102">
        <v>7.61349414E8</v>
      </c>
      <c r="H265" s="102" t="s">
        <v>53</v>
      </c>
      <c r="I265" s="74">
        <v>53940.0</v>
      </c>
      <c r="J265" s="168" t="s">
        <v>25</v>
      </c>
      <c r="K265" s="75" t="s">
        <v>35</v>
      </c>
      <c r="L265" s="85" t="s">
        <v>27</v>
      </c>
      <c r="M265" s="104"/>
    </row>
    <row r="266" ht="15.75" customHeight="1">
      <c r="A266" s="44"/>
      <c r="B266" s="76" t="s">
        <v>38</v>
      </c>
      <c r="C266" s="76" t="s">
        <v>22</v>
      </c>
      <c r="D266" s="78">
        <v>46010.0</v>
      </c>
      <c r="E266" s="47">
        <f>MONTH('BOLETAS 2025'!$D266)</f>
        <v>12</v>
      </c>
      <c r="F266" s="105">
        <v>16830.0</v>
      </c>
      <c r="G266" s="105">
        <v>9.65724206E8</v>
      </c>
      <c r="H266" s="105" t="s">
        <v>231</v>
      </c>
      <c r="I266" s="80">
        <v>41951.0</v>
      </c>
      <c r="J266" s="169" t="s">
        <v>25</v>
      </c>
      <c r="K266" s="81" t="s">
        <v>26</v>
      </c>
      <c r="L266" s="83" t="s">
        <v>27</v>
      </c>
      <c r="M266" s="107"/>
    </row>
    <row r="267" ht="15.75" customHeight="1">
      <c r="A267" s="54"/>
      <c r="B267" s="71" t="s">
        <v>38</v>
      </c>
      <c r="C267" s="71" t="s">
        <v>22</v>
      </c>
      <c r="D267" s="72">
        <v>46011.0</v>
      </c>
      <c r="E267" s="58">
        <f>MONTH('BOLETAS 2025'!$D267)</f>
        <v>12</v>
      </c>
      <c r="F267" s="102">
        <v>383.0</v>
      </c>
      <c r="G267" s="102">
        <v>7.61349414E8</v>
      </c>
      <c r="H267" s="102" t="s">
        <v>53</v>
      </c>
      <c r="I267" s="74">
        <v>6097.0</v>
      </c>
      <c r="J267" s="168" t="s">
        <v>25</v>
      </c>
      <c r="K267" s="75" t="s">
        <v>26</v>
      </c>
      <c r="L267" s="85" t="s">
        <v>27</v>
      </c>
      <c r="M267" s="104"/>
    </row>
    <row r="268" ht="15.75" customHeight="1">
      <c r="A268" s="44"/>
      <c r="B268" s="76" t="s">
        <v>38</v>
      </c>
      <c r="C268" s="76" t="s">
        <v>22</v>
      </c>
      <c r="D268" s="78">
        <v>46011.0</v>
      </c>
      <c r="E268" s="47">
        <f>MONTH('BOLETAS 2025'!$D268)</f>
        <v>12</v>
      </c>
      <c r="F268" s="105">
        <v>7.9206898E7</v>
      </c>
      <c r="G268" s="105">
        <v>7.61349414E8</v>
      </c>
      <c r="H268" s="105" t="s">
        <v>53</v>
      </c>
      <c r="I268" s="80">
        <v>20260.0</v>
      </c>
      <c r="J268" s="169" t="s">
        <v>25</v>
      </c>
      <c r="K268" s="81" t="s">
        <v>35</v>
      </c>
      <c r="L268" s="83" t="s">
        <v>27</v>
      </c>
      <c r="M268" s="107"/>
    </row>
    <row r="269" ht="15.75" customHeight="1">
      <c r="A269" s="54"/>
      <c r="B269" s="71" t="s">
        <v>38</v>
      </c>
      <c r="C269" s="71" t="s">
        <v>22</v>
      </c>
      <c r="D269" s="72">
        <v>46021.0</v>
      </c>
      <c r="E269" s="58">
        <f>MONTH('BOLETAS 2025'!$D269)</f>
        <v>12</v>
      </c>
      <c r="F269" s="102">
        <v>7.61349414E8</v>
      </c>
      <c r="G269" s="102">
        <v>7.61349414E8</v>
      </c>
      <c r="H269" s="102" t="s">
        <v>53</v>
      </c>
      <c r="I269" s="74">
        <v>33240.0</v>
      </c>
      <c r="J269" s="168" t="s">
        <v>25</v>
      </c>
      <c r="K269" s="75" t="s">
        <v>30</v>
      </c>
      <c r="L269" s="85" t="s">
        <v>27</v>
      </c>
      <c r="M269" s="104"/>
    </row>
    <row r="270" ht="15.75" customHeight="1">
      <c r="A270" s="44"/>
      <c r="B270" s="76" t="s">
        <v>38</v>
      </c>
      <c r="C270" s="76" t="s">
        <v>22</v>
      </c>
      <c r="D270" s="46"/>
      <c r="E270" s="47">
        <f>MONTH('BOLETAS 2025'!$D270)</f>
        <v>12</v>
      </c>
      <c r="F270" s="171"/>
      <c r="G270" s="171"/>
      <c r="H270" s="171"/>
      <c r="I270" s="80"/>
      <c r="J270" s="169" t="s">
        <v>25</v>
      </c>
      <c r="K270" s="51"/>
      <c r="L270" s="83" t="s">
        <v>27</v>
      </c>
      <c r="M270" s="107"/>
    </row>
    <row r="271" ht="15.75" customHeight="1">
      <c r="A271" s="54"/>
      <c r="B271" s="71" t="s">
        <v>38</v>
      </c>
      <c r="C271" s="71" t="s">
        <v>22</v>
      </c>
      <c r="D271" s="57"/>
      <c r="E271" s="58">
        <f>MONTH('BOLETAS 2025'!$D271)</f>
        <v>12</v>
      </c>
      <c r="F271" s="170"/>
      <c r="G271" s="170"/>
      <c r="H271" s="170"/>
      <c r="I271" s="74"/>
      <c r="J271" s="168" t="s">
        <v>25</v>
      </c>
      <c r="K271" s="62"/>
      <c r="L271" s="85" t="s">
        <v>27</v>
      </c>
      <c r="M271" s="104"/>
    </row>
    <row r="272" ht="15.75" customHeight="1">
      <c r="A272" s="44"/>
      <c r="B272" s="76" t="s">
        <v>38</v>
      </c>
      <c r="C272" s="76" t="s">
        <v>22</v>
      </c>
      <c r="D272" s="46"/>
      <c r="E272" s="47">
        <f>MONTH('BOLETAS 2025'!$D272)</f>
        <v>12</v>
      </c>
      <c r="F272" s="171"/>
      <c r="G272" s="171"/>
      <c r="H272" s="171"/>
      <c r="I272" s="80"/>
      <c r="J272" s="169" t="s">
        <v>25</v>
      </c>
      <c r="K272" s="51"/>
      <c r="L272" s="83" t="s">
        <v>27</v>
      </c>
      <c r="M272" s="107"/>
    </row>
    <row r="273" ht="15.75" customHeight="1">
      <c r="A273" s="54"/>
      <c r="B273" s="71" t="s">
        <v>38</v>
      </c>
      <c r="C273" s="71" t="s">
        <v>22</v>
      </c>
      <c r="D273" s="57"/>
      <c r="E273" s="58">
        <f>MONTH('BOLETAS 2025'!$D273)</f>
        <v>12</v>
      </c>
      <c r="F273" s="170"/>
      <c r="G273" s="170"/>
      <c r="H273" s="170"/>
      <c r="I273" s="74"/>
      <c r="J273" s="168" t="s">
        <v>25</v>
      </c>
      <c r="K273" s="62"/>
      <c r="L273" s="85" t="s">
        <v>27</v>
      </c>
      <c r="M273" s="104"/>
    </row>
    <row r="274" ht="15.75" customHeight="1">
      <c r="A274" s="44"/>
      <c r="B274" s="76" t="s">
        <v>38</v>
      </c>
      <c r="C274" s="76" t="s">
        <v>22</v>
      </c>
      <c r="D274" s="46"/>
      <c r="E274" s="47">
        <f>MONTH('BOLETAS 2025'!$D274)</f>
        <v>12</v>
      </c>
      <c r="F274" s="171"/>
      <c r="G274" s="171"/>
      <c r="H274" s="171"/>
      <c r="I274" s="80"/>
      <c r="J274" s="169" t="s">
        <v>25</v>
      </c>
      <c r="K274" s="51"/>
      <c r="L274" s="83" t="s">
        <v>27</v>
      </c>
      <c r="M274" s="107"/>
    </row>
    <row r="275" ht="15.75" customHeight="1">
      <c r="A275" s="54"/>
      <c r="B275" s="71" t="s">
        <v>38</v>
      </c>
      <c r="C275" s="71" t="s">
        <v>22</v>
      </c>
      <c r="D275" s="57"/>
      <c r="E275" s="58">
        <f>MONTH('BOLETAS 2025'!$D275)</f>
        <v>12</v>
      </c>
      <c r="F275" s="170"/>
      <c r="G275" s="170"/>
      <c r="H275" s="170"/>
      <c r="I275" s="74"/>
      <c r="J275" s="168" t="s">
        <v>25</v>
      </c>
      <c r="K275" s="62"/>
      <c r="L275" s="85" t="s">
        <v>27</v>
      </c>
      <c r="M275" s="104"/>
    </row>
    <row r="276" ht="15.75" customHeight="1">
      <c r="A276" s="44"/>
      <c r="B276" s="76" t="s">
        <v>38</v>
      </c>
      <c r="C276" s="76" t="s">
        <v>22</v>
      </c>
      <c r="D276" s="46"/>
      <c r="E276" s="47">
        <f>MONTH('BOLETAS 2025'!$D276)</f>
        <v>12</v>
      </c>
      <c r="F276" s="171"/>
      <c r="G276" s="171"/>
      <c r="H276" s="171"/>
      <c r="I276" s="80"/>
      <c r="J276" s="169" t="s">
        <v>25</v>
      </c>
      <c r="K276" s="51"/>
      <c r="L276" s="83" t="s">
        <v>27</v>
      </c>
      <c r="M276" s="107"/>
    </row>
    <row r="277" ht="15.75" customHeight="1">
      <c r="A277" s="54"/>
      <c r="B277" s="71" t="s">
        <v>38</v>
      </c>
      <c r="C277" s="71" t="s">
        <v>22</v>
      </c>
      <c r="D277" s="57"/>
      <c r="E277" s="58">
        <f>MONTH('BOLETAS 2025'!$D277)</f>
        <v>12</v>
      </c>
      <c r="F277" s="170"/>
      <c r="G277" s="170"/>
      <c r="H277" s="170"/>
      <c r="I277" s="74"/>
      <c r="J277" s="168" t="s">
        <v>25</v>
      </c>
      <c r="K277" s="62"/>
      <c r="L277" s="85" t="s">
        <v>27</v>
      </c>
      <c r="M277" s="104"/>
    </row>
    <row r="278" ht="15.75" customHeight="1">
      <c r="A278" s="44">
        <f>D278-TODAY()</f>
        <v>-46048</v>
      </c>
      <c r="B278" s="76" t="s">
        <v>38</v>
      </c>
      <c r="C278" s="76" t="s">
        <v>22</v>
      </c>
      <c r="D278" s="46"/>
      <c r="E278" s="47">
        <f>MONTH('BOLETAS 2025'!$D278)</f>
        <v>12</v>
      </c>
      <c r="F278" s="171"/>
      <c r="G278" s="171"/>
      <c r="H278" s="171"/>
      <c r="I278" s="80">
        <v>0.0</v>
      </c>
      <c r="J278" s="169" t="s">
        <v>25</v>
      </c>
      <c r="K278" s="51"/>
      <c r="L278" s="83" t="s">
        <v>27</v>
      </c>
      <c r="M278" s="107"/>
    </row>
    <row r="279" ht="15.75" customHeight="1">
      <c r="A279" s="173"/>
      <c r="B279" s="174"/>
      <c r="C279" s="174"/>
      <c r="D279" s="175"/>
      <c r="E279" s="176"/>
      <c r="F279" s="177"/>
      <c r="G279" s="177"/>
      <c r="H279" s="178" t="s">
        <v>87</v>
      </c>
      <c r="I279" s="179">
        <f>SUBTOTAL(9,I5:I109)</f>
        <v>1798959</v>
      </c>
      <c r="J279" s="180" t="s">
        <v>86</v>
      </c>
      <c r="K279" s="181"/>
      <c r="L279" s="182"/>
      <c r="M279" s="183"/>
    </row>
    <row r="280" ht="15.75" customHeight="1">
      <c r="A280" s="184"/>
      <c r="B280" s="184"/>
      <c r="C280" s="184"/>
      <c r="D280" s="184"/>
      <c r="E280" s="184"/>
      <c r="F280" s="184"/>
      <c r="G280" s="184"/>
      <c r="H280" s="185"/>
      <c r="I280" s="186"/>
      <c r="J280" s="187"/>
      <c r="K280" s="188"/>
      <c r="L280" s="189"/>
      <c r="M280" s="185"/>
    </row>
    <row r="281" ht="15.75" customHeight="1">
      <c r="A281" s="133"/>
      <c r="B281" s="134"/>
      <c r="C281" s="134"/>
      <c r="D281" s="135"/>
      <c r="E281" s="136"/>
      <c r="F281" s="137"/>
      <c r="G281" s="137"/>
      <c r="H281" s="137"/>
      <c r="I281" s="138"/>
      <c r="J281" s="139"/>
      <c r="K281" s="139"/>
      <c r="L281" s="140"/>
      <c r="M281" s="137"/>
    </row>
    <row r="282" ht="15.75" customHeight="1">
      <c r="A282" s="133"/>
      <c r="B282" s="134"/>
      <c r="C282" s="134"/>
      <c r="D282" s="135"/>
      <c r="E282" s="136"/>
      <c r="F282" s="137"/>
      <c r="G282" s="137"/>
      <c r="H282" s="141"/>
      <c r="J282" s="142"/>
      <c r="K282" s="190" t="s">
        <v>232</v>
      </c>
      <c r="L282" s="144">
        <f>SUM(L283:L294)</f>
        <v>5472670</v>
      </c>
    </row>
    <row r="283" ht="15.75" customHeight="1">
      <c r="A283" s="133"/>
      <c r="B283" s="134"/>
      <c r="C283" s="134"/>
      <c r="D283" s="135"/>
      <c r="E283" s="136"/>
      <c r="F283" s="137"/>
      <c r="G283" s="137"/>
      <c r="H283" s="141"/>
      <c r="J283" s="146">
        <v>1.0</v>
      </c>
      <c r="K283" s="147" t="s">
        <v>90</v>
      </c>
      <c r="L283" s="191">
        <f t="shared" ref="L283:L294" si="2">SUMIFS($I:$I,$E:$E,J283)</f>
        <v>481632</v>
      </c>
    </row>
    <row r="284" ht="15.75" customHeight="1">
      <c r="A284" s="133"/>
      <c r="B284" s="134"/>
      <c r="C284" s="134"/>
      <c r="D284" s="135"/>
      <c r="E284" s="136"/>
      <c r="F284" s="137"/>
      <c r="G284" s="137"/>
      <c r="H284" s="152"/>
      <c r="J284" s="146">
        <v>2.0</v>
      </c>
      <c r="K284" s="147" t="s">
        <v>91</v>
      </c>
      <c r="L284" s="191">
        <f t="shared" si="2"/>
        <v>761094</v>
      </c>
    </row>
    <row r="285" ht="15.75" customHeight="1">
      <c r="A285" s="133"/>
      <c r="B285" s="134"/>
      <c r="C285" s="134"/>
      <c r="D285" s="135"/>
      <c r="E285" s="136"/>
      <c r="F285" s="137"/>
      <c r="G285" s="137"/>
      <c r="H285" s="152"/>
      <c r="J285" s="146">
        <v>3.0</v>
      </c>
      <c r="K285" s="147" t="s">
        <v>92</v>
      </c>
      <c r="L285" s="191">
        <f t="shared" si="2"/>
        <v>522418</v>
      </c>
    </row>
    <row r="286" ht="15.75" customHeight="1">
      <c r="A286" s="133"/>
      <c r="B286" s="134"/>
      <c r="C286" s="134"/>
      <c r="D286" s="135"/>
      <c r="E286" s="136"/>
      <c r="F286" s="137"/>
      <c r="G286" s="137"/>
      <c r="H286" s="152"/>
      <c r="J286" s="146">
        <v>4.0</v>
      </c>
      <c r="K286" s="147" t="s">
        <v>93</v>
      </c>
      <c r="L286" s="191">
        <f t="shared" si="2"/>
        <v>313211</v>
      </c>
    </row>
    <row r="287" ht="15.75" customHeight="1">
      <c r="A287" s="133"/>
      <c r="B287" s="134"/>
      <c r="C287" s="134"/>
      <c r="D287" s="135"/>
      <c r="E287" s="136"/>
      <c r="F287" s="137"/>
      <c r="G287" s="137"/>
      <c r="H287" s="141"/>
      <c r="J287" s="146">
        <v>5.0</v>
      </c>
      <c r="K287" s="147" t="s">
        <v>94</v>
      </c>
      <c r="L287" s="191">
        <f t="shared" si="2"/>
        <v>171671</v>
      </c>
    </row>
    <row r="288" ht="15.75" customHeight="1">
      <c r="A288" s="133"/>
      <c r="B288" s="134"/>
      <c r="C288" s="134"/>
      <c r="D288" s="135"/>
      <c r="E288" s="136"/>
      <c r="F288" s="137"/>
      <c r="G288" s="137"/>
      <c r="H288" s="141"/>
      <c r="J288" s="146">
        <v>6.0</v>
      </c>
      <c r="K288" s="147" t="s">
        <v>95</v>
      </c>
      <c r="L288" s="191">
        <f t="shared" si="2"/>
        <v>400932</v>
      </c>
    </row>
    <row r="289" ht="15.75" customHeight="1">
      <c r="A289" s="133"/>
      <c r="B289" s="134"/>
      <c r="C289" s="134"/>
      <c r="D289" s="135"/>
      <c r="E289" s="136"/>
      <c r="F289" s="137"/>
      <c r="G289" s="137"/>
      <c r="H289" s="141"/>
      <c r="J289" s="146">
        <v>7.0</v>
      </c>
      <c r="K289" s="147" t="s">
        <v>96</v>
      </c>
      <c r="L289" s="191">
        <f t="shared" si="2"/>
        <v>532705</v>
      </c>
    </row>
    <row r="290" ht="15.75" customHeight="1">
      <c r="A290" s="133"/>
      <c r="B290" s="134"/>
      <c r="C290" s="134"/>
      <c r="D290" s="135"/>
      <c r="E290" s="136"/>
      <c r="F290" s="137"/>
      <c r="G290" s="137"/>
      <c r="H290" s="141"/>
      <c r="J290" s="146">
        <v>8.0</v>
      </c>
      <c r="K290" s="147" t="s">
        <v>97</v>
      </c>
      <c r="L290" s="191">
        <f t="shared" si="2"/>
        <v>461830</v>
      </c>
    </row>
    <row r="291" ht="15.75" customHeight="1">
      <c r="A291" s="133"/>
      <c r="B291" s="134"/>
      <c r="C291" s="134"/>
      <c r="D291" s="135"/>
      <c r="E291" s="136"/>
      <c r="F291" s="137"/>
      <c r="G291" s="137"/>
      <c r="H291" s="141"/>
      <c r="J291" s="146">
        <v>9.0</v>
      </c>
      <c r="K291" s="147" t="s">
        <v>98</v>
      </c>
      <c r="L291" s="191">
        <f t="shared" si="2"/>
        <v>665942</v>
      </c>
    </row>
    <row r="292" ht="15.75" customHeight="1">
      <c r="A292" s="133"/>
      <c r="B292" s="134"/>
      <c r="C292" s="134"/>
      <c r="D292" s="135"/>
      <c r="E292" s="136"/>
      <c r="F292" s="137"/>
      <c r="G292" s="137"/>
      <c r="H292" s="141"/>
      <c r="J292" s="146">
        <v>10.0</v>
      </c>
      <c r="K292" s="147" t="s">
        <v>99</v>
      </c>
      <c r="L292" s="191">
        <f t="shared" si="2"/>
        <v>348081</v>
      </c>
    </row>
    <row r="293" ht="15.75" customHeight="1">
      <c r="A293" s="133"/>
      <c r="B293" s="134"/>
      <c r="C293" s="134"/>
      <c r="D293" s="135"/>
      <c r="E293" s="136"/>
      <c r="F293" s="137"/>
      <c r="G293" s="137"/>
      <c r="H293" s="141"/>
      <c r="J293" s="146">
        <v>11.0</v>
      </c>
      <c r="K293" s="147" t="s">
        <v>100</v>
      </c>
      <c r="L293" s="191">
        <f t="shared" si="2"/>
        <v>417946</v>
      </c>
    </row>
    <row r="294" ht="15.75" customHeight="1">
      <c r="A294" s="133"/>
      <c r="B294" s="134"/>
      <c r="C294" s="134"/>
      <c r="D294" s="135"/>
      <c r="E294" s="136"/>
      <c r="F294" s="137"/>
      <c r="G294" s="137"/>
      <c r="H294" s="141"/>
      <c r="J294" s="146">
        <v>12.0</v>
      </c>
      <c r="K294" s="147" t="s">
        <v>101</v>
      </c>
      <c r="L294" s="191">
        <f t="shared" si="2"/>
        <v>395208</v>
      </c>
    </row>
    <row r="295" ht="15.75" customHeight="1">
      <c r="A295" s="133"/>
      <c r="B295" s="134"/>
      <c r="C295" s="134"/>
      <c r="D295" s="135"/>
      <c r="E295" s="136"/>
      <c r="F295" s="137"/>
      <c r="G295" s="137"/>
      <c r="H295" s="154"/>
      <c r="I295" s="156"/>
      <c r="L295" s="157"/>
      <c r="M295" s="137"/>
    </row>
    <row r="296" ht="15.75" customHeight="1">
      <c r="A296" s="133"/>
      <c r="B296" s="134"/>
      <c r="C296" s="134"/>
      <c r="D296" s="135"/>
      <c r="E296" s="136"/>
      <c r="F296" s="137"/>
      <c r="G296" s="137"/>
      <c r="H296" s="154"/>
      <c r="I296" s="156"/>
      <c r="J296" s="140"/>
      <c r="K296" s="159"/>
      <c r="L296" s="140"/>
      <c r="M296" s="137"/>
    </row>
    <row r="297" ht="15.75" customHeight="1">
      <c r="A297" s="133"/>
      <c r="B297" s="134"/>
      <c r="C297" s="134"/>
      <c r="D297" s="135"/>
      <c r="E297" s="136"/>
      <c r="F297" s="137"/>
      <c r="G297" s="137"/>
      <c r="H297" s="154"/>
      <c r="I297" s="156"/>
      <c r="J297" s="140"/>
      <c r="K297" s="159"/>
      <c r="L297" s="140"/>
      <c r="M297" s="137"/>
    </row>
    <row r="298" ht="15.75" customHeight="1">
      <c r="A298" s="133"/>
      <c r="B298" s="134"/>
      <c r="C298" s="134"/>
      <c r="D298" s="135"/>
      <c r="E298" s="136"/>
      <c r="F298" s="137"/>
      <c r="G298" s="137"/>
      <c r="H298" s="137"/>
      <c r="I298" s="138"/>
      <c r="J298" s="140"/>
      <c r="K298" s="139"/>
      <c r="L298" s="140"/>
      <c r="M298" s="137"/>
    </row>
    <row r="299" ht="15.75" customHeight="1">
      <c r="A299" s="133"/>
      <c r="B299" s="134"/>
      <c r="C299" s="134"/>
      <c r="D299" s="135"/>
      <c r="E299" s="136"/>
      <c r="F299" s="137"/>
      <c r="G299" s="137"/>
      <c r="H299" s="137"/>
      <c r="I299" s="138"/>
      <c r="J299" s="139"/>
      <c r="K299" s="162"/>
      <c r="L299" s="140"/>
      <c r="M299" s="137"/>
    </row>
    <row r="300" ht="15.75" customHeight="1">
      <c r="A300" s="133"/>
      <c r="B300" s="134"/>
      <c r="C300" s="134"/>
      <c r="D300" s="135"/>
      <c r="E300" s="136"/>
      <c r="F300" s="137"/>
      <c r="G300" s="137"/>
      <c r="H300" s="137"/>
      <c r="I300" s="138"/>
      <c r="J300" s="139"/>
      <c r="K300" s="139"/>
      <c r="L300" s="140"/>
      <c r="M300" s="137"/>
    </row>
    <row r="301" ht="15.75" customHeight="1">
      <c r="A301" s="133"/>
      <c r="B301" s="134"/>
      <c r="C301" s="134"/>
      <c r="D301" s="135"/>
      <c r="E301" s="136"/>
      <c r="F301" s="137"/>
      <c r="G301" s="137"/>
      <c r="H301" s="137"/>
      <c r="I301" s="138"/>
      <c r="J301" s="139"/>
      <c r="K301" s="139"/>
      <c r="L301" s="140"/>
      <c r="M301" s="137"/>
    </row>
    <row r="302" ht="15.75" customHeight="1">
      <c r="A302" s="133"/>
      <c r="B302" s="134"/>
      <c r="C302" s="134"/>
      <c r="D302" s="135"/>
      <c r="E302" s="136"/>
      <c r="F302" s="137"/>
      <c r="G302" s="137"/>
      <c r="H302" s="137"/>
      <c r="I302" s="138"/>
      <c r="J302" s="139"/>
      <c r="K302" s="139"/>
      <c r="L302" s="140"/>
      <c r="M302" s="137"/>
    </row>
    <row r="303" ht="15.75" customHeight="1">
      <c r="A303" s="133"/>
      <c r="B303" s="134"/>
      <c r="C303" s="134"/>
      <c r="D303" s="135"/>
      <c r="E303" s="136"/>
      <c r="F303" s="137"/>
      <c r="G303" s="137"/>
      <c r="H303" s="137"/>
      <c r="I303" s="138"/>
      <c r="J303" s="139"/>
      <c r="K303" s="139"/>
      <c r="L303" s="140"/>
      <c r="M303" s="137"/>
    </row>
    <row r="304" ht="15.75" customHeight="1">
      <c r="A304" s="133"/>
      <c r="B304" s="134"/>
      <c r="C304" s="134"/>
      <c r="D304" s="135"/>
      <c r="E304" s="136"/>
      <c r="F304" s="137"/>
      <c r="G304" s="137"/>
      <c r="H304" s="137"/>
      <c r="I304" s="138"/>
      <c r="J304" s="139"/>
      <c r="K304" s="139"/>
      <c r="L304" s="140"/>
      <c r="M304" s="137"/>
    </row>
    <row r="305" ht="15.75" customHeight="1">
      <c r="A305" s="133"/>
      <c r="B305" s="134"/>
      <c r="C305" s="134"/>
      <c r="D305" s="135"/>
      <c r="E305" s="136"/>
      <c r="F305" s="137"/>
      <c r="G305" s="137"/>
      <c r="H305" s="137"/>
      <c r="I305" s="138"/>
      <c r="J305" s="139"/>
      <c r="K305" s="139"/>
      <c r="L305" s="140"/>
      <c r="M305" s="137"/>
    </row>
    <row r="306" ht="15.75" customHeight="1">
      <c r="A306" s="133"/>
      <c r="B306" s="134"/>
      <c r="C306" s="134"/>
      <c r="D306" s="135"/>
      <c r="E306" s="136"/>
      <c r="F306" s="137"/>
      <c r="G306" s="137"/>
      <c r="H306" s="137"/>
      <c r="I306" s="138"/>
      <c r="J306" s="139"/>
      <c r="K306" s="139"/>
      <c r="L306" s="140"/>
      <c r="M306" s="137"/>
    </row>
    <row r="307" ht="15.75" customHeight="1">
      <c r="A307" s="133"/>
      <c r="B307" s="134"/>
      <c r="C307" s="134"/>
      <c r="D307" s="135"/>
      <c r="E307" s="136"/>
      <c r="F307" s="137"/>
      <c r="G307" s="137"/>
      <c r="H307" s="137"/>
      <c r="I307" s="138"/>
      <c r="J307" s="139"/>
      <c r="K307" s="139"/>
      <c r="L307" s="140"/>
      <c r="M307" s="137"/>
    </row>
    <row r="308" ht="15.75" customHeight="1">
      <c r="A308" s="133"/>
      <c r="B308" s="134"/>
      <c r="C308" s="134"/>
      <c r="D308" s="135"/>
      <c r="E308" s="136"/>
      <c r="F308" s="137"/>
      <c r="G308" s="137"/>
      <c r="H308" s="137"/>
      <c r="I308" s="138"/>
      <c r="J308" s="139"/>
      <c r="K308" s="139"/>
      <c r="L308" s="140"/>
      <c r="M308" s="137"/>
    </row>
    <row r="309" ht="15.75" customHeight="1">
      <c r="A309" s="133"/>
      <c r="B309" s="134"/>
      <c r="C309" s="134"/>
      <c r="D309" s="135"/>
      <c r="E309" s="136"/>
      <c r="F309" s="137"/>
      <c r="G309" s="137"/>
      <c r="H309" s="137"/>
      <c r="I309" s="138"/>
      <c r="J309" s="139"/>
      <c r="K309" s="139"/>
      <c r="L309" s="140"/>
      <c r="M309" s="137"/>
    </row>
    <row r="310" ht="15.75" customHeight="1">
      <c r="A310" s="133"/>
      <c r="B310" s="134"/>
      <c r="C310" s="134"/>
      <c r="D310" s="135"/>
      <c r="E310" s="136"/>
      <c r="F310" s="137"/>
      <c r="G310" s="137"/>
      <c r="H310" s="137"/>
      <c r="I310" s="138"/>
      <c r="J310" s="139"/>
      <c r="K310" s="139"/>
      <c r="L310" s="140"/>
      <c r="M310" s="137"/>
    </row>
    <row r="311" ht="15.75" customHeight="1">
      <c r="A311" s="133"/>
      <c r="B311" s="134"/>
      <c r="C311" s="134"/>
      <c r="D311" s="135"/>
      <c r="E311" s="136"/>
      <c r="F311" s="137"/>
      <c r="G311" s="137"/>
      <c r="H311" s="137"/>
      <c r="I311" s="138"/>
      <c r="J311" s="139"/>
      <c r="K311" s="139"/>
      <c r="L311" s="140"/>
      <c r="M311" s="137"/>
    </row>
    <row r="312" ht="15.75" customHeight="1">
      <c r="A312" s="133"/>
      <c r="B312" s="134"/>
      <c r="C312" s="134"/>
      <c r="D312" s="135"/>
      <c r="E312" s="136"/>
      <c r="F312" s="137"/>
      <c r="G312" s="137"/>
      <c r="H312" s="137"/>
      <c r="I312" s="138"/>
      <c r="J312" s="139"/>
      <c r="K312" s="139"/>
      <c r="L312" s="140"/>
      <c r="M312" s="137"/>
    </row>
    <row r="313" ht="15.75" customHeight="1">
      <c r="A313" s="133"/>
      <c r="B313" s="134"/>
      <c r="C313" s="134"/>
      <c r="D313" s="135"/>
      <c r="E313" s="136"/>
      <c r="F313" s="137"/>
      <c r="G313" s="137"/>
      <c r="H313" s="137"/>
      <c r="I313" s="138"/>
      <c r="J313" s="139"/>
      <c r="K313" s="139"/>
      <c r="L313" s="140"/>
      <c r="M313" s="137"/>
    </row>
    <row r="314" ht="15.75" customHeight="1">
      <c r="A314" s="133"/>
      <c r="B314" s="134"/>
      <c r="C314" s="134"/>
      <c r="D314" s="135"/>
      <c r="E314" s="136"/>
      <c r="F314" s="137"/>
      <c r="G314" s="137"/>
      <c r="H314" s="137"/>
      <c r="I314" s="138"/>
      <c r="J314" s="139"/>
      <c r="K314" s="139"/>
      <c r="L314" s="140"/>
      <c r="M314" s="137"/>
    </row>
    <row r="315" ht="15.75" customHeight="1">
      <c r="A315" s="133"/>
      <c r="B315" s="134"/>
      <c r="C315" s="134"/>
      <c r="D315" s="135"/>
      <c r="E315" s="136"/>
      <c r="F315" s="137"/>
      <c r="G315" s="137"/>
      <c r="H315" s="137"/>
      <c r="I315" s="138"/>
      <c r="J315" s="139"/>
      <c r="K315" s="139"/>
      <c r="L315" s="140"/>
      <c r="M315" s="137"/>
    </row>
    <row r="316" ht="15.75" customHeight="1">
      <c r="A316" s="133"/>
      <c r="B316" s="134"/>
      <c r="C316" s="134"/>
      <c r="D316" s="135"/>
      <c r="E316" s="136"/>
      <c r="F316" s="137"/>
      <c r="G316" s="137"/>
      <c r="H316" s="137"/>
      <c r="I316" s="138"/>
      <c r="J316" s="139"/>
      <c r="K316" s="139"/>
      <c r="L316" s="140"/>
      <c r="M316" s="137"/>
    </row>
    <row r="317" ht="15.75" customHeight="1">
      <c r="A317" s="133"/>
      <c r="B317" s="134"/>
      <c r="C317" s="134"/>
      <c r="D317" s="135"/>
      <c r="E317" s="136"/>
      <c r="F317" s="137"/>
      <c r="G317" s="137"/>
      <c r="H317" s="137"/>
      <c r="I317" s="138"/>
      <c r="J317" s="139"/>
      <c r="K317" s="139"/>
      <c r="L317" s="140"/>
      <c r="M317" s="137"/>
    </row>
    <row r="318" ht="15.75" customHeight="1">
      <c r="A318" s="133"/>
      <c r="B318" s="134"/>
      <c r="C318" s="134"/>
      <c r="D318" s="135"/>
      <c r="E318" s="136"/>
      <c r="F318" s="137"/>
      <c r="G318" s="137"/>
      <c r="H318" s="137"/>
      <c r="I318" s="138"/>
      <c r="J318" s="139"/>
      <c r="K318" s="139"/>
      <c r="L318" s="140"/>
      <c r="M318" s="137"/>
    </row>
    <row r="319" ht="15.75" customHeight="1">
      <c r="A319" s="133"/>
      <c r="B319" s="134"/>
      <c r="C319" s="134"/>
      <c r="D319" s="135"/>
      <c r="E319" s="136"/>
      <c r="F319" s="137"/>
      <c r="G319" s="137"/>
      <c r="H319" s="137"/>
      <c r="I319" s="138"/>
      <c r="J319" s="139"/>
      <c r="K319" s="139"/>
      <c r="L319" s="140"/>
      <c r="M319" s="137"/>
    </row>
    <row r="320" ht="15.75" customHeight="1">
      <c r="A320" s="133"/>
      <c r="B320" s="134"/>
      <c r="C320" s="134"/>
      <c r="D320" s="135"/>
      <c r="E320" s="136"/>
      <c r="F320" s="137"/>
      <c r="G320" s="137"/>
      <c r="H320" s="137"/>
      <c r="I320" s="138"/>
      <c r="J320" s="139"/>
      <c r="K320" s="139"/>
      <c r="L320" s="140"/>
      <c r="M320" s="137"/>
    </row>
    <row r="321" ht="15.75" customHeight="1">
      <c r="A321" s="133"/>
      <c r="B321" s="134"/>
      <c r="C321" s="134"/>
      <c r="D321" s="135"/>
      <c r="E321" s="136"/>
      <c r="F321" s="137"/>
      <c r="G321" s="137"/>
      <c r="H321" s="137"/>
      <c r="I321" s="138"/>
      <c r="J321" s="139"/>
      <c r="K321" s="139"/>
      <c r="L321" s="140"/>
      <c r="M321" s="137"/>
    </row>
    <row r="322" ht="15.75" customHeight="1">
      <c r="A322" s="133"/>
      <c r="B322" s="134"/>
      <c r="C322" s="134"/>
      <c r="D322" s="135"/>
      <c r="E322" s="136"/>
      <c r="F322" s="137"/>
      <c r="G322" s="137"/>
      <c r="H322" s="137"/>
      <c r="I322" s="138"/>
      <c r="J322" s="139"/>
      <c r="K322" s="139"/>
      <c r="L322" s="140"/>
      <c r="M322" s="137"/>
    </row>
    <row r="323" ht="15.75" customHeight="1">
      <c r="A323" s="133"/>
      <c r="B323" s="134"/>
      <c r="C323" s="134"/>
      <c r="D323" s="135"/>
      <c r="E323" s="136"/>
      <c r="F323" s="137"/>
      <c r="G323" s="137"/>
      <c r="H323" s="137"/>
      <c r="I323" s="138"/>
      <c r="J323" s="139"/>
      <c r="K323" s="139"/>
      <c r="L323" s="140"/>
      <c r="M323" s="137"/>
    </row>
    <row r="324" ht="15.75" customHeight="1">
      <c r="A324" s="133"/>
      <c r="B324" s="134"/>
      <c r="C324" s="134"/>
      <c r="D324" s="135"/>
      <c r="E324" s="136"/>
      <c r="F324" s="137"/>
      <c r="G324" s="137"/>
      <c r="H324" s="137"/>
      <c r="I324" s="138"/>
      <c r="J324" s="139"/>
      <c r="K324" s="139"/>
      <c r="L324" s="140"/>
      <c r="M324" s="137"/>
    </row>
    <row r="325" ht="15.75" customHeight="1">
      <c r="A325" s="133"/>
      <c r="B325" s="134"/>
      <c r="C325" s="134"/>
      <c r="D325" s="135"/>
      <c r="E325" s="136"/>
      <c r="F325" s="137"/>
      <c r="G325" s="137"/>
      <c r="H325" s="137"/>
      <c r="I325" s="138"/>
      <c r="J325" s="139"/>
      <c r="K325" s="139"/>
      <c r="L325" s="140"/>
      <c r="M325" s="137"/>
    </row>
    <row r="326" ht="15.75" customHeight="1">
      <c r="A326" s="133"/>
      <c r="B326" s="134"/>
      <c r="C326" s="134"/>
      <c r="D326" s="135"/>
      <c r="E326" s="136"/>
      <c r="F326" s="137"/>
      <c r="G326" s="137"/>
      <c r="H326" s="137"/>
      <c r="I326" s="138"/>
      <c r="J326" s="139"/>
      <c r="K326" s="139"/>
      <c r="L326" s="140"/>
      <c r="M326" s="137"/>
    </row>
    <row r="327" ht="15.75" customHeight="1">
      <c r="A327" s="133"/>
      <c r="B327" s="134"/>
      <c r="C327" s="134"/>
      <c r="D327" s="135"/>
      <c r="E327" s="136"/>
      <c r="F327" s="137"/>
      <c r="G327" s="137"/>
      <c r="H327" s="137"/>
      <c r="I327" s="138"/>
      <c r="J327" s="139"/>
      <c r="K327" s="139"/>
      <c r="L327" s="140"/>
      <c r="M327" s="137"/>
    </row>
    <row r="328" ht="15.75" customHeight="1">
      <c r="A328" s="133"/>
      <c r="B328" s="134"/>
      <c r="C328" s="134"/>
      <c r="D328" s="135"/>
      <c r="E328" s="136"/>
      <c r="F328" s="137"/>
      <c r="G328" s="137"/>
      <c r="H328" s="137"/>
      <c r="I328" s="138"/>
      <c r="J328" s="139"/>
      <c r="K328" s="139"/>
      <c r="L328" s="140"/>
      <c r="M328" s="137"/>
    </row>
    <row r="329" ht="15.75" customHeight="1">
      <c r="A329" s="133"/>
      <c r="B329" s="134"/>
      <c r="C329" s="134"/>
      <c r="D329" s="135"/>
      <c r="E329" s="136"/>
      <c r="F329" s="137"/>
      <c r="G329" s="137"/>
      <c r="H329" s="137"/>
      <c r="I329" s="138"/>
      <c r="J329" s="139"/>
      <c r="K329" s="139"/>
      <c r="L329" s="140"/>
      <c r="M329" s="137"/>
    </row>
    <row r="330" ht="15.75" customHeight="1">
      <c r="A330" s="133"/>
      <c r="B330" s="134"/>
      <c r="C330" s="134"/>
      <c r="D330" s="135"/>
      <c r="E330" s="136"/>
      <c r="F330" s="137"/>
      <c r="G330" s="137"/>
      <c r="H330" s="137"/>
      <c r="I330" s="138"/>
      <c r="J330" s="139"/>
      <c r="K330" s="139"/>
      <c r="L330" s="140"/>
      <c r="M330" s="137"/>
    </row>
    <row r="331" ht="15.75" customHeight="1">
      <c r="A331" s="133"/>
      <c r="B331" s="134"/>
      <c r="C331" s="134"/>
      <c r="D331" s="135"/>
      <c r="E331" s="136"/>
      <c r="F331" s="137"/>
      <c r="G331" s="137"/>
      <c r="H331" s="137"/>
      <c r="I331" s="138"/>
      <c r="J331" s="139"/>
      <c r="K331" s="139"/>
      <c r="L331" s="140"/>
      <c r="M331" s="137"/>
    </row>
    <row r="332" ht="15.75" customHeight="1">
      <c r="A332" s="133"/>
      <c r="B332" s="134"/>
      <c r="C332" s="134"/>
      <c r="D332" s="135"/>
      <c r="E332" s="136"/>
      <c r="F332" s="137"/>
      <c r="G332" s="137"/>
      <c r="H332" s="137"/>
      <c r="I332" s="138"/>
      <c r="J332" s="139"/>
      <c r="K332" s="139"/>
      <c r="L332" s="140"/>
      <c r="M332" s="137"/>
    </row>
    <row r="333" ht="15.75" customHeight="1">
      <c r="A333" s="133"/>
      <c r="B333" s="134"/>
      <c r="C333" s="134"/>
      <c r="D333" s="135"/>
      <c r="E333" s="136"/>
      <c r="F333" s="137"/>
      <c r="G333" s="137"/>
      <c r="H333" s="137"/>
      <c r="I333" s="138"/>
      <c r="J333" s="139"/>
      <c r="K333" s="139"/>
      <c r="L333" s="140"/>
      <c r="M333" s="137"/>
    </row>
    <row r="334" ht="15.75" customHeight="1">
      <c r="A334" s="133"/>
      <c r="B334" s="134"/>
      <c r="C334" s="134"/>
      <c r="D334" s="135"/>
      <c r="E334" s="136"/>
      <c r="F334" s="137"/>
      <c r="G334" s="137"/>
      <c r="H334" s="137"/>
      <c r="I334" s="138"/>
      <c r="J334" s="139"/>
      <c r="K334" s="139"/>
      <c r="L334" s="140"/>
      <c r="M334" s="137"/>
    </row>
    <row r="335" ht="15.75" customHeight="1">
      <c r="A335" s="133"/>
      <c r="B335" s="134"/>
      <c r="C335" s="134"/>
      <c r="D335" s="135"/>
      <c r="E335" s="136"/>
      <c r="F335" s="137"/>
      <c r="G335" s="137"/>
      <c r="H335" s="137"/>
      <c r="I335" s="138"/>
      <c r="J335" s="139"/>
      <c r="K335" s="139"/>
      <c r="L335" s="140"/>
      <c r="M335" s="137"/>
    </row>
    <row r="336" ht="15.75" customHeight="1">
      <c r="A336" s="133"/>
      <c r="B336" s="134"/>
      <c r="C336" s="134"/>
      <c r="D336" s="135"/>
      <c r="E336" s="136"/>
      <c r="F336" s="137"/>
      <c r="G336" s="137"/>
      <c r="H336" s="137"/>
      <c r="I336" s="138"/>
      <c r="J336" s="139"/>
      <c r="K336" s="139"/>
      <c r="L336" s="140"/>
      <c r="M336" s="137"/>
    </row>
    <row r="337" ht="15.75" customHeight="1">
      <c r="A337" s="133"/>
      <c r="B337" s="134"/>
      <c r="C337" s="134"/>
      <c r="D337" s="135"/>
      <c r="E337" s="136"/>
      <c r="F337" s="137"/>
      <c r="G337" s="137"/>
      <c r="H337" s="137"/>
      <c r="I337" s="138"/>
      <c r="J337" s="139"/>
      <c r="K337" s="139"/>
      <c r="L337" s="140"/>
      <c r="M337" s="137"/>
    </row>
    <row r="338" ht="15.75" customHeight="1">
      <c r="A338" s="133"/>
      <c r="B338" s="134"/>
      <c r="C338" s="134"/>
      <c r="D338" s="135"/>
      <c r="E338" s="136"/>
      <c r="F338" s="137"/>
      <c r="G338" s="137"/>
      <c r="H338" s="137"/>
      <c r="I338" s="138"/>
      <c r="J338" s="139"/>
      <c r="K338" s="139"/>
      <c r="L338" s="140"/>
      <c r="M338" s="137"/>
    </row>
    <row r="339" ht="15.75" customHeight="1">
      <c r="A339" s="133"/>
      <c r="B339" s="134"/>
      <c r="C339" s="134"/>
      <c r="D339" s="135"/>
      <c r="E339" s="136"/>
      <c r="F339" s="137"/>
      <c r="G339" s="137"/>
      <c r="H339" s="137"/>
      <c r="I339" s="138"/>
      <c r="J339" s="139"/>
      <c r="K339" s="139"/>
      <c r="L339" s="140"/>
      <c r="M339" s="137"/>
    </row>
    <row r="340" ht="15.75" customHeight="1">
      <c r="A340" s="133"/>
      <c r="B340" s="134"/>
      <c r="C340" s="134"/>
      <c r="D340" s="135"/>
      <c r="E340" s="136"/>
      <c r="F340" s="137"/>
      <c r="G340" s="137"/>
      <c r="H340" s="137"/>
      <c r="I340" s="138"/>
      <c r="J340" s="139"/>
      <c r="K340" s="139"/>
      <c r="L340" s="140"/>
      <c r="M340" s="137"/>
    </row>
    <row r="341" ht="15.75" customHeight="1">
      <c r="A341" s="133"/>
      <c r="B341" s="134"/>
      <c r="C341" s="134"/>
      <c r="D341" s="135"/>
      <c r="E341" s="136"/>
      <c r="F341" s="137"/>
      <c r="G341" s="137"/>
      <c r="H341" s="137"/>
      <c r="I341" s="138"/>
      <c r="J341" s="139"/>
      <c r="K341" s="139"/>
      <c r="L341" s="140"/>
      <c r="M341" s="137"/>
    </row>
    <row r="342" ht="15.75" customHeight="1">
      <c r="A342" s="133"/>
      <c r="B342" s="134"/>
      <c r="C342" s="134"/>
      <c r="D342" s="135"/>
      <c r="E342" s="136"/>
      <c r="F342" s="137"/>
      <c r="G342" s="137"/>
      <c r="H342" s="137"/>
      <c r="I342" s="138"/>
      <c r="J342" s="139"/>
      <c r="K342" s="139"/>
      <c r="L342" s="140"/>
      <c r="M342" s="137"/>
    </row>
    <row r="343" ht="15.75" customHeight="1">
      <c r="A343" s="133"/>
      <c r="B343" s="134"/>
      <c r="C343" s="134"/>
      <c r="D343" s="135"/>
      <c r="E343" s="136"/>
      <c r="F343" s="137"/>
      <c r="G343" s="137"/>
      <c r="H343" s="137"/>
      <c r="I343" s="138"/>
      <c r="J343" s="139"/>
      <c r="K343" s="139"/>
      <c r="L343" s="140"/>
      <c r="M343" s="137"/>
    </row>
    <row r="344" ht="15.75" customHeight="1">
      <c r="A344" s="133"/>
      <c r="B344" s="134"/>
      <c r="C344" s="134"/>
      <c r="D344" s="135"/>
      <c r="E344" s="136"/>
      <c r="F344" s="137"/>
      <c r="G344" s="137"/>
      <c r="H344" s="137"/>
      <c r="I344" s="138"/>
      <c r="J344" s="139"/>
      <c r="K344" s="139"/>
      <c r="L344" s="140"/>
      <c r="M344" s="137"/>
    </row>
    <row r="345" ht="15.75" customHeight="1">
      <c r="A345" s="133"/>
      <c r="B345" s="134"/>
      <c r="C345" s="134"/>
      <c r="D345" s="135"/>
      <c r="E345" s="136"/>
      <c r="F345" s="137"/>
      <c r="G345" s="137"/>
      <c r="H345" s="137"/>
      <c r="I345" s="138"/>
      <c r="J345" s="139"/>
      <c r="K345" s="139"/>
      <c r="L345" s="140"/>
      <c r="M345" s="137"/>
    </row>
    <row r="346" ht="15.75" customHeight="1">
      <c r="A346" s="133"/>
      <c r="B346" s="134"/>
      <c r="C346" s="134"/>
      <c r="D346" s="135"/>
      <c r="E346" s="136"/>
      <c r="F346" s="137"/>
      <c r="G346" s="137"/>
      <c r="H346" s="137"/>
      <c r="I346" s="138"/>
      <c r="J346" s="139"/>
      <c r="K346" s="139"/>
      <c r="L346" s="140"/>
      <c r="M346" s="137"/>
    </row>
    <row r="347" ht="15.75" customHeight="1">
      <c r="A347" s="133"/>
      <c r="B347" s="134"/>
      <c r="C347" s="134"/>
      <c r="D347" s="135"/>
      <c r="E347" s="136"/>
      <c r="F347" s="137"/>
      <c r="G347" s="137"/>
      <c r="H347" s="137"/>
      <c r="I347" s="138"/>
      <c r="J347" s="139"/>
      <c r="K347" s="139"/>
      <c r="L347" s="140"/>
      <c r="M347" s="137"/>
    </row>
    <row r="348" ht="15.75" customHeight="1">
      <c r="A348" s="133"/>
      <c r="B348" s="134"/>
      <c r="C348" s="134"/>
      <c r="D348" s="135"/>
      <c r="E348" s="136"/>
      <c r="F348" s="137"/>
      <c r="G348" s="137"/>
      <c r="H348" s="137"/>
      <c r="I348" s="138"/>
      <c r="J348" s="139"/>
      <c r="K348" s="139"/>
      <c r="L348" s="140"/>
      <c r="M348" s="137"/>
    </row>
    <row r="349" ht="15.75" customHeight="1">
      <c r="A349" s="133"/>
      <c r="B349" s="134"/>
      <c r="C349" s="134"/>
      <c r="D349" s="135"/>
      <c r="E349" s="136"/>
      <c r="F349" s="137"/>
      <c r="G349" s="137"/>
      <c r="H349" s="137"/>
      <c r="I349" s="138"/>
      <c r="J349" s="139"/>
      <c r="K349" s="139"/>
      <c r="L349" s="140"/>
      <c r="M349" s="137"/>
    </row>
    <row r="350" ht="15.75" customHeight="1">
      <c r="A350" s="133"/>
      <c r="B350" s="134"/>
      <c r="C350" s="134"/>
      <c r="D350" s="135"/>
      <c r="E350" s="136"/>
      <c r="F350" s="137"/>
      <c r="G350" s="137"/>
      <c r="H350" s="137"/>
      <c r="I350" s="138"/>
      <c r="J350" s="139"/>
      <c r="K350" s="139"/>
      <c r="L350" s="140"/>
      <c r="M350" s="137"/>
    </row>
    <row r="351" ht="15.75" customHeight="1">
      <c r="A351" s="133"/>
      <c r="B351" s="134"/>
      <c r="C351" s="134"/>
      <c r="D351" s="135"/>
      <c r="E351" s="136"/>
      <c r="F351" s="137"/>
      <c r="G351" s="137"/>
      <c r="H351" s="137"/>
      <c r="I351" s="138"/>
      <c r="J351" s="139"/>
      <c r="K351" s="139"/>
      <c r="L351" s="140"/>
      <c r="M351" s="137"/>
    </row>
    <row r="352" ht="15.75" customHeight="1">
      <c r="A352" s="133"/>
      <c r="B352" s="134"/>
      <c r="C352" s="134"/>
      <c r="D352" s="135"/>
      <c r="E352" s="136"/>
      <c r="F352" s="137"/>
      <c r="G352" s="137"/>
      <c r="H352" s="137"/>
      <c r="I352" s="138"/>
      <c r="J352" s="139"/>
      <c r="K352" s="139"/>
      <c r="L352" s="140"/>
      <c r="M352" s="137"/>
    </row>
    <row r="353" ht="15.75" customHeight="1">
      <c r="A353" s="133"/>
      <c r="B353" s="134"/>
      <c r="C353" s="134"/>
      <c r="D353" s="135"/>
      <c r="E353" s="136"/>
      <c r="F353" s="137"/>
      <c r="G353" s="137"/>
      <c r="H353" s="137"/>
      <c r="I353" s="138"/>
      <c r="J353" s="139"/>
      <c r="K353" s="139"/>
      <c r="L353" s="140"/>
      <c r="M353" s="137"/>
    </row>
    <row r="354" ht="15.75" customHeight="1">
      <c r="A354" s="133"/>
      <c r="B354" s="134"/>
      <c r="C354" s="134"/>
      <c r="D354" s="135"/>
      <c r="E354" s="136"/>
      <c r="F354" s="137"/>
      <c r="G354" s="137"/>
      <c r="H354" s="137"/>
      <c r="I354" s="138"/>
      <c r="J354" s="139"/>
      <c r="K354" s="139"/>
      <c r="L354" s="140"/>
      <c r="M354" s="137"/>
    </row>
    <row r="355" ht="15.75" customHeight="1">
      <c r="A355" s="133"/>
      <c r="B355" s="134"/>
      <c r="C355" s="134"/>
      <c r="D355" s="135"/>
      <c r="E355" s="136"/>
      <c r="F355" s="137"/>
      <c r="G355" s="137"/>
      <c r="H355" s="137"/>
      <c r="I355" s="138"/>
      <c r="J355" s="139"/>
      <c r="K355" s="139"/>
      <c r="L355" s="140"/>
      <c r="M355" s="137"/>
    </row>
    <row r="356" ht="15.75" customHeight="1">
      <c r="A356" s="133"/>
      <c r="B356" s="134"/>
      <c r="C356" s="134"/>
      <c r="D356" s="135"/>
      <c r="E356" s="136"/>
      <c r="F356" s="137"/>
      <c r="G356" s="137"/>
      <c r="H356" s="137"/>
      <c r="I356" s="138"/>
      <c r="J356" s="139"/>
      <c r="K356" s="139"/>
      <c r="L356" s="140"/>
      <c r="M356" s="137"/>
    </row>
    <row r="357" ht="15.75" customHeight="1">
      <c r="A357" s="133"/>
      <c r="B357" s="134"/>
      <c r="C357" s="134"/>
      <c r="D357" s="135"/>
      <c r="E357" s="136"/>
      <c r="F357" s="137"/>
      <c r="G357" s="137"/>
      <c r="H357" s="137"/>
      <c r="I357" s="138"/>
      <c r="J357" s="139"/>
      <c r="K357" s="139"/>
      <c r="L357" s="140"/>
      <c r="M357" s="137"/>
    </row>
    <row r="358" ht="15.75" customHeight="1">
      <c r="A358" s="133"/>
      <c r="B358" s="134"/>
      <c r="C358" s="134"/>
      <c r="D358" s="135"/>
      <c r="E358" s="136"/>
      <c r="F358" s="137"/>
      <c r="G358" s="137"/>
      <c r="H358" s="137"/>
      <c r="I358" s="138"/>
      <c r="J358" s="139"/>
      <c r="K358" s="139"/>
      <c r="L358" s="140"/>
      <c r="M358" s="137"/>
    </row>
    <row r="359" ht="15.75" customHeight="1">
      <c r="A359" s="133"/>
      <c r="B359" s="134"/>
      <c r="C359" s="134"/>
      <c r="D359" s="135"/>
      <c r="E359" s="136"/>
      <c r="F359" s="137"/>
      <c r="G359" s="137"/>
      <c r="H359" s="137"/>
      <c r="I359" s="138"/>
      <c r="J359" s="139"/>
      <c r="K359" s="139"/>
      <c r="L359" s="140"/>
      <c r="M359" s="137"/>
    </row>
    <row r="360" ht="15.75" customHeight="1">
      <c r="A360" s="133"/>
      <c r="B360" s="134"/>
      <c r="C360" s="134"/>
      <c r="D360" s="135"/>
      <c r="E360" s="136"/>
      <c r="F360" s="137"/>
      <c r="G360" s="137"/>
      <c r="H360" s="137"/>
      <c r="I360" s="138"/>
      <c r="J360" s="139"/>
      <c r="K360" s="139"/>
      <c r="L360" s="140"/>
      <c r="M360" s="137"/>
    </row>
    <row r="361" ht="15.75" customHeight="1">
      <c r="A361" s="133"/>
      <c r="B361" s="134"/>
      <c r="C361" s="134"/>
      <c r="D361" s="135"/>
      <c r="E361" s="136"/>
      <c r="F361" s="137"/>
      <c r="G361" s="137"/>
      <c r="H361" s="137"/>
      <c r="I361" s="138"/>
      <c r="J361" s="139"/>
      <c r="K361" s="139"/>
      <c r="L361" s="140"/>
      <c r="M361" s="137"/>
    </row>
    <row r="362" ht="15.75" customHeight="1">
      <c r="A362" s="133"/>
      <c r="B362" s="134"/>
      <c r="C362" s="134"/>
      <c r="D362" s="135"/>
      <c r="E362" s="136"/>
      <c r="F362" s="137"/>
      <c r="G362" s="137"/>
      <c r="H362" s="137"/>
      <c r="I362" s="138"/>
      <c r="J362" s="139"/>
      <c r="K362" s="139"/>
      <c r="L362" s="140"/>
      <c r="M362" s="137"/>
    </row>
    <row r="363" ht="15.75" customHeight="1">
      <c r="A363" s="133"/>
      <c r="B363" s="134"/>
      <c r="C363" s="134"/>
      <c r="D363" s="135"/>
      <c r="E363" s="136"/>
      <c r="F363" s="137"/>
      <c r="G363" s="137"/>
      <c r="H363" s="137"/>
      <c r="I363" s="138"/>
      <c r="J363" s="139"/>
      <c r="K363" s="139"/>
      <c r="L363" s="140"/>
      <c r="M363" s="137"/>
    </row>
    <row r="364" ht="15.75" customHeight="1">
      <c r="A364" s="133"/>
      <c r="B364" s="134"/>
      <c r="C364" s="134"/>
      <c r="D364" s="135"/>
      <c r="E364" s="136"/>
      <c r="F364" s="137"/>
      <c r="G364" s="137"/>
      <c r="H364" s="137"/>
      <c r="I364" s="138"/>
      <c r="J364" s="139"/>
      <c r="K364" s="139"/>
      <c r="L364" s="140"/>
      <c r="M364" s="137"/>
    </row>
    <row r="365" ht="15.75" customHeight="1">
      <c r="A365" s="133"/>
      <c r="B365" s="134"/>
      <c r="C365" s="134"/>
      <c r="D365" s="135"/>
      <c r="E365" s="136"/>
      <c r="F365" s="137"/>
      <c r="G365" s="137"/>
      <c r="H365" s="137"/>
      <c r="I365" s="138"/>
      <c r="J365" s="139"/>
      <c r="K365" s="139"/>
      <c r="L365" s="140"/>
      <c r="M365" s="137"/>
    </row>
    <row r="366" ht="15.75" customHeight="1">
      <c r="A366" s="133"/>
      <c r="B366" s="134"/>
      <c r="C366" s="134"/>
      <c r="D366" s="135"/>
      <c r="E366" s="136"/>
      <c r="F366" s="137"/>
      <c r="G366" s="137"/>
      <c r="H366" s="137"/>
      <c r="I366" s="138"/>
      <c r="J366" s="139"/>
      <c r="K366" s="139"/>
      <c r="L366" s="140"/>
      <c r="M366" s="137"/>
    </row>
    <row r="367" ht="15.75" customHeight="1">
      <c r="A367" s="133"/>
      <c r="B367" s="134"/>
      <c r="C367" s="134"/>
      <c r="D367" s="135"/>
      <c r="E367" s="136"/>
      <c r="F367" s="137"/>
      <c r="G367" s="137"/>
      <c r="H367" s="137"/>
      <c r="I367" s="138"/>
      <c r="J367" s="139"/>
      <c r="K367" s="139"/>
      <c r="L367" s="140"/>
      <c r="M367" s="137"/>
    </row>
    <row r="368" ht="15.75" customHeight="1">
      <c r="A368" s="133"/>
      <c r="B368" s="134"/>
      <c r="C368" s="134"/>
      <c r="D368" s="135"/>
      <c r="E368" s="136"/>
      <c r="F368" s="137"/>
      <c r="G368" s="137"/>
      <c r="H368" s="137"/>
      <c r="I368" s="138"/>
      <c r="J368" s="139"/>
      <c r="K368" s="139"/>
      <c r="L368" s="140"/>
      <c r="M368" s="137"/>
    </row>
    <row r="369" ht="15.75" customHeight="1">
      <c r="A369" s="133"/>
      <c r="B369" s="134"/>
      <c r="C369" s="134"/>
      <c r="D369" s="135"/>
      <c r="E369" s="136"/>
      <c r="F369" s="137"/>
      <c r="G369" s="137"/>
      <c r="H369" s="137"/>
      <c r="I369" s="138"/>
      <c r="J369" s="139"/>
      <c r="K369" s="139"/>
      <c r="L369" s="140"/>
      <c r="M369" s="137"/>
    </row>
    <row r="370" ht="15.75" customHeight="1">
      <c r="A370" s="133"/>
      <c r="B370" s="134"/>
      <c r="C370" s="134"/>
      <c r="D370" s="135"/>
      <c r="E370" s="136"/>
      <c r="F370" s="137"/>
      <c r="G370" s="137"/>
      <c r="H370" s="137"/>
      <c r="I370" s="138"/>
      <c r="J370" s="139"/>
      <c r="K370" s="139"/>
      <c r="L370" s="140"/>
      <c r="M370" s="137"/>
    </row>
    <row r="371" ht="15.75" customHeight="1">
      <c r="A371" s="133"/>
      <c r="B371" s="134"/>
      <c r="C371" s="134"/>
      <c r="D371" s="135"/>
      <c r="E371" s="136"/>
      <c r="F371" s="137"/>
      <c r="G371" s="137"/>
      <c r="H371" s="137"/>
      <c r="I371" s="138"/>
      <c r="J371" s="139"/>
      <c r="K371" s="139"/>
      <c r="L371" s="140"/>
      <c r="M371" s="137"/>
    </row>
    <row r="372" ht="15.75" customHeight="1">
      <c r="A372" s="133"/>
      <c r="B372" s="134"/>
      <c r="C372" s="134"/>
      <c r="D372" s="135"/>
      <c r="E372" s="136"/>
      <c r="F372" s="137"/>
      <c r="G372" s="137"/>
      <c r="H372" s="137"/>
      <c r="I372" s="138"/>
      <c r="J372" s="139"/>
      <c r="K372" s="139"/>
      <c r="L372" s="140"/>
      <c r="M372" s="137"/>
    </row>
    <row r="373" ht="15.75" customHeight="1">
      <c r="A373" s="133"/>
      <c r="B373" s="134"/>
      <c r="C373" s="134"/>
      <c r="D373" s="135"/>
      <c r="E373" s="136"/>
      <c r="F373" s="137"/>
      <c r="G373" s="137"/>
      <c r="H373" s="137"/>
      <c r="I373" s="138"/>
      <c r="J373" s="139"/>
      <c r="K373" s="139"/>
      <c r="L373" s="140"/>
      <c r="M373" s="137"/>
    </row>
    <row r="374" ht="15.75" customHeight="1">
      <c r="A374" s="133"/>
      <c r="B374" s="134"/>
      <c r="C374" s="134"/>
      <c r="D374" s="135"/>
      <c r="E374" s="136"/>
      <c r="F374" s="137"/>
      <c r="G374" s="137"/>
      <c r="H374" s="137"/>
      <c r="I374" s="138"/>
      <c r="J374" s="139"/>
      <c r="K374" s="139"/>
      <c r="L374" s="140"/>
      <c r="M374" s="137"/>
    </row>
    <row r="375" ht="15.75" customHeight="1">
      <c r="A375" s="133"/>
      <c r="B375" s="134"/>
      <c r="C375" s="134"/>
      <c r="D375" s="135"/>
      <c r="E375" s="136"/>
      <c r="F375" s="137"/>
      <c r="G375" s="137"/>
      <c r="H375" s="137"/>
      <c r="I375" s="138"/>
      <c r="J375" s="139"/>
      <c r="K375" s="139"/>
      <c r="L375" s="140"/>
      <c r="M375" s="137"/>
    </row>
    <row r="376" ht="15.75" customHeight="1">
      <c r="A376" s="133"/>
      <c r="B376" s="134"/>
      <c r="C376" s="134"/>
      <c r="D376" s="135"/>
      <c r="E376" s="136"/>
      <c r="F376" s="137"/>
      <c r="G376" s="137"/>
      <c r="H376" s="137"/>
      <c r="I376" s="138"/>
      <c r="J376" s="139"/>
      <c r="K376" s="139"/>
      <c r="L376" s="140"/>
      <c r="M376" s="137"/>
    </row>
    <row r="377" ht="15.75" customHeight="1">
      <c r="A377" s="133"/>
      <c r="B377" s="134"/>
      <c r="C377" s="134"/>
      <c r="D377" s="135"/>
      <c r="E377" s="136"/>
      <c r="F377" s="137"/>
      <c r="G377" s="137"/>
      <c r="H377" s="137"/>
      <c r="I377" s="138"/>
      <c r="J377" s="139"/>
      <c r="K377" s="139"/>
      <c r="L377" s="140"/>
      <c r="M377" s="137"/>
    </row>
    <row r="378" ht="15.75" customHeight="1">
      <c r="A378" s="133"/>
      <c r="B378" s="134"/>
      <c r="C378" s="134"/>
      <c r="D378" s="135"/>
      <c r="E378" s="136"/>
      <c r="F378" s="137"/>
      <c r="G378" s="137"/>
      <c r="H378" s="137"/>
      <c r="I378" s="138"/>
      <c r="J378" s="139"/>
      <c r="K378" s="139"/>
      <c r="L378" s="140"/>
      <c r="M378" s="137"/>
    </row>
    <row r="379" ht="15.75" customHeight="1">
      <c r="A379" s="133"/>
      <c r="B379" s="134"/>
      <c r="C379" s="134"/>
      <c r="D379" s="135"/>
      <c r="E379" s="136"/>
      <c r="F379" s="137"/>
      <c r="G379" s="137"/>
      <c r="H379" s="137"/>
      <c r="I379" s="138"/>
      <c r="J379" s="139"/>
      <c r="K379" s="139"/>
      <c r="L379" s="140"/>
      <c r="M379" s="137"/>
    </row>
    <row r="380" ht="15.75" customHeight="1">
      <c r="A380" s="133"/>
      <c r="B380" s="134"/>
      <c r="C380" s="134"/>
      <c r="D380" s="135"/>
      <c r="E380" s="136"/>
      <c r="F380" s="137"/>
      <c r="G380" s="137"/>
      <c r="H380" s="137"/>
      <c r="I380" s="138"/>
      <c r="J380" s="139"/>
      <c r="K380" s="139"/>
      <c r="L380" s="140"/>
      <c r="M380" s="137"/>
    </row>
    <row r="381" ht="15.75" customHeight="1">
      <c r="A381" s="133"/>
      <c r="B381" s="134"/>
      <c r="C381" s="134"/>
      <c r="D381" s="135"/>
      <c r="E381" s="136"/>
      <c r="F381" s="137"/>
      <c r="G381" s="137"/>
      <c r="H381" s="137"/>
      <c r="I381" s="138"/>
      <c r="J381" s="139"/>
      <c r="K381" s="139"/>
      <c r="L381" s="140"/>
      <c r="M381" s="137"/>
    </row>
    <row r="382" ht="15.75" customHeight="1">
      <c r="A382" s="133"/>
      <c r="B382" s="134"/>
      <c r="C382" s="134"/>
      <c r="D382" s="135"/>
      <c r="E382" s="136"/>
      <c r="F382" s="137"/>
      <c r="G382" s="137"/>
      <c r="H382" s="137"/>
      <c r="I382" s="138"/>
      <c r="J382" s="139"/>
      <c r="K382" s="139"/>
      <c r="L382" s="140"/>
      <c r="M382" s="137"/>
    </row>
    <row r="383" ht="15.75" customHeight="1">
      <c r="A383" s="133"/>
      <c r="B383" s="134"/>
      <c r="C383" s="134"/>
      <c r="D383" s="135"/>
      <c r="E383" s="136"/>
      <c r="F383" s="137"/>
      <c r="G383" s="137"/>
      <c r="H383" s="137"/>
      <c r="I383" s="138"/>
      <c r="J383" s="139"/>
      <c r="K383" s="139"/>
      <c r="L383" s="140"/>
      <c r="M383" s="137"/>
    </row>
    <row r="384" ht="15.75" customHeight="1">
      <c r="A384" s="133"/>
      <c r="B384" s="134"/>
      <c r="C384" s="134"/>
      <c r="D384" s="135"/>
      <c r="E384" s="136"/>
      <c r="F384" s="137"/>
      <c r="G384" s="137"/>
      <c r="H384" s="137"/>
      <c r="I384" s="138"/>
      <c r="J384" s="139"/>
      <c r="K384" s="139"/>
      <c r="L384" s="140"/>
      <c r="M384" s="137"/>
    </row>
    <row r="385" ht="15.75" customHeight="1">
      <c r="A385" s="133"/>
      <c r="B385" s="134"/>
      <c r="C385" s="134"/>
      <c r="D385" s="135"/>
      <c r="E385" s="136"/>
      <c r="F385" s="137"/>
      <c r="G385" s="137"/>
      <c r="H385" s="137"/>
      <c r="I385" s="138"/>
      <c r="J385" s="139"/>
      <c r="K385" s="139"/>
      <c r="L385" s="140"/>
      <c r="M385" s="137"/>
    </row>
    <row r="386" ht="15.75" customHeight="1">
      <c r="A386" s="133"/>
      <c r="B386" s="134"/>
      <c r="C386" s="134"/>
      <c r="D386" s="135"/>
      <c r="E386" s="136"/>
      <c r="F386" s="137"/>
      <c r="G386" s="137"/>
      <c r="H386" s="137"/>
      <c r="I386" s="138"/>
      <c r="J386" s="139"/>
      <c r="K386" s="139"/>
      <c r="L386" s="140"/>
      <c r="M386" s="137"/>
    </row>
    <row r="387" ht="15.75" customHeight="1">
      <c r="A387" s="133"/>
      <c r="B387" s="134"/>
      <c r="C387" s="134"/>
      <c r="D387" s="135"/>
      <c r="E387" s="136"/>
      <c r="F387" s="137"/>
      <c r="G387" s="137"/>
      <c r="H387" s="137"/>
      <c r="I387" s="138"/>
      <c r="J387" s="139"/>
      <c r="K387" s="139"/>
      <c r="L387" s="140"/>
      <c r="M387" s="137"/>
    </row>
    <row r="388" ht="15.75" customHeight="1">
      <c r="A388" s="133"/>
      <c r="B388" s="134"/>
      <c r="C388" s="134"/>
      <c r="D388" s="135"/>
      <c r="E388" s="136"/>
      <c r="F388" s="137"/>
      <c r="G388" s="137"/>
      <c r="H388" s="137"/>
      <c r="I388" s="138"/>
      <c r="J388" s="139"/>
      <c r="K388" s="139"/>
      <c r="L388" s="140"/>
      <c r="M388" s="137"/>
    </row>
    <row r="389" ht="15.75" customHeight="1">
      <c r="A389" s="133"/>
      <c r="B389" s="134"/>
      <c r="C389" s="134"/>
      <c r="D389" s="135"/>
      <c r="E389" s="136"/>
      <c r="F389" s="137"/>
      <c r="G389" s="137"/>
      <c r="H389" s="137"/>
      <c r="I389" s="138"/>
      <c r="J389" s="139"/>
      <c r="K389" s="139"/>
      <c r="L389" s="140"/>
      <c r="M389" s="137"/>
    </row>
    <row r="390" ht="15.75" customHeight="1">
      <c r="A390" s="133"/>
      <c r="B390" s="134"/>
      <c r="C390" s="134"/>
      <c r="D390" s="135"/>
      <c r="E390" s="136"/>
      <c r="F390" s="137"/>
      <c r="G390" s="137"/>
      <c r="H390" s="137"/>
      <c r="I390" s="138"/>
      <c r="J390" s="139"/>
      <c r="K390" s="139"/>
      <c r="L390" s="140"/>
      <c r="M390" s="137"/>
    </row>
    <row r="391" ht="15.75" customHeight="1">
      <c r="A391" s="133"/>
      <c r="B391" s="134"/>
      <c r="C391" s="134"/>
      <c r="D391" s="135"/>
      <c r="E391" s="136"/>
      <c r="F391" s="137"/>
      <c r="G391" s="137"/>
      <c r="H391" s="137"/>
      <c r="I391" s="138"/>
      <c r="J391" s="139"/>
      <c r="K391" s="139"/>
      <c r="L391" s="140"/>
      <c r="M391" s="137"/>
    </row>
    <row r="392" ht="15.75" customHeight="1">
      <c r="A392" s="133"/>
      <c r="B392" s="134"/>
      <c r="C392" s="134"/>
      <c r="D392" s="135"/>
      <c r="E392" s="136"/>
      <c r="F392" s="137"/>
      <c r="G392" s="137"/>
      <c r="H392" s="137"/>
      <c r="I392" s="138"/>
      <c r="J392" s="139"/>
      <c r="K392" s="139"/>
      <c r="L392" s="140"/>
      <c r="M392" s="137"/>
    </row>
    <row r="393" ht="15.75" customHeight="1">
      <c r="A393" s="133"/>
      <c r="B393" s="134"/>
      <c r="C393" s="134"/>
      <c r="D393" s="135"/>
      <c r="E393" s="136"/>
      <c r="F393" s="137"/>
      <c r="G393" s="137"/>
      <c r="H393" s="137"/>
      <c r="I393" s="138"/>
      <c r="J393" s="139"/>
      <c r="K393" s="139"/>
      <c r="L393" s="140"/>
      <c r="M393" s="137"/>
    </row>
    <row r="394" ht="15.75" customHeight="1">
      <c r="A394" s="133"/>
      <c r="B394" s="134"/>
      <c r="C394" s="134"/>
      <c r="D394" s="135"/>
      <c r="E394" s="136"/>
      <c r="F394" s="137"/>
      <c r="G394" s="137"/>
      <c r="H394" s="137"/>
      <c r="I394" s="138"/>
      <c r="J394" s="139"/>
      <c r="K394" s="139"/>
      <c r="L394" s="140"/>
      <c r="M394" s="137"/>
    </row>
    <row r="395" ht="15.75" customHeight="1">
      <c r="A395" s="133"/>
      <c r="B395" s="134"/>
      <c r="C395" s="134"/>
      <c r="D395" s="135"/>
      <c r="E395" s="136"/>
      <c r="F395" s="137"/>
      <c r="G395" s="137"/>
      <c r="H395" s="137"/>
      <c r="I395" s="138"/>
      <c r="J395" s="139"/>
      <c r="K395" s="139"/>
      <c r="L395" s="140"/>
      <c r="M395" s="137"/>
    </row>
    <row r="396" ht="15.75" customHeight="1">
      <c r="A396" s="133"/>
      <c r="B396" s="134"/>
      <c r="C396" s="134"/>
      <c r="D396" s="135"/>
      <c r="E396" s="136"/>
      <c r="F396" s="137"/>
      <c r="G396" s="137"/>
      <c r="H396" s="137"/>
      <c r="I396" s="138"/>
      <c r="J396" s="139"/>
      <c r="K396" s="139"/>
      <c r="L396" s="140"/>
      <c r="M396" s="137"/>
    </row>
    <row r="397" ht="15.75" customHeight="1">
      <c r="A397" s="133"/>
      <c r="B397" s="134"/>
      <c r="C397" s="134"/>
      <c r="D397" s="135"/>
      <c r="E397" s="136"/>
      <c r="F397" s="137"/>
      <c r="G397" s="137"/>
      <c r="H397" s="137"/>
      <c r="I397" s="138"/>
      <c r="J397" s="139"/>
      <c r="K397" s="139"/>
      <c r="L397" s="140"/>
      <c r="M397" s="137"/>
    </row>
    <row r="398" ht="15.75" customHeight="1">
      <c r="A398" s="133"/>
      <c r="B398" s="134"/>
      <c r="C398" s="134"/>
      <c r="D398" s="135"/>
      <c r="E398" s="136"/>
      <c r="F398" s="137"/>
      <c r="G398" s="137"/>
      <c r="H398" s="137"/>
      <c r="I398" s="138"/>
      <c r="J398" s="139"/>
      <c r="K398" s="139"/>
      <c r="L398" s="140"/>
      <c r="M398" s="137"/>
    </row>
    <row r="399" ht="15.75" customHeight="1">
      <c r="A399" s="133"/>
      <c r="B399" s="134"/>
      <c r="C399" s="134"/>
      <c r="D399" s="135"/>
      <c r="E399" s="136"/>
      <c r="F399" s="137"/>
      <c r="G399" s="137"/>
      <c r="H399" s="137"/>
      <c r="I399" s="138"/>
      <c r="J399" s="139"/>
      <c r="K399" s="139"/>
      <c r="L399" s="140"/>
      <c r="M399" s="137"/>
    </row>
    <row r="400" ht="15.75" customHeight="1">
      <c r="A400" s="133"/>
      <c r="B400" s="134"/>
      <c r="C400" s="134"/>
      <c r="D400" s="135"/>
      <c r="E400" s="136"/>
      <c r="F400" s="137"/>
      <c r="G400" s="137"/>
      <c r="H400" s="137"/>
      <c r="I400" s="138"/>
      <c r="J400" s="139"/>
      <c r="K400" s="139"/>
      <c r="L400" s="140"/>
      <c r="M400" s="137"/>
    </row>
    <row r="401" ht="15.75" customHeight="1">
      <c r="A401" s="133"/>
      <c r="B401" s="134"/>
      <c r="C401" s="134"/>
      <c r="D401" s="135"/>
      <c r="E401" s="136"/>
      <c r="F401" s="137"/>
      <c r="G401" s="137"/>
      <c r="H401" s="137"/>
      <c r="I401" s="138"/>
      <c r="J401" s="139"/>
      <c r="K401" s="139"/>
      <c r="L401" s="140"/>
      <c r="M401" s="137"/>
    </row>
    <row r="402" ht="15.75" customHeight="1">
      <c r="A402" s="133"/>
      <c r="B402" s="134"/>
      <c r="C402" s="134"/>
      <c r="D402" s="135"/>
      <c r="E402" s="136"/>
      <c r="F402" s="137"/>
      <c r="G402" s="137"/>
      <c r="H402" s="137"/>
      <c r="I402" s="138"/>
      <c r="J402" s="139"/>
      <c r="K402" s="139"/>
      <c r="L402" s="140"/>
      <c r="M402" s="137"/>
    </row>
    <row r="403" ht="15.75" customHeight="1">
      <c r="A403" s="133"/>
      <c r="B403" s="134"/>
      <c r="C403" s="134"/>
      <c r="D403" s="135"/>
      <c r="E403" s="136"/>
      <c r="F403" s="137"/>
      <c r="G403" s="137"/>
      <c r="H403" s="137"/>
      <c r="I403" s="138"/>
      <c r="J403" s="139"/>
      <c r="K403" s="139"/>
      <c r="L403" s="140"/>
      <c r="M403" s="137"/>
    </row>
    <row r="404" ht="15.75" customHeight="1">
      <c r="A404" s="133"/>
      <c r="B404" s="134"/>
      <c r="C404" s="134"/>
      <c r="D404" s="135"/>
      <c r="E404" s="136"/>
      <c r="F404" s="137"/>
      <c r="G404" s="137"/>
      <c r="H404" s="137"/>
      <c r="I404" s="138"/>
      <c r="J404" s="139"/>
      <c r="K404" s="139"/>
      <c r="L404" s="140"/>
      <c r="M404" s="137"/>
    </row>
    <row r="405" ht="15.75" customHeight="1">
      <c r="A405" s="133"/>
      <c r="B405" s="134"/>
      <c r="C405" s="134"/>
      <c r="D405" s="135"/>
      <c r="E405" s="136"/>
      <c r="F405" s="137"/>
      <c r="G405" s="137"/>
      <c r="H405" s="137"/>
      <c r="I405" s="138"/>
      <c r="J405" s="139"/>
      <c r="K405" s="139"/>
      <c r="L405" s="140"/>
      <c r="M405" s="137"/>
    </row>
    <row r="406" ht="15.75" customHeight="1">
      <c r="A406" s="133"/>
      <c r="B406" s="134"/>
      <c r="C406" s="134"/>
      <c r="D406" s="135"/>
      <c r="E406" s="136"/>
      <c r="F406" s="137"/>
      <c r="G406" s="137"/>
      <c r="H406" s="137"/>
      <c r="I406" s="138"/>
      <c r="J406" s="139"/>
      <c r="K406" s="139"/>
      <c r="L406" s="140"/>
      <c r="M406" s="137"/>
    </row>
    <row r="407" ht="15.75" customHeight="1">
      <c r="A407" s="133"/>
      <c r="B407" s="134"/>
      <c r="C407" s="134"/>
      <c r="D407" s="135"/>
      <c r="E407" s="136"/>
      <c r="F407" s="137"/>
      <c r="G407" s="137"/>
      <c r="H407" s="137"/>
      <c r="I407" s="138"/>
      <c r="J407" s="139"/>
      <c r="K407" s="139"/>
      <c r="L407" s="140"/>
      <c r="M407" s="137"/>
    </row>
    <row r="408" ht="15.75" customHeight="1">
      <c r="A408" s="133"/>
      <c r="B408" s="134"/>
      <c r="C408" s="134"/>
      <c r="D408" s="135"/>
      <c r="E408" s="136"/>
      <c r="F408" s="137"/>
      <c r="G408" s="137"/>
      <c r="H408" s="137"/>
      <c r="I408" s="138"/>
      <c r="J408" s="139"/>
      <c r="K408" s="139"/>
      <c r="L408" s="140"/>
      <c r="M408" s="137"/>
    </row>
    <row r="409" ht="15.75" customHeight="1">
      <c r="A409" s="133"/>
      <c r="B409" s="134"/>
      <c r="C409" s="134"/>
      <c r="D409" s="135"/>
      <c r="E409" s="136"/>
      <c r="F409" s="137"/>
      <c r="G409" s="137"/>
      <c r="H409" s="137"/>
      <c r="I409" s="138"/>
      <c r="J409" s="139"/>
      <c r="K409" s="139"/>
      <c r="L409" s="140"/>
      <c r="M409" s="137"/>
    </row>
    <row r="410" ht="15.75" customHeight="1">
      <c r="A410" s="133"/>
      <c r="B410" s="134"/>
      <c r="C410" s="134"/>
      <c r="D410" s="135"/>
      <c r="E410" s="136"/>
      <c r="F410" s="137"/>
      <c r="G410" s="137"/>
      <c r="H410" s="137"/>
      <c r="I410" s="138"/>
      <c r="J410" s="139"/>
      <c r="K410" s="139"/>
      <c r="L410" s="140"/>
      <c r="M410" s="137"/>
    </row>
    <row r="411" ht="15.75" customHeight="1">
      <c r="A411" s="133"/>
      <c r="B411" s="134"/>
      <c r="C411" s="134"/>
      <c r="D411" s="135"/>
      <c r="E411" s="136"/>
      <c r="F411" s="137"/>
      <c r="G411" s="137"/>
      <c r="H411" s="137"/>
      <c r="I411" s="138"/>
      <c r="J411" s="139"/>
      <c r="K411" s="139"/>
      <c r="L411" s="140"/>
      <c r="M411" s="137"/>
    </row>
    <row r="412" ht="15.75" customHeight="1">
      <c r="A412" s="133"/>
      <c r="B412" s="134"/>
      <c r="C412" s="134"/>
      <c r="D412" s="135"/>
      <c r="E412" s="136"/>
      <c r="F412" s="137"/>
      <c r="G412" s="137"/>
      <c r="H412" s="137"/>
      <c r="I412" s="138"/>
      <c r="J412" s="139"/>
      <c r="K412" s="139"/>
      <c r="L412" s="140"/>
      <c r="M412" s="137"/>
    </row>
    <row r="413" ht="15.75" customHeight="1">
      <c r="A413" s="133"/>
      <c r="B413" s="134"/>
      <c r="C413" s="134"/>
      <c r="D413" s="135"/>
      <c r="E413" s="136"/>
      <c r="F413" s="137"/>
      <c r="G413" s="137"/>
      <c r="H413" s="137"/>
      <c r="I413" s="138"/>
      <c r="J413" s="139"/>
      <c r="K413" s="139"/>
      <c r="L413" s="140"/>
      <c r="M413" s="137"/>
    </row>
    <row r="414" ht="15.75" customHeight="1">
      <c r="A414" s="133"/>
      <c r="B414" s="134"/>
      <c r="C414" s="134"/>
      <c r="D414" s="135"/>
      <c r="E414" s="136"/>
      <c r="F414" s="137"/>
      <c r="G414" s="137"/>
      <c r="H414" s="137"/>
      <c r="I414" s="138"/>
      <c r="J414" s="139"/>
      <c r="K414" s="139"/>
      <c r="L414" s="140"/>
      <c r="M414" s="137"/>
    </row>
    <row r="415" ht="15.75" customHeight="1">
      <c r="A415" s="133"/>
      <c r="B415" s="134"/>
      <c r="C415" s="134"/>
      <c r="D415" s="135"/>
      <c r="E415" s="136"/>
      <c r="F415" s="137"/>
      <c r="G415" s="137"/>
      <c r="H415" s="137"/>
      <c r="I415" s="138"/>
      <c r="J415" s="139"/>
      <c r="K415" s="139"/>
      <c r="L415" s="140"/>
      <c r="M415" s="137"/>
    </row>
    <row r="416" ht="15.75" customHeight="1">
      <c r="A416" s="133"/>
      <c r="B416" s="134"/>
      <c r="C416" s="134"/>
      <c r="D416" s="135"/>
      <c r="E416" s="136"/>
      <c r="F416" s="137"/>
      <c r="G416" s="137"/>
      <c r="H416" s="137"/>
      <c r="I416" s="138"/>
      <c r="J416" s="139"/>
      <c r="K416" s="139"/>
      <c r="L416" s="140"/>
      <c r="M416" s="137"/>
    </row>
    <row r="417" ht="15.75" customHeight="1">
      <c r="A417" s="133"/>
      <c r="B417" s="134"/>
      <c r="C417" s="134"/>
      <c r="D417" s="135"/>
      <c r="E417" s="136"/>
      <c r="F417" s="137"/>
      <c r="G417" s="137"/>
      <c r="H417" s="137"/>
      <c r="I417" s="138"/>
      <c r="J417" s="139"/>
      <c r="K417" s="139"/>
      <c r="L417" s="140"/>
      <c r="M417" s="137"/>
    </row>
    <row r="418" ht="15.75" customHeight="1">
      <c r="A418" s="133"/>
      <c r="B418" s="134"/>
      <c r="C418" s="134"/>
      <c r="D418" s="135"/>
      <c r="E418" s="136"/>
      <c r="F418" s="137"/>
      <c r="G418" s="137"/>
      <c r="H418" s="137"/>
      <c r="I418" s="138"/>
      <c r="J418" s="139"/>
      <c r="K418" s="139"/>
      <c r="L418" s="140"/>
      <c r="M418" s="137"/>
    </row>
    <row r="419" ht="15.75" customHeight="1">
      <c r="A419" s="133"/>
      <c r="B419" s="134"/>
      <c r="C419" s="134"/>
      <c r="D419" s="135"/>
      <c r="E419" s="136"/>
      <c r="F419" s="137"/>
      <c r="G419" s="137"/>
      <c r="H419" s="137"/>
      <c r="I419" s="138"/>
      <c r="J419" s="139"/>
      <c r="K419" s="139"/>
      <c r="L419" s="140"/>
      <c r="M419" s="137"/>
    </row>
    <row r="420" ht="15.75" customHeight="1">
      <c r="A420" s="133"/>
      <c r="B420" s="134"/>
      <c r="C420" s="134"/>
      <c r="D420" s="135"/>
      <c r="E420" s="136"/>
      <c r="F420" s="137"/>
      <c r="G420" s="137"/>
      <c r="H420" s="137"/>
      <c r="I420" s="138"/>
      <c r="J420" s="139"/>
      <c r="K420" s="139"/>
      <c r="L420" s="140"/>
      <c r="M420" s="137"/>
    </row>
    <row r="421" ht="15.75" customHeight="1">
      <c r="A421" s="133"/>
      <c r="B421" s="134"/>
      <c r="C421" s="134"/>
      <c r="D421" s="135"/>
      <c r="E421" s="136"/>
      <c r="F421" s="137"/>
      <c r="G421" s="137"/>
      <c r="H421" s="137"/>
      <c r="I421" s="138"/>
      <c r="J421" s="139"/>
      <c r="K421" s="139"/>
      <c r="L421" s="140"/>
      <c r="M421" s="137"/>
    </row>
    <row r="422" ht="15.75" customHeight="1">
      <c r="A422" s="133"/>
      <c r="B422" s="134"/>
      <c r="C422" s="134"/>
      <c r="D422" s="135"/>
      <c r="E422" s="136"/>
      <c r="F422" s="137"/>
      <c r="G422" s="137"/>
      <c r="H422" s="137"/>
      <c r="I422" s="138"/>
      <c r="J422" s="139"/>
      <c r="K422" s="139"/>
      <c r="L422" s="140"/>
      <c r="M422" s="137"/>
    </row>
    <row r="423" ht="15.75" customHeight="1">
      <c r="A423" s="133"/>
      <c r="B423" s="134"/>
      <c r="C423" s="134"/>
      <c r="D423" s="135"/>
      <c r="E423" s="136"/>
      <c r="F423" s="137"/>
      <c r="G423" s="137"/>
      <c r="H423" s="137"/>
      <c r="I423" s="138"/>
      <c r="J423" s="139"/>
      <c r="K423" s="139"/>
      <c r="L423" s="140"/>
      <c r="M423" s="137"/>
    </row>
    <row r="424" ht="15.75" customHeight="1">
      <c r="A424" s="133"/>
      <c r="B424" s="134"/>
      <c r="C424" s="134"/>
      <c r="D424" s="135"/>
      <c r="E424" s="136"/>
      <c r="F424" s="137"/>
      <c r="G424" s="137"/>
      <c r="H424" s="137"/>
      <c r="I424" s="138"/>
      <c r="J424" s="139"/>
      <c r="K424" s="139"/>
      <c r="L424" s="140"/>
      <c r="M424" s="137"/>
    </row>
    <row r="425" ht="15.75" customHeight="1">
      <c r="A425" s="133"/>
      <c r="B425" s="134"/>
      <c r="C425" s="134"/>
      <c r="D425" s="135"/>
      <c r="E425" s="136"/>
      <c r="F425" s="137"/>
      <c r="G425" s="137"/>
      <c r="H425" s="137"/>
      <c r="I425" s="138"/>
      <c r="J425" s="139"/>
      <c r="K425" s="139"/>
      <c r="L425" s="140"/>
      <c r="M425" s="137"/>
    </row>
    <row r="426" ht="15.75" customHeight="1">
      <c r="A426" s="133"/>
      <c r="B426" s="134"/>
      <c r="C426" s="134"/>
      <c r="D426" s="135"/>
      <c r="E426" s="136"/>
      <c r="F426" s="137"/>
      <c r="G426" s="137"/>
      <c r="H426" s="137"/>
      <c r="I426" s="138"/>
      <c r="J426" s="139"/>
      <c r="K426" s="139"/>
      <c r="L426" s="140"/>
      <c r="M426" s="137"/>
    </row>
    <row r="427" ht="15.75" customHeight="1">
      <c r="A427" s="133"/>
      <c r="B427" s="134"/>
      <c r="C427" s="134"/>
      <c r="D427" s="135"/>
      <c r="E427" s="136"/>
      <c r="F427" s="137"/>
      <c r="G427" s="137"/>
      <c r="H427" s="137"/>
      <c r="I427" s="138"/>
      <c r="J427" s="139"/>
      <c r="K427" s="139"/>
      <c r="L427" s="140"/>
      <c r="M427" s="137"/>
    </row>
    <row r="428" ht="15.75" customHeight="1">
      <c r="A428" s="133"/>
      <c r="B428" s="134"/>
      <c r="C428" s="134"/>
      <c r="D428" s="135"/>
      <c r="E428" s="136"/>
      <c r="F428" s="137"/>
      <c r="G428" s="137"/>
      <c r="H428" s="137"/>
      <c r="I428" s="138"/>
      <c r="J428" s="139"/>
      <c r="K428" s="139"/>
      <c r="L428" s="140"/>
      <c r="M428" s="137"/>
    </row>
    <row r="429" ht="15.75" customHeight="1">
      <c r="A429" s="133"/>
      <c r="B429" s="134"/>
      <c r="C429" s="134"/>
      <c r="D429" s="135"/>
      <c r="E429" s="136"/>
      <c r="F429" s="137"/>
      <c r="G429" s="137"/>
      <c r="H429" s="137"/>
      <c r="I429" s="138"/>
      <c r="J429" s="139"/>
      <c r="K429" s="139"/>
      <c r="L429" s="140"/>
      <c r="M429" s="137"/>
    </row>
    <row r="430" ht="15.75" customHeight="1">
      <c r="A430" s="133"/>
      <c r="B430" s="134"/>
      <c r="C430" s="134"/>
      <c r="D430" s="135"/>
      <c r="E430" s="136"/>
      <c r="F430" s="137"/>
      <c r="G430" s="137"/>
      <c r="H430" s="137"/>
      <c r="I430" s="138"/>
      <c r="J430" s="139"/>
      <c r="K430" s="139"/>
      <c r="L430" s="140"/>
      <c r="M430" s="137"/>
    </row>
    <row r="431" ht="15.75" customHeight="1">
      <c r="A431" s="133"/>
      <c r="B431" s="134"/>
      <c r="C431" s="134"/>
      <c r="D431" s="135"/>
      <c r="E431" s="136"/>
      <c r="F431" s="137"/>
      <c r="G431" s="137"/>
      <c r="H431" s="137"/>
      <c r="I431" s="138"/>
      <c r="J431" s="139"/>
      <c r="K431" s="139"/>
      <c r="L431" s="140"/>
      <c r="M431" s="137"/>
    </row>
    <row r="432" ht="15.75" customHeight="1">
      <c r="A432" s="133"/>
      <c r="B432" s="134"/>
      <c r="C432" s="134"/>
      <c r="D432" s="135"/>
      <c r="E432" s="136"/>
      <c r="F432" s="137"/>
      <c r="G432" s="137"/>
      <c r="H432" s="137"/>
      <c r="I432" s="138"/>
      <c r="J432" s="139"/>
      <c r="K432" s="139"/>
      <c r="L432" s="140"/>
      <c r="M432" s="137"/>
    </row>
    <row r="433" ht="15.75" customHeight="1">
      <c r="A433" s="133"/>
      <c r="B433" s="134"/>
      <c r="C433" s="134"/>
      <c r="D433" s="135"/>
      <c r="E433" s="136"/>
      <c r="F433" s="137"/>
      <c r="G433" s="137"/>
      <c r="H433" s="137"/>
      <c r="I433" s="138"/>
      <c r="J433" s="139"/>
      <c r="K433" s="139"/>
      <c r="L433" s="140"/>
      <c r="M433" s="137"/>
    </row>
    <row r="434" ht="15.75" customHeight="1">
      <c r="A434" s="133"/>
      <c r="B434" s="134"/>
      <c r="C434" s="134"/>
      <c r="D434" s="135"/>
      <c r="E434" s="136"/>
      <c r="F434" s="137"/>
      <c r="G434" s="137"/>
      <c r="H434" s="137"/>
      <c r="I434" s="138"/>
      <c r="J434" s="139"/>
      <c r="K434" s="139"/>
      <c r="L434" s="140"/>
      <c r="M434" s="137"/>
    </row>
    <row r="435" ht="15.75" customHeight="1">
      <c r="A435" s="133"/>
      <c r="B435" s="134"/>
      <c r="C435" s="134"/>
      <c r="D435" s="135"/>
      <c r="E435" s="136"/>
      <c r="F435" s="137"/>
      <c r="G435" s="137"/>
      <c r="H435" s="137"/>
      <c r="I435" s="138"/>
      <c r="J435" s="139"/>
      <c r="K435" s="139"/>
      <c r="L435" s="140"/>
      <c r="M435" s="137"/>
    </row>
    <row r="436" ht="15.75" customHeight="1">
      <c r="A436" s="133"/>
      <c r="B436" s="134"/>
      <c r="C436" s="134"/>
      <c r="D436" s="135"/>
      <c r="E436" s="136"/>
      <c r="F436" s="137"/>
      <c r="G436" s="137"/>
      <c r="H436" s="137"/>
      <c r="I436" s="138"/>
      <c r="J436" s="139"/>
      <c r="K436" s="139"/>
      <c r="L436" s="140"/>
      <c r="M436" s="137"/>
    </row>
    <row r="437" ht="15.75" customHeight="1">
      <c r="A437" s="133"/>
      <c r="B437" s="134"/>
      <c r="C437" s="134"/>
      <c r="D437" s="135"/>
      <c r="E437" s="136"/>
      <c r="F437" s="137"/>
      <c r="G437" s="137"/>
      <c r="H437" s="137"/>
      <c r="I437" s="138"/>
      <c r="J437" s="139"/>
      <c r="K437" s="139"/>
      <c r="L437" s="140"/>
      <c r="M437" s="137"/>
    </row>
    <row r="438" ht="15.75" customHeight="1">
      <c r="A438" s="133"/>
      <c r="B438" s="134"/>
      <c r="C438" s="134"/>
      <c r="D438" s="135"/>
      <c r="E438" s="136"/>
      <c r="F438" s="137"/>
      <c r="G438" s="137"/>
      <c r="H438" s="137"/>
      <c r="I438" s="138"/>
      <c r="J438" s="139"/>
      <c r="K438" s="139"/>
      <c r="L438" s="140"/>
      <c r="M438" s="137"/>
    </row>
    <row r="439" ht="15.75" customHeight="1">
      <c r="A439" s="133"/>
      <c r="B439" s="134"/>
      <c r="C439" s="134"/>
      <c r="D439" s="135"/>
      <c r="E439" s="136"/>
      <c r="F439" s="137"/>
      <c r="G439" s="137"/>
      <c r="H439" s="137"/>
      <c r="I439" s="138"/>
      <c r="J439" s="139"/>
      <c r="K439" s="139"/>
      <c r="L439" s="140"/>
      <c r="M439" s="137"/>
    </row>
    <row r="440" ht="15.75" customHeight="1">
      <c r="A440" s="133"/>
      <c r="B440" s="134"/>
      <c r="C440" s="134"/>
      <c r="D440" s="135"/>
      <c r="E440" s="136"/>
      <c r="F440" s="137"/>
      <c r="G440" s="137"/>
      <c r="H440" s="137"/>
      <c r="I440" s="138"/>
      <c r="J440" s="139"/>
      <c r="K440" s="139"/>
      <c r="L440" s="140"/>
      <c r="M440" s="137"/>
    </row>
    <row r="441" ht="15.75" customHeight="1">
      <c r="A441" s="133"/>
      <c r="B441" s="134"/>
      <c r="C441" s="134"/>
      <c r="D441" s="135"/>
      <c r="E441" s="136"/>
      <c r="F441" s="137"/>
      <c r="G441" s="137"/>
      <c r="H441" s="137"/>
      <c r="I441" s="138"/>
      <c r="J441" s="139"/>
      <c r="K441" s="139"/>
      <c r="L441" s="140"/>
      <c r="M441" s="137"/>
    </row>
    <row r="442" ht="15.75" customHeight="1">
      <c r="A442" s="133"/>
      <c r="B442" s="134"/>
      <c r="C442" s="134"/>
      <c r="D442" s="135"/>
      <c r="E442" s="136"/>
      <c r="F442" s="137"/>
      <c r="G442" s="137"/>
      <c r="H442" s="137"/>
      <c r="I442" s="138"/>
      <c r="J442" s="139"/>
      <c r="K442" s="139"/>
      <c r="L442" s="140"/>
      <c r="M442" s="137"/>
    </row>
    <row r="443" ht="15.75" customHeight="1">
      <c r="A443" s="133"/>
      <c r="B443" s="134"/>
      <c r="C443" s="134"/>
      <c r="D443" s="135"/>
      <c r="E443" s="136"/>
      <c r="F443" s="137"/>
      <c r="G443" s="137"/>
      <c r="H443" s="137"/>
      <c r="I443" s="138"/>
      <c r="J443" s="139"/>
      <c r="K443" s="139"/>
      <c r="L443" s="140"/>
      <c r="M443" s="137"/>
    </row>
    <row r="444" ht="15.75" customHeight="1">
      <c r="A444" s="133"/>
      <c r="B444" s="134"/>
      <c r="C444" s="134"/>
      <c r="D444" s="135"/>
      <c r="E444" s="136"/>
      <c r="F444" s="137"/>
      <c r="G444" s="137"/>
      <c r="H444" s="137"/>
      <c r="I444" s="138"/>
      <c r="J444" s="139"/>
      <c r="K444" s="139"/>
      <c r="L444" s="140"/>
      <c r="M444" s="137"/>
    </row>
    <row r="445" ht="15.75" customHeight="1">
      <c r="A445" s="133"/>
      <c r="B445" s="134"/>
      <c r="C445" s="134"/>
      <c r="D445" s="135"/>
      <c r="E445" s="136"/>
      <c r="F445" s="137"/>
      <c r="G445" s="137"/>
      <c r="H445" s="137"/>
      <c r="I445" s="138"/>
      <c r="J445" s="139"/>
      <c r="K445" s="139"/>
      <c r="L445" s="140"/>
      <c r="M445" s="137"/>
    </row>
    <row r="446" ht="15.75" customHeight="1">
      <c r="A446" s="133"/>
      <c r="B446" s="134"/>
      <c r="C446" s="134"/>
      <c r="D446" s="135"/>
      <c r="E446" s="136"/>
      <c r="F446" s="137"/>
      <c r="G446" s="137"/>
      <c r="H446" s="137"/>
      <c r="I446" s="138"/>
      <c r="J446" s="139"/>
      <c r="K446" s="139"/>
      <c r="L446" s="140"/>
      <c r="M446" s="137"/>
    </row>
    <row r="447" ht="15.75" customHeight="1">
      <c r="A447" s="133"/>
      <c r="B447" s="134"/>
      <c r="C447" s="134"/>
      <c r="D447" s="135"/>
      <c r="E447" s="136"/>
      <c r="F447" s="137"/>
      <c r="G447" s="137"/>
      <c r="H447" s="137"/>
      <c r="I447" s="138"/>
      <c r="J447" s="139"/>
      <c r="K447" s="139"/>
      <c r="L447" s="140"/>
      <c r="M447" s="137"/>
    </row>
    <row r="448" ht="15.75" customHeight="1">
      <c r="A448" s="133"/>
      <c r="B448" s="134"/>
      <c r="C448" s="134"/>
      <c r="D448" s="135"/>
      <c r="E448" s="136"/>
      <c r="F448" s="137"/>
      <c r="G448" s="137"/>
      <c r="H448" s="137"/>
      <c r="I448" s="138"/>
      <c r="J448" s="139"/>
      <c r="K448" s="139"/>
      <c r="L448" s="140"/>
      <c r="M448" s="137"/>
    </row>
    <row r="449" ht="15.75" customHeight="1">
      <c r="A449" s="133"/>
      <c r="B449" s="134"/>
      <c r="C449" s="134"/>
      <c r="D449" s="135"/>
      <c r="E449" s="136"/>
      <c r="F449" s="137"/>
      <c r="G449" s="137"/>
      <c r="H449" s="137"/>
      <c r="I449" s="138"/>
      <c r="J449" s="139"/>
      <c r="K449" s="139"/>
      <c r="L449" s="140"/>
      <c r="M449" s="137"/>
    </row>
    <row r="450" ht="15.75" customHeight="1">
      <c r="A450" s="133"/>
      <c r="B450" s="134"/>
      <c r="C450" s="134"/>
      <c r="D450" s="135"/>
      <c r="E450" s="136"/>
      <c r="F450" s="137"/>
      <c r="G450" s="137"/>
      <c r="H450" s="137"/>
      <c r="I450" s="138"/>
      <c r="J450" s="139"/>
      <c r="K450" s="139"/>
      <c r="L450" s="140"/>
      <c r="M450" s="137"/>
    </row>
    <row r="451" ht="15.75" customHeight="1">
      <c r="A451" s="133"/>
      <c r="B451" s="134"/>
      <c r="C451" s="134"/>
      <c r="D451" s="135"/>
      <c r="E451" s="136"/>
      <c r="F451" s="137"/>
      <c r="G451" s="137"/>
      <c r="H451" s="137"/>
      <c r="I451" s="138"/>
      <c r="J451" s="139"/>
      <c r="K451" s="139"/>
      <c r="L451" s="140"/>
      <c r="M451" s="137"/>
    </row>
    <row r="452" ht="15.75" customHeight="1">
      <c r="A452" s="133"/>
      <c r="B452" s="134"/>
      <c r="C452" s="134"/>
      <c r="D452" s="135"/>
      <c r="E452" s="136"/>
      <c r="F452" s="137"/>
      <c r="G452" s="137"/>
      <c r="H452" s="137"/>
      <c r="I452" s="138"/>
      <c r="J452" s="139"/>
      <c r="K452" s="139"/>
      <c r="L452" s="140"/>
      <c r="M452" s="137"/>
    </row>
    <row r="453" ht="15.75" customHeight="1">
      <c r="A453" s="133"/>
      <c r="B453" s="134"/>
      <c r="C453" s="134"/>
      <c r="D453" s="135"/>
      <c r="E453" s="136"/>
      <c r="F453" s="137"/>
      <c r="G453" s="137"/>
      <c r="H453" s="137"/>
      <c r="I453" s="138"/>
      <c r="J453" s="139"/>
      <c r="K453" s="139"/>
      <c r="L453" s="140"/>
      <c r="M453" s="137"/>
    </row>
    <row r="454" ht="15.75" customHeight="1">
      <c r="A454" s="133"/>
      <c r="B454" s="134"/>
      <c r="C454" s="134"/>
      <c r="D454" s="135"/>
      <c r="E454" s="136"/>
      <c r="F454" s="137"/>
      <c r="G454" s="137"/>
      <c r="H454" s="137"/>
      <c r="I454" s="138"/>
      <c r="J454" s="139"/>
      <c r="K454" s="139"/>
      <c r="L454" s="140"/>
      <c r="M454" s="137"/>
    </row>
    <row r="455" ht="15.75" customHeight="1">
      <c r="A455" s="133"/>
      <c r="B455" s="134"/>
      <c r="C455" s="134"/>
      <c r="D455" s="135"/>
      <c r="E455" s="136"/>
      <c r="F455" s="137"/>
      <c r="G455" s="137"/>
      <c r="H455" s="137"/>
      <c r="I455" s="138"/>
      <c r="J455" s="139"/>
      <c r="K455" s="139"/>
      <c r="L455" s="140"/>
      <c r="M455" s="137"/>
    </row>
    <row r="456" ht="15.75" customHeight="1">
      <c r="A456" s="133"/>
      <c r="B456" s="134"/>
      <c r="C456" s="134"/>
      <c r="D456" s="135"/>
      <c r="E456" s="136"/>
      <c r="F456" s="137"/>
      <c r="G456" s="137"/>
      <c r="H456" s="137"/>
      <c r="I456" s="138"/>
      <c r="J456" s="139"/>
      <c r="K456" s="139"/>
      <c r="L456" s="140"/>
      <c r="M456" s="137"/>
    </row>
    <row r="457" ht="15.75" customHeight="1">
      <c r="A457" s="133"/>
      <c r="B457" s="134"/>
      <c r="C457" s="134"/>
      <c r="D457" s="135"/>
      <c r="E457" s="136"/>
      <c r="F457" s="137"/>
      <c r="G457" s="137"/>
      <c r="H457" s="137"/>
      <c r="I457" s="138"/>
      <c r="J457" s="139"/>
      <c r="K457" s="139"/>
      <c r="L457" s="140"/>
      <c r="M457" s="137"/>
    </row>
    <row r="458" ht="15.75" customHeight="1">
      <c r="A458" s="133"/>
      <c r="B458" s="134"/>
      <c r="C458" s="134"/>
      <c r="D458" s="135"/>
      <c r="E458" s="136"/>
      <c r="F458" s="137"/>
      <c r="G458" s="137"/>
      <c r="H458" s="137"/>
      <c r="I458" s="138"/>
      <c r="J458" s="139"/>
      <c r="K458" s="139"/>
      <c r="L458" s="140"/>
      <c r="M458" s="137"/>
    </row>
    <row r="459" ht="15.75" customHeight="1">
      <c r="A459" s="133"/>
      <c r="B459" s="134"/>
      <c r="C459" s="134"/>
      <c r="D459" s="135"/>
      <c r="E459" s="136"/>
      <c r="F459" s="137"/>
      <c r="G459" s="137"/>
      <c r="H459" s="137"/>
      <c r="I459" s="138"/>
      <c r="J459" s="139"/>
      <c r="K459" s="139"/>
      <c r="L459" s="140"/>
      <c r="M459" s="137"/>
    </row>
    <row r="460" ht="15.75" customHeight="1">
      <c r="A460" s="133"/>
      <c r="B460" s="134"/>
      <c r="C460" s="134"/>
      <c r="D460" s="135"/>
      <c r="E460" s="136"/>
      <c r="F460" s="137"/>
      <c r="G460" s="137"/>
      <c r="H460" s="137"/>
      <c r="I460" s="138"/>
      <c r="J460" s="139"/>
      <c r="K460" s="139"/>
      <c r="L460" s="140"/>
      <c r="M460" s="137"/>
    </row>
    <row r="461" ht="15.75" customHeight="1">
      <c r="A461" s="133"/>
      <c r="B461" s="134"/>
      <c r="C461" s="134"/>
      <c r="D461" s="135"/>
      <c r="E461" s="136"/>
      <c r="F461" s="137"/>
      <c r="G461" s="137"/>
      <c r="H461" s="137"/>
      <c r="I461" s="138"/>
      <c r="J461" s="139"/>
      <c r="K461" s="139"/>
      <c r="L461" s="140"/>
      <c r="M461" s="137"/>
    </row>
    <row r="462" ht="15.75" customHeight="1">
      <c r="A462" s="133"/>
      <c r="B462" s="134"/>
      <c r="C462" s="134"/>
      <c r="D462" s="135"/>
      <c r="E462" s="136"/>
      <c r="F462" s="137"/>
      <c r="G462" s="137"/>
      <c r="H462" s="137"/>
      <c r="I462" s="138"/>
      <c r="J462" s="139"/>
      <c r="K462" s="139"/>
      <c r="L462" s="140"/>
      <c r="M462" s="137"/>
    </row>
    <row r="463" ht="15.75" customHeight="1">
      <c r="A463" s="133"/>
      <c r="B463" s="134"/>
      <c r="C463" s="134"/>
      <c r="D463" s="135"/>
      <c r="E463" s="136"/>
      <c r="F463" s="137"/>
      <c r="G463" s="137"/>
      <c r="H463" s="137"/>
      <c r="I463" s="138"/>
      <c r="J463" s="139"/>
      <c r="K463" s="139"/>
      <c r="L463" s="140"/>
      <c r="M463" s="137"/>
    </row>
    <row r="464" ht="15.75" customHeight="1">
      <c r="A464" s="133"/>
      <c r="B464" s="134"/>
      <c r="C464" s="134"/>
      <c r="D464" s="135"/>
      <c r="E464" s="136"/>
      <c r="F464" s="137"/>
      <c r="G464" s="137"/>
      <c r="H464" s="137"/>
      <c r="I464" s="138"/>
      <c r="J464" s="139"/>
      <c r="K464" s="139"/>
      <c r="L464" s="140"/>
      <c r="M464" s="137"/>
    </row>
    <row r="465" ht="15.75" customHeight="1">
      <c r="A465" s="133"/>
      <c r="B465" s="134"/>
      <c r="C465" s="134"/>
      <c r="D465" s="135"/>
      <c r="E465" s="136"/>
      <c r="F465" s="137"/>
      <c r="G465" s="137"/>
      <c r="H465" s="137"/>
      <c r="I465" s="138"/>
      <c r="J465" s="139"/>
      <c r="K465" s="139"/>
      <c r="L465" s="140"/>
      <c r="M465" s="137"/>
    </row>
    <row r="466" ht="15.75" customHeight="1">
      <c r="A466" s="133"/>
      <c r="B466" s="134"/>
      <c r="C466" s="134"/>
      <c r="D466" s="135"/>
      <c r="E466" s="136"/>
      <c r="F466" s="137"/>
      <c r="G466" s="137"/>
      <c r="H466" s="137"/>
      <c r="I466" s="138"/>
      <c r="J466" s="139"/>
      <c r="K466" s="139"/>
      <c r="L466" s="140"/>
      <c r="M466" s="137"/>
    </row>
    <row r="467" ht="15.75" customHeight="1">
      <c r="A467" s="133"/>
      <c r="B467" s="134"/>
      <c r="C467" s="134"/>
      <c r="D467" s="135"/>
      <c r="E467" s="136"/>
      <c r="F467" s="137"/>
      <c r="G467" s="137"/>
      <c r="H467" s="137"/>
      <c r="I467" s="138"/>
      <c r="J467" s="139"/>
      <c r="K467" s="139"/>
      <c r="L467" s="140"/>
      <c r="M467" s="137"/>
    </row>
    <row r="468" ht="15.75" customHeight="1">
      <c r="A468" s="133"/>
      <c r="B468" s="134"/>
      <c r="C468" s="134"/>
      <c r="D468" s="135"/>
      <c r="E468" s="136"/>
      <c r="F468" s="137"/>
      <c r="G468" s="137"/>
      <c r="H468" s="137"/>
      <c r="I468" s="138"/>
      <c r="J468" s="139"/>
      <c r="K468" s="139"/>
      <c r="L468" s="140"/>
      <c r="M468" s="137"/>
    </row>
    <row r="469" ht="15.75" customHeight="1">
      <c r="A469" s="133"/>
      <c r="B469" s="134"/>
      <c r="C469" s="134"/>
      <c r="D469" s="135"/>
      <c r="E469" s="136"/>
      <c r="F469" s="137"/>
      <c r="G469" s="137"/>
      <c r="H469" s="137"/>
      <c r="I469" s="138"/>
      <c r="J469" s="139"/>
      <c r="K469" s="139"/>
      <c r="L469" s="140"/>
      <c r="M469" s="137"/>
    </row>
    <row r="470" ht="15.75" customHeight="1">
      <c r="A470" s="133"/>
      <c r="B470" s="134"/>
      <c r="C470" s="134"/>
      <c r="D470" s="135"/>
      <c r="E470" s="136"/>
      <c r="F470" s="137"/>
      <c r="G470" s="137"/>
      <c r="H470" s="137"/>
      <c r="I470" s="138"/>
      <c r="J470" s="139"/>
      <c r="K470" s="139"/>
      <c r="L470" s="140"/>
      <c r="M470" s="137"/>
    </row>
    <row r="471" ht="15.75" customHeight="1">
      <c r="A471" s="133"/>
      <c r="B471" s="134"/>
      <c r="C471" s="134"/>
      <c r="D471" s="135"/>
      <c r="E471" s="136"/>
      <c r="F471" s="137"/>
      <c r="G471" s="137"/>
      <c r="H471" s="137"/>
      <c r="I471" s="138"/>
      <c r="J471" s="139"/>
      <c r="K471" s="139"/>
      <c r="L471" s="140"/>
      <c r="M471" s="137"/>
    </row>
    <row r="472" ht="15.75" customHeight="1">
      <c r="A472" s="133"/>
      <c r="B472" s="134"/>
      <c r="C472" s="134"/>
      <c r="D472" s="135"/>
      <c r="E472" s="136"/>
      <c r="F472" s="137"/>
      <c r="G472" s="137"/>
      <c r="H472" s="137"/>
      <c r="I472" s="138"/>
      <c r="J472" s="139"/>
      <c r="K472" s="139"/>
      <c r="L472" s="140"/>
      <c r="M472" s="137"/>
    </row>
    <row r="473" ht="15.75" customHeight="1">
      <c r="A473" s="133"/>
      <c r="B473" s="134"/>
      <c r="C473" s="134"/>
      <c r="D473" s="135"/>
      <c r="E473" s="136"/>
      <c r="F473" s="137"/>
      <c r="G473" s="137"/>
      <c r="H473" s="137"/>
      <c r="I473" s="138"/>
      <c r="J473" s="139"/>
      <c r="K473" s="139"/>
      <c r="L473" s="140"/>
      <c r="M473" s="137"/>
    </row>
    <row r="474" ht="15.75" customHeight="1">
      <c r="A474" s="133"/>
      <c r="B474" s="134"/>
      <c r="C474" s="134"/>
      <c r="D474" s="135"/>
      <c r="E474" s="136"/>
      <c r="F474" s="137"/>
      <c r="G474" s="137"/>
      <c r="H474" s="137"/>
      <c r="I474" s="138"/>
      <c r="J474" s="139"/>
      <c r="K474" s="139"/>
      <c r="L474" s="140"/>
      <c r="M474" s="137"/>
    </row>
    <row r="475" ht="15.75" customHeight="1">
      <c r="A475" s="133"/>
      <c r="B475" s="134"/>
      <c r="C475" s="134"/>
      <c r="D475" s="135"/>
      <c r="E475" s="136"/>
      <c r="F475" s="137"/>
      <c r="G475" s="137"/>
      <c r="H475" s="137"/>
      <c r="I475" s="138"/>
      <c r="J475" s="139"/>
      <c r="K475" s="139"/>
      <c r="L475" s="140"/>
      <c r="M475" s="137"/>
    </row>
    <row r="476" ht="15.75" customHeight="1">
      <c r="A476" s="133"/>
      <c r="B476" s="134"/>
      <c r="C476" s="134"/>
      <c r="D476" s="135"/>
      <c r="E476" s="136"/>
      <c r="F476" s="137"/>
      <c r="G476" s="137"/>
      <c r="H476" s="137"/>
      <c r="I476" s="138"/>
      <c r="J476" s="139"/>
      <c r="K476" s="139"/>
      <c r="L476" s="140"/>
      <c r="M476" s="137"/>
    </row>
    <row r="477" ht="15.75" customHeight="1">
      <c r="A477" s="133"/>
      <c r="B477" s="134"/>
      <c r="C477" s="134"/>
      <c r="D477" s="135"/>
      <c r="E477" s="136"/>
      <c r="F477" s="137"/>
      <c r="G477" s="137"/>
      <c r="H477" s="137"/>
      <c r="I477" s="138"/>
      <c r="J477" s="139"/>
      <c r="K477" s="139"/>
      <c r="L477" s="140"/>
      <c r="M477" s="137"/>
    </row>
    <row r="478" ht="15.75" customHeight="1">
      <c r="A478" s="133"/>
      <c r="B478" s="134"/>
      <c r="C478" s="134"/>
      <c r="D478" s="135"/>
      <c r="E478" s="136"/>
      <c r="F478" s="137"/>
      <c r="G478" s="137"/>
      <c r="H478" s="137"/>
      <c r="I478" s="138"/>
      <c r="J478" s="139"/>
      <c r="K478" s="139"/>
      <c r="L478" s="140"/>
      <c r="M478" s="137"/>
    </row>
    <row r="479" ht="15.75" customHeight="1">
      <c r="A479" s="133"/>
      <c r="B479" s="134"/>
      <c r="C479" s="134"/>
      <c r="D479" s="135"/>
      <c r="E479" s="136"/>
      <c r="F479" s="137"/>
      <c r="G479" s="137"/>
      <c r="H479" s="137"/>
      <c r="I479" s="138"/>
      <c r="J479" s="139"/>
      <c r="K479" s="139"/>
      <c r="L479" s="140"/>
      <c r="M479" s="137"/>
    </row>
    <row r="480" ht="15.75" customHeight="1">
      <c r="A480" s="133"/>
      <c r="B480" s="134"/>
      <c r="C480" s="134"/>
      <c r="D480" s="135"/>
      <c r="E480" s="136"/>
      <c r="F480" s="137"/>
      <c r="G480" s="137"/>
      <c r="H480" s="137"/>
      <c r="I480" s="138"/>
      <c r="J480" s="139"/>
      <c r="K480" s="139"/>
      <c r="L480" s="140"/>
      <c r="M480" s="137"/>
    </row>
    <row r="481" ht="15.75" customHeight="1">
      <c r="A481" s="133"/>
      <c r="B481" s="134"/>
      <c r="C481" s="134"/>
      <c r="D481" s="135"/>
      <c r="E481" s="136"/>
      <c r="F481" s="137"/>
      <c r="G481" s="137"/>
      <c r="H481" s="137"/>
      <c r="I481" s="138"/>
      <c r="J481" s="139"/>
      <c r="K481" s="139"/>
      <c r="L481" s="140"/>
      <c r="M481" s="137"/>
    </row>
    <row r="482" ht="15.75" customHeight="1">
      <c r="A482" s="133"/>
      <c r="B482" s="134"/>
      <c r="C482" s="134"/>
      <c r="D482" s="135"/>
      <c r="E482" s="136"/>
      <c r="F482" s="137"/>
      <c r="G482" s="137"/>
      <c r="H482" s="137"/>
      <c r="I482" s="138"/>
      <c r="J482" s="139"/>
      <c r="K482" s="139"/>
      <c r="L482" s="140"/>
      <c r="M482" s="137"/>
    </row>
    <row r="483" ht="15.75" customHeight="1">
      <c r="A483" s="133"/>
      <c r="B483" s="134"/>
      <c r="C483" s="134"/>
      <c r="D483" s="135"/>
      <c r="E483" s="136"/>
      <c r="F483" s="137"/>
      <c r="G483" s="137"/>
      <c r="H483" s="137"/>
      <c r="I483" s="138"/>
      <c r="J483" s="139"/>
      <c r="K483" s="139"/>
      <c r="L483" s="140"/>
      <c r="M483" s="137"/>
    </row>
    <row r="484" ht="15.75" customHeight="1">
      <c r="A484" s="133"/>
      <c r="B484" s="134"/>
      <c r="C484" s="134"/>
      <c r="D484" s="135"/>
      <c r="E484" s="136"/>
      <c r="F484" s="137"/>
      <c r="G484" s="137"/>
      <c r="H484" s="137"/>
      <c r="I484" s="138"/>
      <c r="J484" s="139"/>
      <c r="K484" s="139"/>
      <c r="L484" s="140"/>
      <c r="M484" s="137"/>
    </row>
    <row r="485" ht="15.75" customHeight="1">
      <c r="A485" s="133"/>
      <c r="B485" s="134"/>
      <c r="C485" s="134"/>
      <c r="D485" s="135"/>
      <c r="E485" s="136"/>
      <c r="F485" s="137"/>
      <c r="G485" s="137"/>
      <c r="H485" s="137"/>
      <c r="I485" s="138"/>
      <c r="J485" s="139"/>
      <c r="K485" s="139"/>
      <c r="L485" s="140"/>
      <c r="M485" s="137"/>
    </row>
    <row r="486" ht="15.75" customHeight="1">
      <c r="A486" s="133"/>
      <c r="B486" s="134"/>
      <c r="C486" s="134"/>
      <c r="D486" s="135"/>
      <c r="E486" s="136"/>
      <c r="F486" s="137"/>
      <c r="G486" s="137"/>
      <c r="H486" s="137"/>
      <c r="I486" s="138"/>
      <c r="J486" s="139"/>
      <c r="K486" s="139"/>
      <c r="L486" s="140"/>
      <c r="M486" s="137"/>
    </row>
    <row r="487" ht="15.75" customHeight="1">
      <c r="A487" s="133"/>
      <c r="B487" s="134"/>
      <c r="C487" s="134"/>
      <c r="D487" s="135"/>
      <c r="E487" s="136"/>
      <c r="F487" s="137"/>
      <c r="G487" s="137"/>
      <c r="H487" s="137"/>
      <c r="I487" s="138"/>
      <c r="J487" s="139"/>
      <c r="K487" s="139"/>
      <c r="L487" s="140"/>
      <c r="M487" s="137"/>
    </row>
    <row r="488" ht="15.75" customHeight="1">
      <c r="A488" s="133"/>
      <c r="B488" s="134"/>
      <c r="C488" s="134"/>
      <c r="D488" s="135"/>
      <c r="E488" s="136"/>
      <c r="F488" s="137"/>
      <c r="G488" s="137"/>
      <c r="H488" s="137"/>
      <c r="I488" s="138"/>
      <c r="J488" s="139"/>
      <c r="K488" s="139"/>
      <c r="L488" s="140"/>
      <c r="M488" s="137"/>
    </row>
    <row r="489" ht="15.75" customHeight="1">
      <c r="A489" s="133"/>
      <c r="B489" s="134"/>
      <c r="C489" s="134"/>
      <c r="D489" s="135"/>
      <c r="E489" s="136"/>
      <c r="F489" s="137"/>
      <c r="G489" s="137"/>
      <c r="H489" s="137"/>
      <c r="I489" s="138"/>
      <c r="J489" s="139"/>
      <c r="K489" s="139"/>
      <c r="L489" s="140"/>
      <c r="M489" s="137"/>
    </row>
    <row r="490" ht="15.75" customHeight="1">
      <c r="D490" s="163"/>
      <c r="E490" s="164"/>
      <c r="L490" s="157"/>
    </row>
    <row r="491" ht="15.75" customHeight="1">
      <c r="D491" s="163"/>
      <c r="E491" s="164"/>
      <c r="L491" s="157"/>
    </row>
    <row r="492" ht="15.75" customHeight="1">
      <c r="D492" s="163"/>
      <c r="E492" s="164"/>
      <c r="L492" s="157"/>
    </row>
    <row r="493" ht="15.75" customHeight="1">
      <c r="D493" s="163"/>
      <c r="E493" s="164"/>
      <c r="L493" s="157"/>
    </row>
    <row r="494" ht="15.75" customHeight="1">
      <c r="D494" s="163"/>
      <c r="E494" s="164"/>
      <c r="L494" s="157"/>
    </row>
    <row r="495" ht="15.75" customHeight="1">
      <c r="D495" s="163"/>
      <c r="E495" s="164"/>
      <c r="L495" s="157"/>
    </row>
    <row r="496" ht="15.75" customHeight="1">
      <c r="D496" s="163"/>
      <c r="E496" s="164"/>
      <c r="L496" s="157"/>
    </row>
    <row r="497" ht="15.75" customHeight="1">
      <c r="D497" s="163"/>
      <c r="E497" s="164"/>
      <c r="L497" s="157"/>
    </row>
    <row r="498" ht="15.75" customHeight="1">
      <c r="D498" s="163"/>
      <c r="E498" s="164"/>
      <c r="L498" s="157"/>
    </row>
    <row r="499" ht="15.75" customHeight="1">
      <c r="D499" s="163"/>
      <c r="E499" s="164"/>
      <c r="L499" s="157"/>
    </row>
    <row r="500" ht="15.75" customHeight="1">
      <c r="D500" s="163"/>
      <c r="E500" s="164"/>
      <c r="L500" s="157"/>
    </row>
    <row r="501" ht="15.75" customHeight="1">
      <c r="D501" s="163"/>
      <c r="E501" s="164"/>
      <c r="L501" s="157"/>
    </row>
    <row r="502" ht="15.75" customHeight="1">
      <c r="D502" s="163"/>
      <c r="E502" s="164"/>
      <c r="L502" s="157"/>
    </row>
    <row r="503" ht="15.75" customHeight="1">
      <c r="D503" s="163"/>
      <c r="E503" s="164"/>
      <c r="L503" s="157"/>
    </row>
    <row r="504" ht="15.75" customHeight="1">
      <c r="D504" s="163"/>
      <c r="E504" s="164"/>
      <c r="L504" s="157"/>
    </row>
    <row r="505" ht="15.75" customHeight="1">
      <c r="D505" s="163"/>
      <c r="E505" s="164"/>
      <c r="L505" s="157"/>
    </row>
    <row r="506" ht="15.75" customHeight="1">
      <c r="D506" s="163"/>
      <c r="E506" s="164"/>
      <c r="L506" s="157"/>
    </row>
    <row r="507" ht="15.75" customHeight="1">
      <c r="D507" s="163"/>
      <c r="E507" s="164"/>
      <c r="L507" s="157"/>
    </row>
    <row r="508" ht="15.75" customHeight="1">
      <c r="D508" s="163"/>
      <c r="E508" s="164"/>
      <c r="L508" s="157"/>
    </row>
    <row r="509" ht="15.75" customHeight="1">
      <c r="D509" s="163"/>
      <c r="E509" s="164"/>
      <c r="L509" s="157"/>
    </row>
    <row r="510" ht="15.75" customHeight="1">
      <c r="D510" s="163"/>
      <c r="E510" s="164"/>
      <c r="L510" s="157"/>
    </row>
    <row r="511" ht="15.75" customHeight="1">
      <c r="D511" s="163"/>
      <c r="E511" s="164"/>
      <c r="L511" s="157"/>
    </row>
    <row r="512" ht="15.75" customHeight="1">
      <c r="D512" s="163"/>
      <c r="E512" s="164"/>
      <c r="L512" s="157"/>
    </row>
    <row r="513" ht="15.75" customHeight="1">
      <c r="D513" s="163"/>
      <c r="E513" s="164"/>
      <c r="L513" s="157"/>
    </row>
    <row r="514" ht="15.75" customHeight="1">
      <c r="D514" s="163"/>
      <c r="E514" s="164"/>
      <c r="L514" s="157"/>
    </row>
    <row r="515" ht="15.75" customHeight="1">
      <c r="D515" s="163"/>
      <c r="E515" s="164"/>
      <c r="L515" s="157"/>
    </row>
    <row r="516" ht="15.75" customHeight="1">
      <c r="D516" s="163"/>
      <c r="E516" s="164"/>
      <c r="L516" s="157"/>
    </row>
    <row r="517" ht="15.75" customHeight="1">
      <c r="D517" s="163"/>
      <c r="E517" s="164"/>
      <c r="L517" s="157"/>
    </row>
    <row r="518" ht="15.75" customHeight="1">
      <c r="D518" s="163"/>
      <c r="E518" s="164"/>
      <c r="L518" s="157"/>
    </row>
    <row r="519" ht="15.75" customHeight="1">
      <c r="D519" s="163"/>
      <c r="E519" s="164"/>
      <c r="L519" s="157"/>
    </row>
    <row r="520" ht="15.75" customHeight="1">
      <c r="D520" s="163"/>
      <c r="E520" s="164"/>
      <c r="L520" s="157"/>
    </row>
    <row r="521" ht="15.75" customHeight="1">
      <c r="D521" s="163"/>
      <c r="E521" s="164"/>
      <c r="L521" s="157"/>
    </row>
    <row r="522" ht="15.75" customHeight="1">
      <c r="D522" s="163"/>
      <c r="E522" s="164"/>
      <c r="L522" s="157"/>
    </row>
    <row r="523" ht="15.75" customHeight="1">
      <c r="D523" s="163"/>
      <c r="E523" s="164"/>
      <c r="L523" s="157"/>
    </row>
    <row r="524" ht="15.75" customHeight="1">
      <c r="D524" s="163"/>
      <c r="E524" s="164"/>
      <c r="L524" s="157"/>
    </row>
    <row r="525" ht="15.75" customHeight="1">
      <c r="D525" s="163"/>
      <c r="E525" s="164"/>
      <c r="L525" s="157"/>
    </row>
    <row r="526" ht="15.75" customHeight="1">
      <c r="D526" s="163"/>
      <c r="E526" s="164"/>
      <c r="L526" s="157"/>
    </row>
    <row r="527" ht="15.75" customHeight="1">
      <c r="D527" s="163"/>
      <c r="E527" s="164"/>
      <c r="L527" s="157"/>
    </row>
    <row r="528" ht="15.75" customHeight="1">
      <c r="D528" s="163"/>
      <c r="E528" s="164"/>
      <c r="L528" s="157"/>
    </row>
    <row r="529" ht="15.75" customHeight="1">
      <c r="D529" s="163"/>
      <c r="E529" s="164"/>
      <c r="L529" s="157"/>
    </row>
    <row r="530" ht="15.75" customHeight="1">
      <c r="D530" s="163"/>
      <c r="E530" s="164"/>
      <c r="L530" s="157"/>
    </row>
    <row r="531" ht="15.75" customHeight="1">
      <c r="D531" s="163"/>
      <c r="E531" s="164"/>
      <c r="L531" s="157"/>
    </row>
    <row r="532" ht="15.75" customHeight="1">
      <c r="D532" s="163"/>
      <c r="E532" s="164"/>
      <c r="L532" s="157"/>
    </row>
    <row r="533" ht="15.75" customHeight="1">
      <c r="D533" s="163"/>
      <c r="E533" s="164"/>
      <c r="L533" s="157"/>
    </row>
    <row r="534" ht="15.75" customHeight="1">
      <c r="D534" s="163"/>
      <c r="E534" s="164"/>
      <c r="L534" s="157"/>
    </row>
    <row r="535" ht="15.75" customHeight="1">
      <c r="D535" s="163"/>
      <c r="E535" s="164"/>
      <c r="L535" s="157"/>
    </row>
    <row r="536" ht="15.75" customHeight="1">
      <c r="D536" s="163"/>
      <c r="E536" s="164"/>
      <c r="L536" s="157"/>
    </row>
    <row r="537" ht="15.75" customHeight="1">
      <c r="D537" s="163"/>
      <c r="E537" s="164"/>
      <c r="L537" s="157"/>
    </row>
    <row r="538" ht="15.75" customHeight="1">
      <c r="D538" s="163"/>
      <c r="E538" s="164"/>
      <c r="L538" s="157"/>
    </row>
    <row r="539" ht="15.75" customHeight="1">
      <c r="D539" s="163"/>
      <c r="E539" s="164"/>
      <c r="L539" s="157"/>
    </row>
    <row r="540" ht="15.75" customHeight="1">
      <c r="D540" s="163"/>
      <c r="E540" s="164"/>
      <c r="L540" s="157"/>
    </row>
    <row r="541" ht="15.75" customHeight="1">
      <c r="D541" s="163"/>
      <c r="E541" s="164"/>
      <c r="L541" s="157"/>
    </row>
    <row r="542" ht="15.75" customHeight="1">
      <c r="D542" s="163"/>
      <c r="E542" s="164"/>
      <c r="L542" s="157"/>
    </row>
    <row r="543" ht="15.75" customHeight="1">
      <c r="D543" s="163"/>
      <c r="E543" s="164"/>
      <c r="L543" s="157"/>
    </row>
    <row r="544" ht="15.75" customHeight="1">
      <c r="D544" s="163"/>
      <c r="E544" s="164"/>
      <c r="L544" s="157"/>
    </row>
    <row r="545" ht="15.75" customHeight="1">
      <c r="D545" s="163"/>
      <c r="E545" s="164"/>
      <c r="L545" s="157"/>
    </row>
    <row r="546" ht="15.75" customHeight="1">
      <c r="D546" s="163"/>
      <c r="E546" s="164"/>
      <c r="L546" s="157"/>
    </row>
    <row r="547" ht="15.75" customHeight="1">
      <c r="D547" s="163"/>
      <c r="E547" s="164"/>
      <c r="L547" s="157"/>
    </row>
    <row r="548" ht="15.75" customHeight="1">
      <c r="D548" s="163"/>
      <c r="E548" s="164"/>
      <c r="L548" s="157"/>
    </row>
    <row r="549" ht="15.75" customHeight="1">
      <c r="D549" s="163"/>
      <c r="E549" s="164"/>
      <c r="L549" s="157"/>
    </row>
    <row r="550" ht="15.75" customHeight="1">
      <c r="D550" s="163"/>
      <c r="E550" s="164"/>
      <c r="L550" s="157"/>
    </row>
    <row r="551" ht="15.75" customHeight="1">
      <c r="D551" s="163"/>
      <c r="E551" s="164"/>
      <c r="L551" s="157"/>
    </row>
    <row r="552" ht="15.75" customHeight="1">
      <c r="D552" s="163"/>
      <c r="E552" s="164"/>
      <c r="L552" s="157"/>
    </row>
    <row r="553" ht="15.75" customHeight="1">
      <c r="D553" s="163"/>
      <c r="E553" s="164"/>
      <c r="L553" s="157"/>
    </row>
    <row r="554" ht="15.75" customHeight="1">
      <c r="D554" s="163"/>
      <c r="E554" s="164"/>
      <c r="L554" s="157"/>
    </row>
    <row r="555" ht="15.75" customHeight="1">
      <c r="D555" s="163"/>
      <c r="E555" s="164"/>
      <c r="L555" s="157"/>
    </row>
    <row r="556" ht="15.75" customHeight="1">
      <c r="D556" s="163"/>
      <c r="E556" s="164"/>
      <c r="L556" s="157"/>
    </row>
    <row r="557" ht="15.75" customHeight="1">
      <c r="D557" s="163"/>
      <c r="E557" s="164"/>
      <c r="L557" s="157"/>
    </row>
    <row r="558" ht="15.75" customHeight="1">
      <c r="D558" s="163"/>
      <c r="E558" s="164"/>
      <c r="L558" s="157"/>
    </row>
    <row r="559" ht="15.75" customHeight="1">
      <c r="D559" s="163"/>
      <c r="E559" s="164"/>
      <c r="L559" s="157"/>
    </row>
    <row r="560" ht="15.75" customHeight="1">
      <c r="D560" s="163"/>
      <c r="E560" s="164"/>
      <c r="L560" s="157"/>
    </row>
    <row r="561" ht="15.75" customHeight="1">
      <c r="D561" s="163"/>
      <c r="E561" s="164"/>
      <c r="L561" s="157"/>
    </row>
    <row r="562" ht="15.75" customHeight="1">
      <c r="D562" s="163"/>
      <c r="E562" s="164"/>
      <c r="L562" s="157"/>
    </row>
    <row r="563" ht="15.75" customHeight="1">
      <c r="D563" s="163"/>
      <c r="E563" s="164"/>
      <c r="L563" s="157"/>
    </row>
    <row r="564" ht="15.75" customHeight="1">
      <c r="D564" s="163"/>
      <c r="E564" s="164"/>
      <c r="L564" s="157"/>
    </row>
    <row r="565" ht="15.75" customHeight="1">
      <c r="D565" s="163"/>
      <c r="E565" s="164"/>
      <c r="L565" s="157"/>
    </row>
    <row r="566" ht="15.75" customHeight="1">
      <c r="D566" s="163"/>
      <c r="E566" s="164"/>
      <c r="L566" s="157"/>
    </row>
    <row r="567" ht="15.75" customHeight="1">
      <c r="D567" s="163"/>
      <c r="E567" s="164"/>
      <c r="L567" s="157"/>
    </row>
    <row r="568" ht="15.75" customHeight="1">
      <c r="D568" s="163"/>
      <c r="E568" s="164"/>
      <c r="L568" s="157"/>
    </row>
    <row r="569" ht="15.75" customHeight="1">
      <c r="D569" s="163"/>
      <c r="E569" s="164"/>
      <c r="L569" s="157"/>
    </row>
    <row r="570" ht="15.75" customHeight="1">
      <c r="D570" s="163"/>
      <c r="E570" s="164"/>
      <c r="L570" s="157"/>
    </row>
    <row r="571" ht="15.75" customHeight="1">
      <c r="D571" s="163"/>
      <c r="E571" s="164"/>
      <c r="L571" s="157"/>
    </row>
    <row r="572" ht="15.75" customHeight="1">
      <c r="D572" s="163"/>
      <c r="E572" s="164"/>
      <c r="L572" s="157"/>
    </row>
    <row r="573" ht="15.75" customHeight="1">
      <c r="D573" s="163"/>
      <c r="E573" s="164"/>
      <c r="L573" s="157"/>
    </row>
    <row r="574" ht="15.75" customHeight="1">
      <c r="D574" s="163"/>
      <c r="E574" s="164"/>
      <c r="L574" s="157"/>
    </row>
    <row r="575" ht="15.75" customHeight="1">
      <c r="D575" s="163"/>
      <c r="E575" s="164"/>
      <c r="L575" s="157"/>
    </row>
    <row r="576" ht="15.75" customHeight="1">
      <c r="D576" s="163"/>
      <c r="E576" s="164"/>
      <c r="L576" s="157"/>
    </row>
    <row r="577" ht="15.75" customHeight="1">
      <c r="D577" s="163"/>
      <c r="E577" s="164"/>
      <c r="L577" s="157"/>
    </row>
    <row r="578" ht="15.75" customHeight="1">
      <c r="D578" s="163"/>
      <c r="E578" s="164"/>
      <c r="L578" s="157"/>
    </row>
    <row r="579" ht="15.75" customHeight="1">
      <c r="D579" s="163"/>
      <c r="E579" s="164"/>
      <c r="L579" s="157"/>
    </row>
    <row r="580" ht="15.75" customHeight="1">
      <c r="D580" s="163"/>
      <c r="E580" s="164"/>
      <c r="L580" s="157"/>
    </row>
    <row r="581" ht="15.75" customHeight="1">
      <c r="D581" s="163"/>
      <c r="E581" s="164"/>
      <c r="L581" s="157"/>
    </row>
    <row r="582" ht="15.75" customHeight="1">
      <c r="D582" s="163"/>
      <c r="E582" s="164"/>
      <c r="L582" s="157"/>
    </row>
    <row r="583" ht="15.75" customHeight="1">
      <c r="D583" s="163"/>
      <c r="E583" s="164"/>
      <c r="L583" s="157"/>
    </row>
    <row r="584" ht="15.75" customHeight="1">
      <c r="D584" s="163"/>
      <c r="E584" s="164"/>
      <c r="L584" s="157"/>
    </row>
    <row r="585" ht="15.75" customHeight="1">
      <c r="D585" s="163"/>
      <c r="E585" s="164"/>
      <c r="L585" s="157"/>
    </row>
    <row r="586" ht="15.75" customHeight="1">
      <c r="D586" s="163"/>
      <c r="E586" s="164"/>
      <c r="L586" s="157"/>
    </row>
    <row r="587" ht="15.75" customHeight="1">
      <c r="D587" s="163"/>
      <c r="E587" s="164"/>
      <c r="L587" s="157"/>
    </row>
    <row r="588" ht="15.75" customHeight="1">
      <c r="D588" s="163"/>
      <c r="E588" s="164"/>
      <c r="L588" s="157"/>
    </row>
    <row r="589" ht="15.75" customHeight="1">
      <c r="D589" s="163"/>
      <c r="E589" s="164"/>
      <c r="L589" s="157"/>
    </row>
    <row r="590" ht="15.75" customHeight="1">
      <c r="D590" s="163"/>
      <c r="E590" s="164"/>
      <c r="L590" s="157"/>
    </row>
    <row r="591" ht="15.75" customHeight="1">
      <c r="D591" s="163"/>
      <c r="E591" s="164"/>
      <c r="L591" s="157"/>
    </row>
    <row r="592" ht="15.75" customHeight="1">
      <c r="D592" s="163"/>
      <c r="E592" s="164"/>
      <c r="L592" s="157"/>
    </row>
    <row r="593" ht="15.75" customHeight="1">
      <c r="D593" s="163"/>
      <c r="E593" s="164"/>
      <c r="L593" s="157"/>
    </row>
    <row r="594" ht="15.75" customHeight="1">
      <c r="D594" s="163"/>
      <c r="E594" s="164"/>
      <c r="L594" s="157"/>
    </row>
    <row r="595" ht="15.75" customHeight="1">
      <c r="D595" s="163"/>
      <c r="E595" s="164"/>
      <c r="L595" s="157"/>
    </row>
    <row r="596" ht="15.75" customHeight="1">
      <c r="D596" s="163"/>
      <c r="E596" s="164"/>
      <c r="L596" s="157"/>
    </row>
    <row r="597" ht="15.75" customHeight="1">
      <c r="D597" s="163"/>
      <c r="E597" s="164"/>
      <c r="L597" s="157"/>
    </row>
    <row r="598" ht="15.75" customHeight="1">
      <c r="D598" s="163"/>
      <c r="E598" s="164"/>
      <c r="L598" s="157"/>
    </row>
    <row r="599" ht="15.75" customHeight="1">
      <c r="D599" s="163"/>
      <c r="E599" s="164"/>
      <c r="L599" s="157"/>
    </row>
    <row r="600" ht="15.75" customHeight="1">
      <c r="D600" s="163"/>
      <c r="E600" s="164"/>
      <c r="L600" s="157"/>
    </row>
    <row r="601" ht="15.75" customHeight="1">
      <c r="D601" s="163"/>
      <c r="E601" s="164"/>
      <c r="L601" s="157"/>
    </row>
    <row r="602" ht="15.75" customHeight="1">
      <c r="D602" s="163"/>
      <c r="E602" s="164"/>
      <c r="L602" s="157"/>
    </row>
    <row r="603" ht="15.75" customHeight="1">
      <c r="D603" s="163"/>
      <c r="E603" s="164"/>
      <c r="L603" s="157"/>
    </row>
    <row r="604" ht="15.75" customHeight="1">
      <c r="D604" s="163"/>
      <c r="E604" s="164"/>
      <c r="L604" s="157"/>
    </row>
    <row r="605" ht="15.75" customHeight="1">
      <c r="D605" s="163"/>
      <c r="E605" s="164"/>
      <c r="L605" s="157"/>
    </row>
    <row r="606" ht="15.75" customHeight="1">
      <c r="D606" s="163"/>
      <c r="E606" s="164"/>
      <c r="L606" s="157"/>
    </row>
    <row r="607" ht="15.75" customHeight="1">
      <c r="D607" s="163"/>
      <c r="E607" s="164"/>
      <c r="L607" s="157"/>
    </row>
    <row r="608" ht="15.75" customHeight="1">
      <c r="D608" s="163"/>
      <c r="E608" s="164"/>
      <c r="L608" s="157"/>
    </row>
    <row r="609" ht="15.75" customHeight="1">
      <c r="D609" s="163"/>
      <c r="E609" s="164"/>
      <c r="L609" s="157"/>
    </row>
    <row r="610" ht="15.75" customHeight="1">
      <c r="D610" s="163"/>
      <c r="E610" s="164"/>
      <c r="L610" s="157"/>
    </row>
    <row r="611" ht="15.75" customHeight="1">
      <c r="D611" s="163"/>
      <c r="E611" s="164"/>
      <c r="L611" s="157"/>
    </row>
    <row r="612" ht="15.75" customHeight="1">
      <c r="D612" s="163"/>
      <c r="E612" s="164"/>
      <c r="L612" s="157"/>
    </row>
    <row r="613" ht="15.75" customHeight="1">
      <c r="D613" s="163"/>
      <c r="E613" s="164"/>
      <c r="L613" s="157"/>
    </row>
    <row r="614" ht="15.75" customHeight="1">
      <c r="D614" s="163"/>
      <c r="E614" s="164"/>
      <c r="L614" s="157"/>
    </row>
    <row r="615" ht="15.75" customHeight="1">
      <c r="D615" s="163"/>
      <c r="E615" s="164"/>
      <c r="L615" s="157"/>
    </row>
    <row r="616" ht="15.75" customHeight="1">
      <c r="D616" s="163"/>
      <c r="E616" s="164"/>
      <c r="L616" s="157"/>
    </row>
    <row r="617" ht="15.75" customHeight="1">
      <c r="D617" s="163"/>
      <c r="E617" s="164"/>
      <c r="L617" s="157"/>
    </row>
    <row r="618" ht="15.75" customHeight="1">
      <c r="D618" s="163"/>
      <c r="E618" s="164"/>
      <c r="L618" s="157"/>
    </row>
    <row r="619" ht="15.75" customHeight="1">
      <c r="D619" s="163"/>
      <c r="E619" s="164"/>
      <c r="L619" s="157"/>
    </row>
    <row r="620" ht="15.75" customHeight="1">
      <c r="D620" s="163"/>
      <c r="E620" s="164"/>
      <c r="L620" s="157"/>
    </row>
    <row r="621" ht="15.75" customHeight="1">
      <c r="D621" s="163"/>
      <c r="E621" s="164"/>
      <c r="L621" s="157"/>
    </row>
    <row r="622" ht="15.75" customHeight="1">
      <c r="D622" s="163"/>
      <c r="E622" s="164"/>
      <c r="L622" s="157"/>
    </row>
    <row r="623" ht="15.75" customHeight="1">
      <c r="D623" s="163"/>
      <c r="E623" s="164"/>
      <c r="L623" s="157"/>
    </row>
    <row r="624" ht="15.75" customHeight="1">
      <c r="D624" s="163"/>
      <c r="E624" s="164"/>
      <c r="L624" s="157"/>
    </row>
    <row r="625" ht="15.75" customHeight="1">
      <c r="D625" s="163"/>
      <c r="E625" s="164"/>
      <c r="L625" s="157"/>
    </row>
    <row r="626" ht="15.75" customHeight="1">
      <c r="D626" s="163"/>
      <c r="E626" s="164"/>
      <c r="L626" s="157"/>
    </row>
    <row r="627" ht="15.75" customHeight="1">
      <c r="D627" s="163"/>
      <c r="E627" s="164"/>
      <c r="L627" s="157"/>
    </row>
    <row r="628" ht="15.75" customHeight="1">
      <c r="D628" s="163"/>
      <c r="E628" s="164"/>
      <c r="L628" s="157"/>
    </row>
    <row r="629" ht="15.75" customHeight="1">
      <c r="D629" s="163"/>
      <c r="E629" s="164"/>
      <c r="L629" s="157"/>
    </row>
    <row r="630" ht="15.75" customHeight="1">
      <c r="D630" s="163"/>
      <c r="E630" s="164"/>
      <c r="L630" s="157"/>
    </row>
    <row r="631" ht="15.75" customHeight="1">
      <c r="D631" s="163"/>
      <c r="E631" s="164"/>
      <c r="L631" s="157"/>
    </row>
    <row r="632" ht="15.75" customHeight="1">
      <c r="D632" s="163"/>
      <c r="E632" s="164"/>
      <c r="L632" s="157"/>
    </row>
    <row r="633" ht="15.75" customHeight="1">
      <c r="D633" s="163"/>
      <c r="E633" s="164"/>
      <c r="L633" s="157"/>
    </row>
    <row r="634" ht="15.75" customHeight="1">
      <c r="D634" s="163"/>
      <c r="E634" s="164"/>
      <c r="L634" s="157"/>
    </row>
    <row r="635" ht="15.75" customHeight="1">
      <c r="D635" s="163"/>
      <c r="E635" s="164"/>
      <c r="L635" s="157"/>
    </row>
    <row r="636" ht="15.75" customHeight="1">
      <c r="D636" s="163"/>
      <c r="E636" s="164"/>
      <c r="L636" s="157"/>
    </row>
    <row r="637" ht="15.75" customHeight="1">
      <c r="D637" s="163"/>
      <c r="E637" s="164"/>
      <c r="L637" s="157"/>
    </row>
    <row r="638" ht="15.75" customHeight="1">
      <c r="D638" s="163"/>
      <c r="E638" s="164"/>
      <c r="L638" s="157"/>
    </row>
    <row r="639" ht="15.75" customHeight="1">
      <c r="D639" s="163"/>
      <c r="E639" s="164"/>
      <c r="L639" s="157"/>
    </row>
    <row r="640" ht="15.75" customHeight="1">
      <c r="D640" s="163"/>
      <c r="E640" s="164"/>
      <c r="L640" s="157"/>
    </row>
    <row r="641" ht="15.75" customHeight="1">
      <c r="D641" s="163"/>
      <c r="E641" s="164"/>
      <c r="L641" s="157"/>
    </row>
    <row r="642" ht="15.75" customHeight="1">
      <c r="D642" s="163"/>
      <c r="E642" s="164"/>
      <c r="L642" s="157"/>
    </row>
    <row r="643" ht="15.75" customHeight="1">
      <c r="D643" s="163"/>
      <c r="E643" s="164"/>
      <c r="L643" s="157"/>
    </row>
    <row r="644" ht="15.75" customHeight="1">
      <c r="D644" s="163"/>
      <c r="E644" s="164"/>
      <c r="L644" s="157"/>
    </row>
    <row r="645" ht="15.75" customHeight="1">
      <c r="D645" s="163"/>
      <c r="E645" s="164"/>
      <c r="L645" s="157"/>
    </row>
    <row r="646" ht="15.75" customHeight="1">
      <c r="D646" s="163"/>
      <c r="E646" s="164"/>
      <c r="L646" s="157"/>
    </row>
    <row r="647" ht="15.75" customHeight="1">
      <c r="D647" s="163"/>
      <c r="E647" s="164"/>
      <c r="L647" s="157"/>
    </row>
    <row r="648" ht="15.75" customHeight="1">
      <c r="D648" s="163"/>
      <c r="E648" s="164"/>
      <c r="L648" s="157"/>
    </row>
    <row r="649" ht="15.75" customHeight="1">
      <c r="D649" s="163"/>
      <c r="E649" s="164"/>
      <c r="L649" s="157"/>
    </row>
    <row r="650" ht="15.75" customHeight="1">
      <c r="D650" s="163"/>
      <c r="E650" s="164"/>
      <c r="L650" s="157"/>
    </row>
    <row r="651" ht="15.75" customHeight="1">
      <c r="D651" s="163"/>
      <c r="E651" s="164"/>
      <c r="L651" s="157"/>
    </row>
    <row r="652" ht="15.75" customHeight="1">
      <c r="D652" s="163"/>
      <c r="E652" s="164"/>
      <c r="L652" s="157"/>
    </row>
    <row r="653" ht="15.75" customHeight="1">
      <c r="D653" s="163"/>
      <c r="E653" s="164"/>
      <c r="L653" s="157"/>
    </row>
    <row r="654" ht="15.75" customHeight="1">
      <c r="D654" s="163"/>
      <c r="E654" s="164"/>
      <c r="L654" s="157"/>
    </row>
    <row r="655" ht="15.75" customHeight="1">
      <c r="D655" s="163"/>
      <c r="E655" s="164"/>
      <c r="L655" s="157"/>
    </row>
    <row r="656" ht="15.75" customHeight="1">
      <c r="D656" s="163"/>
      <c r="E656" s="164"/>
      <c r="L656" s="157"/>
    </row>
    <row r="657" ht="15.75" customHeight="1">
      <c r="D657" s="163"/>
      <c r="E657" s="164"/>
      <c r="L657" s="157"/>
    </row>
    <row r="658" ht="15.75" customHeight="1">
      <c r="D658" s="163"/>
      <c r="E658" s="164"/>
      <c r="L658" s="157"/>
    </row>
    <row r="659" ht="15.75" customHeight="1">
      <c r="D659" s="163"/>
      <c r="E659" s="164"/>
      <c r="L659" s="157"/>
    </row>
    <row r="660" ht="15.75" customHeight="1">
      <c r="D660" s="163"/>
      <c r="E660" s="164"/>
      <c r="L660" s="157"/>
    </row>
    <row r="661" ht="15.75" customHeight="1">
      <c r="D661" s="163"/>
      <c r="E661" s="164"/>
      <c r="L661" s="157"/>
    </row>
    <row r="662" ht="15.75" customHeight="1">
      <c r="D662" s="163"/>
      <c r="E662" s="164"/>
      <c r="L662" s="157"/>
    </row>
    <row r="663" ht="15.75" customHeight="1">
      <c r="D663" s="163"/>
      <c r="E663" s="164"/>
      <c r="L663" s="157"/>
    </row>
    <row r="664" ht="15.75" customHeight="1">
      <c r="D664" s="163"/>
      <c r="E664" s="164"/>
      <c r="L664" s="157"/>
    </row>
    <row r="665" ht="15.75" customHeight="1">
      <c r="D665" s="163"/>
      <c r="E665" s="164"/>
      <c r="L665" s="157"/>
    </row>
    <row r="666" ht="15.75" customHeight="1">
      <c r="D666" s="163"/>
      <c r="E666" s="164"/>
      <c r="L666" s="157"/>
    </row>
    <row r="667" ht="15.75" customHeight="1">
      <c r="D667" s="163"/>
      <c r="E667" s="164"/>
      <c r="L667" s="157"/>
    </row>
    <row r="668" ht="15.75" customHeight="1">
      <c r="D668" s="163"/>
      <c r="E668" s="164"/>
      <c r="L668" s="157"/>
    </row>
    <row r="669" ht="15.75" customHeight="1">
      <c r="D669" s="163"/>
      <c r="E669" s="164"/>
      <c r="L669" s="157"/>
    </row>
    <row r="670" ht="15.75" customHeight="1">
      <c r="D670" s="163"/>
      <c r="E670" s="164"/>
      <c r="L670" s="157"/>
    </row>
    <row r="671" ht="15.75" customHeight="1">
      <c r="D671" s="163"/>
      <c r="E671" s="164"/>
      <c r="L671" s="157"/>
    </row>
    <row r="672" ht="15.75" customHeight="1">
      <c r="D672" s="163"/>
      <c r="E672" s="164"/>
      <c r="L672" s="157"/>
    </row>
    <row r="673" ht="15.75" customHeight="1">
      <c r="D673" s="163"/>
      <c r="E673" s="164"/>
      <c r="L673" s="157"/>
    </row>
    <row r="674" ht="15.75" customHeight="1">
      <c r="D674" s="163"/>
      <c r="E674" s="164"/>
      <c r="L674" s="157"/>
    </row>
    <row r="675" ht="15.75" customHeight="1">
      <c r="D675" s="163"/>
      <c r="E675" s="164"/>
      <c r="L675" s="157"/>
    </row>
    <row r="676" ht="15.75" customHeight="1">
      <c r="D676" s="163"/>
      <c r="E676" s="164"/>
      <c r="L676" s="157"/>
    </row>
    <row r="677" ht="15.75" customHeight="1">
      <c r="D677" s="163"/>
      <c r="E677" s="164"/>
      <c r="L677" s="157"/>
    </row>
    <row r="678" ht="15.75" customHeight="1">
      <c r="D678" s="163"/>
      <c r="E678" s="164"/>
      <c r="L678" s="157"/>
    </row>
    <row r="679" ht="15.75" customHeight="1">
      <c r="D679" s="163"/>
      <c r="E679" s="164"/>
      <c r="L679" s="157"/>
    </row>
    <row r="680" ht="15.75" customHeight="1">
      <c r="D680" s="163"/>
      <c r="E680" s="164"/>
      <c r="L680" s="157"/>
    </row>
    <row r="681" ht="15.75" customHeight="1">
      <c r="D681" s="163"/>
      <c r="E681" s="164"/>
      <c r="L681" s="157"/>
    </row>
    <row r="682" ht="15.75" customHeight="1">
      <c r="D682" s="163"/>
      <c r="E682" s="164"/>
      <c r="L682" s="157"/>
    </row>
    <row r="683" ht="15.75" customHeight="1">
      <c r="D683" s="163"/>
      <c r="E683" s="164"/>
      <c r="L683" s="157"/>
    </row>
    <row r="684" ht="15.75" customHeight="1">
      <c r="D684" s="163"/>
      <c r="E684" s="164"/>
      <c r="L684" s="157"/>
    </row>
    <row r="685" ht="15.75" customHeight="1">
      <c r="D685" s="163"/>
      <c r="E685" s="164"/>
      <c r="L685" s="157"/>
    </row>
    <row r="686" ht="15.75" customHeight="1">
      <c r="D686" s="163"/>
      <c r="E686" s="164"/>
      <c r="L686" s="157"/>
    </row>
    <row r="687" ht="15.75" customHeight="1">
      <c r="D687" s="163"/>
      <c r="E687" s="164"/>
      <c r="L687" s="157"/>
    </row>
    <row r="688" ht="15.75" customHeight="1">
      <c r="D688" s="163"/>
      <c r="E688" s="164"/>
      <c r="L688" s="157"/>
    </row>
    <row r="689" ht="15.75" customHeight="1">
      <c r="D689" s="163"/>
      <c r="E689" s="164"/>
      <c r="L689" s="157"/>
    </row>
    <row r="690" ht="15.75" customHeight="1">
      <c r="D690" s="163"/>
      <c r="E690" s="164"/>
      <c r="L690" s="157"/>
    </row>
    <row r="691" ht="15.75" customHeight="1">
      <c r="D691" s="163"/>
      <c r="E691" s="164"/>
      <c r="L691" s="157"/>
    </row>
    <row r="692" ht="15.75" customHeight="1">
      <c r="D692" s="163"/>
      <c r="E692" s="164"/>
      <c r="L692" s="157"/>
    </row>
    <row r="693" ht="15.75" customHeight="1">
      <c r="D693" s="163"/>
      <c r="E693" s="164"/>
      <c r="L693" s="157"/>
    </row>
    <row r="694" ht="15.75" customHeight="1">
      <c r="D694" s="163"/>
      <c r="E694" s="164"/>
      <c r="L694" s="157"/>
    </row>
    <row r="695" ht="15.75" customHeight="1">
      <c r="D695" s="163"/>
      <c r="E695" s="164"/>
      <c r="L695" s="157"/>
    </row>
    <row r="696" ht="15.75" customHeight="1">
      <c r="D696" s="163"/>
      <c r="E696" s="164"/>
      <c r="L696" s="157"/>
    </row>
    <row r="697" ht="15.75" customHeight="1">
      <c r="D697" s="163"/>
      <c r="E697" s="164"/>
      <c r="L697" s="157"/>
    </row>
    <row r="698" ht="15.75" customHeight="1">
      <c r="D698" s="163"/>
      <c r="E698" s="164"/>
      <c r="L698" s="157"/>
    </row>
    <row r="699" ht="15.75" customHeight="1">
      <c r="D699" s="163"/>
      <c r="E699" s="164"/>
      <c r="L699" s="157"/>
    </row>
    <row r="700" ht="15.75" customHeight="1">
      <c r="D700" s="163"/>
      <c r="E700" s="164"/>
      <c r="L700" s="157"/>
    </row>
    <row r="701" ht="15.75" customHeight="1">
      <c r="D701" s="163"/>
      <c r="E701" s="164"/>
      <c r="L701" s="157"/>
    </row>
    <row r="702" ht="15.75" customHeight="1">
      <c r="D702" s="163"/>
      <c r="E702" s="164"/>
      <c r="L702" s="157"/>
    </row>
    <row r="703" ht="15.75" customHeight="1">
      <c r="D703" s="163"/>
      <c r="E703" s="164"/>
      <c r="L703" s="157"/>
    </row>
    <row r="704" ht="15.75" customHeight="1">
      <c r="D704" s="163"/>
      <c r="E704" s="164"/>
      <c r="L704" s="157"/>
    </row>
    <row r="705" ht="15.75" customHeight="1">
      <c r="D705" s="163"/>
      <c r="E705" s="164"/>
      <c r="L705" s="157"/>
    </row>
    <row r="706" ht="15.75" customHeight="1">
      <c r="D706" s="163"/>
      <c r="E706" s="164"/>
      <c r="L706" s="157"/>
    </row>
    <row r="707" ht="15.75" customHeight="1">
      <c r="D707" s="163"/>
      <c r="E707" s="164"/>
      <c r="L707" s="157"/>
    </row>
    <row r="708" ht="15.75" customHeight="1">
      <c r="D708" s="163"/>
      <c r="E708" s="164"/>
      <c r="L708" s="157"/>
    </row>
    <row r="709" ht="15.75" customHeight="1">
      <c r="D709" s="163"/>
      <c r="E709" s="164"/>
      <c r="L709" s="157"/>
    </row>
    <row r="710" ht="15.75" customHeight="1">
      <c r="D710" s="163"/>
      <c r="E710" s="164"/>
      <c r="L710" s="157"/>
    </row>
    <row r="711" ht="15.75" customHeight="1">
      <c r="D711" s="163"/>
      <c r="E711" s="164"/>
      <c r="L711" s="157"/>
    </row>
    <row r="712" ht="15.75" customHeight="1">
      <c r="D712" s="163"/>
      <c r="E712" s="164"/>
      <c r="L712" s="157"/>
    </row>
    <row r="713" ht="15.75" customHeight="1">
      <c r="D713" s="163"/>
      <c r="E713" s="164"/>
      <c r="L713" s="157"/>
    </row>
    <row r="714" ht="15.75" customHeight="1">
      <c r="D714" s="163"/>
      <c r="E714" s="164"/>
      <c r="L714" s="157"/>
    </row>
    <row r="715" ht="15.75" customHeight="1">
      <c r="D715" s="163"/>
      <c r="E715" s="164"/>
      <c r="L715" s="157"/>
    </row>
    <row r="716" ht="15.75" customHeight="1">
      <c r="D716" s="163"/>
      <c r="E716" s="164"/>
      <c r="L716" s="157"/>
    </row>
    <row r="717" ht="15.75" customHeight="1">
      <c r="D717" s="163"/>
      <c r="E717" s="164"/>
      <c r="L717" s="157"/>
    </row>
    <row r="718" ht="15.75" customHeight="1">
      <c r="D718" s="163"/>
      <c r="E718" s="164"/>
      <c r="L718" s="157"/>
    </row>
    <row r="719" ht="15.75" customHeight="1">
      <c r="D719" s="163"/>
      <c r="E719" s="164"/>
      <c r="L719" s="157"/>
    </row>
    <row r="720" ht="15.75" customHeight="1">
      <c r="D720" s="163"/>
      <c r="E720" s="164"/>
      <c r="L720" s="157"/>
    </row>
    <row r="721" ht="15.75" customHeight="1">
      <c r="D721" s="163"/>
      <c r="E721" s="164"/>
      <c r="L721" s="157"/>
    </row>
    <row r="722" ht="15.75" customHeight="1">
      <c r="D722" s="163"/>
      <c r="E722" s="164"/>
      <c r="L722" s="157"/>
    </row>
    <row r="723" ht="15.75" customHeight="1">
      <c r="D723" s="163"/>
      <c r="E723" s="164"/>
      <c r="L723" s="157"/>
    </row>
    <row r="724" ht="15.75" customHeight="1">
      <c r="D724" s="163"/>
      <c r="E724" s="164"/>
      <c r="L724" s="157"/>
    </row>
    <row r="725" ht="15.75" customHeight="1">
      <c r="D725" s="163"/>
      <c r="E725" s="164"/>
      <c r="L725" s="157"/>
    </row>
    <row r="726" ht="15.75" customHeight="1">
      <c r="D726" s="163"/>
      <c r="E726" s="164"/>
      <c r="L726" s="157"/>
    </row>
    <row r="727" ht="15.75" customHeight="1">
      <c r="D727" s="163"/>
      <c r="E727" s="164"/>
      <c r="L727" s="157"/>
    </row>
    <row r="728" ht="15.75" customHeight="1">
      <c r="D728" s="163"/>
      <c r="E728" s="164"/>
      <c r="L728" s="157"/>
    </row>
    <row r="729" ht="15.75" customHeight="1">
      <c r="D729" s="163"/>
      <c r="E729" s="164"/>
      <c r="L729" s="157"/>
    </row>
    <row r="730" ht="15.75" customHeight="1">
      <c r="D730" s="163"/>
      <c r="E730" s="164"/>
      <c r="L730" s="157"/>
    </row>
    <row r="731" ht="15.75" customHeight="1">
      <c r="D731" s="163"/>
      <c r="E731" s="164"/>
      <c r="L731" s="157"/>
    </row>
    <row r="732" ht="15.75" customHeight="1">
      <c r="D732" s="163"/>
      <c r="E732" s="164"/>
      <c r="L732" s="157"/>
    </row>
    <row r="733" ht="15.75" customHeight="1">
      <c r="D733" s="163"/>
      <c r="E733" s="164"/>
      <c r="L733" s="157"/>
    </row>
    <row r="734" ht="15.75" customHeight="1">
      <c r="D734" s="163"/>
      <c r="E734" s="164"/>
      <c r="L734" s="157"/>
    </row>
    <row r="735" ht="15.75" customHeight="1">
      <c r="D735" s="163"/>
      <c r="E735" s="164"/>
      <c r="L735" s="157"/>
    </row>
    <row r="736" ht="15.75" customHeight="1">
      <c r="D736" s="163"/>
      <c r="E736" s="164"/>
      <c r="L736" s="157"/>
    </row>
    <row r="737" ht="15.75" customHeight="1">
      <c r="D737" s="163"/>
      <c r="E737" s="164"/>
      <c r="L737" s="157"/>
    </row>
    <row r="738" ht="15.75" customHeight="1">
      <c r="D738" s="163"/>
      <c r="E738" s="164"/>
      <c r="L738" s="157"/>
    </row>
    <row r="739" ht="15.75" customHeight="1">
      <c r="D739" s="163"/>
      <c r="E739" s="164"/>
      <c r="L739" s="157"/>
    </row>
    <row r="740" ht="15.75" customHeight="1">
      <c r="D740" s="163"/>
      <c r="E740" s="164"/>
      <c r="L740" s="157"/>
    </row>
    <row r="741" ht="15.75" customHeight="1">
      <c r="D741" s="163"/>
      <c r="E741" s="164"/>
      <c r="L741" s="157"/>
    </row>
    <row r="742" ht="15.75" customHeight="1">
      <c r="D742" s="163"/>
      <c r="E742" s="164"/>
      <c r="L742" s="157"/>
    </row>
    <row r="743" ht="15.75" customHeight="1">
      <c r="D743" s="163"/>
      <c r="E743" s="164"/>
      <c r="L743" s="157"/>
    </row>
    <row r="744" ht="15.75" customHeight="1">
      <c r="D744" s="163"/>
      <c r="E744" s="164"/>
      <c r="L744" s="157"/>
    </row>
    <row r="745" ht="15.75" customHeight="1">
      <c r="D745" s="163"/>
      <c r="E745" s="164"/>
      <c r="L745" s="157"/>
    </row>
    <row r="746" ht="15.75" customHeight="1">
      <c r="D746" s="163"/>
      <c r="E746" s="164"/>
      <c r="L746" s="157"/>
    </row>
    <row r="747" ht="15.75" customHeight="1">
      <c r="D747" s="163"/>
      <c r="E747" s="164"/>
      <c r="L747" s="157"/>
    </row>
    <row r="748" ht="15.75" customHeight="1">
      <c r="D748" s="163"/>
      <c r="E748" s="164"/>
      <c r="L748" s="157"/>
    </row>
    <row r="749" ht="15.75" customHeight="1">
      <c r="D749" s="163"/>
      <c r="E749" s="164"/>
      <c r="L749" s="157"/>
    </row>
    <row r="750" ht="15.75" customHeight="1">
      <c r="D750" s="163"/>
      <c r="E750" s="164"/>
      <c r="L750" s="157"/>
    </row>
    <row r="751" ht="15.75" customHeight="1">
      <c r="D751" s="163"/>
      <c r="E751" s="164"/>
      <c r="L751" s="157"/>
    </row>
    <row r="752" ht="15.75" customHeight="1">
      <c r="D752" s="163"/>
      <c r="E752" s="164"/>
      <c r="L752" s="157"/>
    </row>
    <row r="753" ht="15.75" customHeight="1">
      <c r="D753" s="163"/>
      <c r="E753" s="164"/>
      <c r="L753" s="157"/>
    </row>
    <row r="754" ht="15.75" customHeight="1">
      <c r="D754" s="163"/>
      <c r="E754" s="164"/>
      <c r="L754" s="157"/>
    </row>
    <row r="755" ht="15.75" customHeight="1">
      <c r="D755" s="163"/>
      <c r="E755" s="164"/>
      <c r="L755" s="157"/>
    </row>
    <row r="756" ht="15.75" customHeight="1">
      <c r="D756" s="163"/>
      <c r="E756" s="164"/>
      <c r="L756" s="157"/>
    </row>
    <row r="757" ht="15.75" customHeight="1">
      <c r="D757" s="163"/>
      <c r="E757" s="164"/>
      <c r="L757" s="157"/>
    </row>
    <row r="758" ht="15.75" customHeight="1">
      <c r="D758" s="163"/>
      <c r="E758" s="164"/>
      <c r="L758" s="157"/>
    </row>
    <row r="759" ht="15.75" customHeight="1">
      <c r="D759" s="163"/>
      <c r="E759" s="164"/>
      <c r="L759" s="157"/>
    </row>
    <row r="760" ht="15.75" customHeight="1">
      <c r="D760" s="163"/>
      <c r="E760" s="164"/>
      <c r="L760" s="157"/>
    </row>
    <row r="761" ht="15.75" customHeight="1">
      <c r="D761" s="163"/>
      <c r="E761" s="164"/>
      <c r="L761" s="157"/>
    </row>
    <row r="762" ht="15.75" customHeight="1">
      <c r="D762" s="163"/>
      <c r="E762" s="164"/>
      <c r="L762" s="157"/>
    </row>
    <row r="763" ht="15.75" customHeight="1">
      <c r="D763" s="163"/>
      <c r="E763" s="164"/>
      <c r="L763" s="157"/>
    </row>
    <row r="764" ht="15.75" customHeight="1">
      <c r="D764" s="163"/>
      <c r="E764" s="164"/>
      <c r="L764" s="157"/>
    </row>
    <row r="765" ht="15.75" customHeight="1">
      <c r="D765" s="163"/>
      <c r="E765" s="164"/>
      <c r="L765" s="157"/>
    </row>
    <row r="766" ht="15.75" customHeight="1">
      <c r="D766" s="163"/>
      <c r="E766" s="164"/>
      <c r="L766" s="157"/>
    </row>
    <row r="767" ht="15.75" customHeight="1">
      <c r="D767" s="163"/>
      <c r="E767" s="164"/>
      <c r="L767" s="157"/>
    </row>
    <row r="768" ht="15.75" customHeight="1">
      <c r="D768" s="163"/>
      <c r="E768" s="164"/>
      <c r="L768" s="157"/>
    </row>
    <row r="769" ht="15.75" customHeight="1">
      <c r="D769" s="163"/>
      <c r="E769" s="164"/>
      <c r="L769" s="157"/>
    </row>
    <row r="770" ht="15.75" customHeight="1">
      <c r="D770" s="163"/>
      <c r="E770" s="164"/>
      <c r="L770" s="157"/>
    </row>
    <row r="771" ht="15.75" customHeight="1">
      <c r="D771" s="163"/>
      <c r="E771" s="164"/>
      <c r="L771" s="157"/>
    </row>
    <row r="772" ht="15.75" customHeight="1">
      <c r="D772" s="163"/>
      <c r="E772" s="164"/>
      <c r="L772" s="157"/>
    </row>
    <row r="773" ht="15.75" customHeight="1">
      <c r="D773" s="163"/>
      <c r="E773" s="164"/>
      <c r="L773" s="157"/>
    </row>
    <row r="774" ht="15.75" customHeight="1">
      <c r="D774" s="163"/>
      <c r="E774" s="164"/>
      <c r="L774" s="157"/>
    </row>
    <row r="775" ht="15.75" customHeight="1">
      <c r="D775" s="163"/>
      <c r="E775" s="164"/>
      <c r="L775" s="157"/>
    </row>
    <row r="776" ht="15.75" customHeight="1">
      <c r="D776" s="163"/>
      <c r="E776" s="164"/>
      <c r="L776" s="157"/>
    </row>
    <row r="777" ht="15.75" customHeight="1">
      <c r="D777" s="163"/>
      <c r="E777" s="164"/>
      <c r="L777" s="157"/>
    </row>
    <row r="778" ht="15.75" customHeight="1">
      <c r="D778" s="163"/>
      <c r="E778" s="164"/>
      <c r="L778" s="157"/>
    </row>
    <row r="779" ht="15.75" customHeight="1">
      <c r="D779" s="163"/>
      <c r="E779" s="164"/>
      <c r="L779" s="157"/>
    </row>
    <row r="780" ht="15.75" customHeight="1">
      <c r="D780" s="163"/>
      <c r="E780" s="164"/>
      <c r="L780" s="157"/>
    </row>
    <row r="781" ht="15.75" customHeight="1">
      <c r="D781" s="163"/>
      <c r="E781" s="164"/>
      <c r="L781" s="157"/>
    </row>
    <row r="782" ht="15.75" customHeight="1">
      <c r="D782" s="163"/>
      <c r="E782" s="164"/>
      <c r="L782" s="157"/>
    </row>
    <row r="783" ht="15.75" customHeight="1">
      <c r="D783" s="163"/>
      <c r="E783" s="164"/>
      <c r="L783" s="157"/>
    </row>
    <row r="784" ht="15.75" customHeight="1">
      <c r="D784" s="163"/>
      <c r="E784" s="164"/>
      <c r="L784" s="157"/>
    </row>
    <row r="785" ht="15.75" customHeight="1">
      <c r="D785" s="163"/>
      <c r="E785" s="164"/>
      <c r="L785" s="157"/>
    </row>
    <row r="786" ht="15.75" customHeight="1">
      <c r="D786" s="163"/>
      <c r="E786" s="164"/>
      <c r="L786" s="157"/>
    </row>
    <row r="787" ht="15.75" customHeight="1">
      <c r="D787" s="163"/>
      <c r="E787" s="164"/>
      <c r="L787" s="157"/>
    </row>
    <row r="788" ht="15.75" customHeight="1">
      <c r="D788" s="163"/>
      <c r="E788" s="164"/>
      <c r="L788" s="157"/>
    </row>
    <row r="789" ht="15.75" customHeight="1">
      <c r="D789" s="163"/>
      <c r="E789" s="164"/>
      <c r="L789" s="157"/>
    </row>
    <row r="790" ht="15.75" customHeight="1">
      <c r="D790" s="163"/>
      <c r="E790" s="164"/>
      <c r="L790" s="157"/>
    </row>
    <row r="791" ht="15.75" customHeight="1">
      <c r="D791" s="163"/>
      <c r="E791" s="164"/>
      <c r="L791" s="157"/>
    </row>
    <row r="792" ht="15.75" customHeight="1">
      <c r="D792" s="163"/>
      <c r="E792" s="164"/>
      <c r="L792" s="157"/>
    </row>
    <row r="793" ht="15.75" customHeight="1">
      <c r="D793" s="163"/>
      <c r="E793" s="164"/>
      <c r="L793" s="157"/>
    </row>
    <row r="794" ht="15.75" customHeight="1">
      <c r="D794" s="163"/>
      <c r="E794" s="164"/>
      <c r="L794" s="157"/>
    </row>
    <row r="795" ht="15.75" customHeight="1">
      <c r="D795" s="163"/>
      <c r="E795" s="164"/>
      <c r="L795" s="157"/>
    </row>
    <row r="796" ht="15.75" customHeight="1">
      <c r="D796" s="163"/>
      <c r="E796" s="164"/>
      <c r="L796" s="157"/>
    </row>
    <row r="797" ht="15.75" customHeight="1">
      <c r="D797" s="163"/>
      <c r="E797" s="164"/>
      <c r="L797" s="157"/>
    </row>
    <row r="798" ht="15.75" customHeight="1">
      <c r="D798" s="163"/>
      <c r="E798" s="164"/>
      <c r="L798" s="157"/>
    </row>
    <row r="799" ht="15.75" customHeight="1">
      <c r="D799" s="163"/>
      <c r="E799" s="164"/>
      <c r="L799" s="157"/>
    </row>
    <row r="800" ht="15.75" customHeight="1">
      <c r="D800" s="163"/>
      <c r="E800" s="164"/>
      <c r="L800" s="157"/>
    </row>
    <row r="801" ht="15.75" customHeight="1">
      <c r="D801" s="163"/>
      <c r="E801" s="164"/>
      <c r="L801" s="157"/>
    </row>
    <row r="802" ht="15.75" customHeight="1">
      <c r="D802" s="163"/>
      <c r="E802" s="164"/>
      <c r="L802" s="157"/>
    </row>
    <row r="803" ht="15.75" customHeight="1">
      <c r="D803" s="163"/>
      <c r="E803" s="164"/>
      <c r="L803" s="157"/>
    </row>
    <row r="804" ht="15.75" customHeight="1">
      <c r="D804" s="163"/>
      <c r="E804" s="164"/>
      <c r="L804" s="157"/>
    </row>
    <row r="805" ht="15.75" customHeight="1">
      <c r="D805" s="163"/>
      <c r="E805" s="164"/>
      <c r="L805" s="157"/>
    </row>
    <row r="806" ht="15.75" customHeight="1">
      <c r="D806" s="163"/>
      <c r="E806" s="164"/>
      <c r="L806" s="157"/>
    </row>
    <row r="807" ht="15.75" customHeight="1">
      <c r="D807" s="163"/>
      <c r="E807" s="164"/>
      <c r="L807" s="157"/>
    </row>
    <row r="808" ht="15.75" customHeight="1">
      <c r="D808" s="163"/>
      <c r="E808" s="164"/>
      <c r="L808" s="157"/>
    </row>
    <row r="809" ht="15.75" customHeight="1">
      <c r="D809" s="163"/>
      <c r="E809" s="164"/>
      <c r="L809" s="157"/>
    </row>
    <row r="810" ht="15.75" customHeight="1">
      <c r="D810" s="163"/>
      <c r="E810" s="164"/>
      <c r="L810" s="157"/>
    </row>
    <row r="811" ht="15.75" customHeight="1">
      <c r="D811" s="163"/>
      <c r="E811" s="164"/>
      <c r="L811" s="157"/>
    </row>
    <row r="812" ht="15.75" customHeight="1">
      <c r="D812" s="163"/>
      <c r="E812" s="164"/>
      <c r="L812" s="157"/>
    </row>
    <row r="813" ht="15.75" customHeight="1">
      <c r="D813" s="163"/>
      <c r="E813" s="164"/>
      <c r="L813" s="157"/>
    </row>
    <row r="814" ht="15.75" customHeight="1">
      <c r="D814" s="163"/>
      <c r="E814" s="164"/>
      <c r="L814" s="157"/>
    </row>
    <row r="815" ht="15.75" customHeight="1">
      <c r="D815" s="163"/>
      <c r="E815" s="164"/>
      <c r="L815" s="157"/>
    </row>
    <row r="816" ht="15.75" customHeight="1">
      <c r="D816" s="163"/>
      <c r="E816" s="164"/>
      <c r="L816" s="157"/>
    </row>
    <row r="817" ht="15.75" customHeight="1">
      <c r="D817" s="163"/>
      <c r="E817" s="164"/>
      <c r="L817" s="157"/>
    </row>
    <row r="818" ht="15.75" customHeight="1">
      <c r="D818" s="163"/>
      <c r="E818" s="164"/>
      <c r="L818" s="157"/>
    </row>
    <row r="819" ht="15.75" customHeight="1">
      <c r="D819" s="163"/>
      <c r="E819" s="164"/>
      <c r="L819" s="157"/>
    </row>
    <row r="820" ht="15.75" customHeight="1">
      <c r="D820" s="163"/>
      <c r="E820" s="164"/>
      <c r="L820" s="157"/>
    </row>
    <row r="821" ht="15.75" customHeight="1">
      <c r="D821" s="163"/>
      <c r="E821" s="164"/>
      <c r="L821" s="157"/>
    </row>
    <row r="822" ht="15.75" customHeight="1">
      <c r="D822" s="163"/>
      <c r="E822" s="164"/>
      <c r="L822" s="157"/>
    </row>
    <row r="823" ht="15.75" customHeight="1">
      <c r="D823" s="163"/>
      <c r="E823" s="164"/>
      <c r="L823" s="157"/>
    </row>
    <row r="824" ht="15.75" customHeight="1">
      <c r="D824" s="163"/>
      <c r="E824" s="164"/>
      <c r="L824" s="157"/>
    </row>
    <row r="825" ht="15.75" customHeight="1">
      <c r="D825" s="163"/>
      <c r="E825" s="164"/>
      <c r="L825" s="157"/>
    </row>
    <row r="826" ht="15.75" customHeight="1">
      <c r="D826" s="163"/>
      <c r="E826" s="164"/>
      <c r="L826" s="157"/>
    </row>
    <row r="827" ht="15.75" customHeight="1">
      <c r="D827" s="163"/>
      <c r="E827" s="164"/>
      <c r="L827" s="157"/>
    </row>
    <row r="828" ht="15.75" customHeight="1">
      <c r="D828" s="163"/>
      <c r="E828" s="164"/>
      <c r="L828" s="157"/>
    </row>
    <row r="829" ht="15.75" customHeight="1">
      <c r="D829" s="163"/>
      <c r="E829" s="164"/>
      <c r="L829" s="157"/>
    </row>
    <row r="830" ht="15.75" customHeight="1">
      <c r="D830" s="163"/>
      <c r="E830" s="164"/>
      <c r="L830" s="157"/>
    </row>
    <row r="831" ht="15.75" customHeight="1">
      <c r="D831" s="163"/>
      <c r="E831" s="164"/>
      <c r="L831" s="157"/>
    </row>
    <row r="832" ht="15.75" customHeight="1">
      <c r="D832" s="163"/>
      <c r="E832" s="164"/>
      <c r="L832" s="157"/>
    </row>
    <row r="833" ht="15.75" customHeight="1">
      <c r="D833" s="163"/>
      <c r="E833" s="164"/>
      <c r="L833" s="157"/>
    </row>
    <row r="834" ht="15.75" customHeight="1">
      <c r="D834" s="163"/>
      <c r="E834" s="164"/>
      <c r="L834" s="157"/>
    </row>
    <row r="835" ht="15.75" customHeight="1">
      <c r="D835" s="163"/>
      <c r="E835" s="164"/>
      <c r="L835" s="157"/>
    </row>
    <row r="836" ht="15.75" customHeight="1">
      <c r="D836" s="163"/>
      <c r="E836" s="164"/>
      <c r="L836" s="157"/>
    </row>
    <row r="837" ht="15.75" customHeight="1">
      <c r="D837" s="163"/>
      <c r="E837" s="164"/>
      <c r="L837" s="157"/>
    </row>
    <row r="838" ht="15.75" customHeight="1">
      <c r="D838" s="163"/>
      <c r="E838" s="164"/>
      <c r="L838" s="157"/>
    </row>
    <row r="839" ht="15.75" customHeight="1">
      <c r="D839" s="163"/>
      <c r="E839" s="164"/>
      <c r="L839" s="157"/>
    </row>
    <row r="840" ht="15.75" customHeight="1">
      <c r="D840" s="163"/>
      <c r="E840" s="164"/>
      <c r="L840" s="157"/>
    </row>
    <row r="841" ht="15.75" customHeight="1">
      <c r="D841" s="163"/>
      <c r="E841" s="164"/>
      <c r="L841" s="157"/>
    </row>
    <row r="842" ht="15.75" customHeight="1">
      <c r="D842" s="163"/>
      <c r="E842" s="164"/>
      <c r="L842" s="157"/>
    </row>
    <row r="843" ht="15.75" customHeight="1">
      <c r="D843" s="163"/>
      <c r="E843" s="164"/>
      <c r="L843" s="157"/>
    </row>
    <row r="844" ht="15.75" customHeight="1">
      <c r="D844" s="163"/>
      <c r="E844" s="164"/>
      <c r="L844" s="157"/>
    </row>
    <row r="845" ht="15.75" customHeight="1">
      <c r="D845" s="163"/>
      <c r="E845" s="164"/>
      <c r="L845" s="157"/>
    </row>
    <row r="846" ht="15.75" customHeight="1">
      <c r="D846" s="163"/>
      <c r="E846" s="164"/>
      <c r="L846" s="157"/>
    </row>
    <row r="847" ht="15.75" customHeight="1">
      <c r="D847" s="163"/>
      <c r="E847" s="164"/>
      <c r="L847" s="157"/>
    </row>
    <row r="848" ht="15.75" customHeight="1">
      <c r="D848" s="163"/>
      <c r="E848" s="164"/>
      <c r="L848" s="157"/>
    </row>
    <row r="849" ht="15.75" customHeight="1">
      <c r="D849" s="163"/>
      <c r="E849" s="164"/>
      <c r="L849" s="157"/>
    </row>
    <row r="850" ht="15.75" customHeight="1">
      <c r="D850" s="163"/>
      <c r="E850" s="164"/>
      <c r="L850" s="157"/>
    </row>
    <row r="851" ht="15.75" customHeight="1">
      <c r="D851" s="163"/>
      <c r="E851" s="164"/>
      <c r="L851" s="157"/>
    </row>
    <row r="852" ht="15.75" customHeight="1">
      <c r="D852" s="163"/>
      <c r="E852" s="164"/>
      <c r="L852" s="157"/>
    </row>
    <row r="853" ht="15.75" customHeight="1">
      <c r="D853" s="163"/>
      <c r="E853" s="164"/>
      <c r="L853" s="157"/>
    </row>
    <row r="854" ht="15.75" customHeight="1">
      <c r="D854" s="163"/>
      <c r="E854" s="164"/>
      <c r="L854" s="157"/>
    </row>
    <row r="855" ht="15.75" customHeight="1">
      <c r="D855" s="163"/>
      <c r="E855" s="164"/>
      <c r="L855" s="157"/>
    </row>
    <row r="856" ht="15.75" customHeight="1">
      <c r="D856" s="163"/>
      <c r="E856" s="164"/>
      <c r="L856" s="157"/>
    </row>
    <row r="857" ht="15.75" customHeight="1">
      <c r="D857" s="163"/>
      <c r="E857" s="164"/>
      <c r="L857" s="157"/>
    </row>
    <row r="858" ht="15.75" customHeight="1">
      <c r="D858" s="163"/>
      <c r="E858" s="164"/>
      <c r="L858" s="157"/>
    </row>
    <row r="859" ht="15.75" customHeight="1">
      <c r="D859" s="163"/>
      <c r="E859" s="164"/>
      <c r="L859" s="157"/>
    </row>
    <row r="860" ht="15.75" customHeight="1">
      <c r="D860" s="163"/>
      <c r="E860" s="164"/>
      <c r="L860" s="157"/>
    </row>
    <row r="861" ht="15.75" customHeight="1">
      <c r="D861" s="163"/>
      <c r="E861" s="164"/>
      <c r="L861" s="157"/>
    </row>
    <row r="862" ht="15.75" customHeight="1">
      <c r="D862" s="163"/>
      <c r="E862" s="164"/>
      <c r="L862" s="157"/>
    </row>
    <row r="863" ht="15.75" customHeight="1">
      <c r="D863" s="163"/>
      <c r="E863" s="164"/>
      <c r="L863" s="157"/>
    </row>
    <row r="864" ht="15.75" customHeight="1">
      <c r="D864" s="163"/>
      <c r="E864" s="164"/>
      <c r="L864" s="157"/>
    </row>
    <row r="865" ht="15.75" customHeight="1">
      <c r="D865" s="163"/>
      <c r="E865" s="164"/>
      <c r="L865" s="157"/>
    </row>
    <row r="866" ht="15.75" customHeight="1">
      <c r="D866" s="163"/>
      <c r="E866" s="164"/>
      <c r="L866" s="157"/>
    </row>
    <row r="867" ht="15.75" customHeight="1">
      <c r="D867" s="163"/>
      <c r="E867" s="164"/>
      <c r="L867" s="157"/>
    </row>
    <row r="868" ht="15.75" customHeight="1">
      <c r="D868" s="163"/>
      <c r="E868" s="164"/>
      <c r="L868" s="157"/>
    </row>
    <row r="869" ht="15.75" customHeight="1">
      <c r="D869" s="163"/>
      <c r="E869" s="164"/>
      <c r="L869" s="157"/>
    </row>
    <row r="870" ht="15.75" customHeight="1">
      <c r="D870" s="163"/>
      <c r="E870" s="164"/>
      <c r="L870" s="157"/>
    </row>
    <row r="871" ht="15.75" customHeight="1">
      <c r="D871" s="163"/>
      <c r="E871" s="164"/>
      <c r="L871" s="157"/>
    </row>
    <row r="872" ht="15.75" customHeight="1">
      <c r="D872" s="163"/>
      <c r="E872" s="164"/>
      <c r="L872" s="157"/>
    </row>
    <row r="873" ht="15.75" customHeight="1">
      <c r="D873" s="163"/>
      <c r="E873" s="164"/>
      <c r="L873" s="157"/>
    </row>
    <row r="874" ht="15.75" customHeight="1">
      <c r="D874" s="163"/>
      <c r="E874" s="164"/>
      <c r="L874" s="157"/>
    </row>
    <row r="875" ht="15.75" customHeight="1">
      <c r="D875" s="163"/>
      <c r="E875" s="164"/>
      <c r="L875" s="157"/>
    </row>
    <row r="876" ht="15.75" customHeight="1">
      <c r="D876" s="163"/>
      <c r="E876" s="164"/>
      <c r="L876" s="157"/>
    </row>
    <row r="877" ht="15.75" customHeight="1">
      <c r="D877" s="163"/>
      <c r="E877" s="164"/>
      <c r="L877" s="157"/>
    </row>
    <row r="878" ht="15.75" customHeight="1">
      <c r="D878" s="163"/>
      <c r="E878" s="164"/>
      <c r="L878" s="157"/>
    </row>
    <row r="879" ht="15.75" customHeight="1">
      <c r="D879" s="163"/>
      <c r="E879" s="164"/>
      <c r="L879" s="157"/>
    </row>
    <row r="880" ht="15.75" customHeight="1">
      <c r="D880" s="163"/>
      <c r="E880" s="164"/>
      <c r="L880" s="157"/>
    </row>
    <row r="881" ht="15.75" customHeight="1">
      <c r="D881" s="163"/>
      <c r="E881" s="164"/>
      <c r="L881" s="157"/>
    </row>
    <row r="882" ht="15.75" customHeight="1">
      <c r="D882" s="163"/>
      <c r="E882" s="164"/>
      <c r="L882" s="157"/>
    </row>
    <row r="883" ht="15.75" customHeight="1">
      <c r="D883" s="163"/>
      <c r="E883" s="164"/>
      <c r="L883" s="157"/>
    </row>
    <row r="884" ht="15.75" customHeight="1">
      <c r="D884" s="163"/>
      <c r="E884" s="164"/>
      <c r="L884" s="157"/>
    </row>
    <row r="885" ht="15.75" customHeight="1">
      <c r="D885" s="163"/>
      <c r="E885" s="164"/>
      <c r="L885" s="157"/>
    </row>
    <row r="886" ht="15.75" customHeight="1">
      <c r="D886" s="163"/>
      <c r="E886" s="164"/>
      <c r="L886" s="157"/>
    </row>
    <row r="887" ht="15.75" customHeight="1">
      <c r="D887" s="163"/>
      <c r="E887" s="164"/>
      <c r="L887" s="157"/>
    </row>
    <row r="888" ht="15.75" customHeight="1">
      <c r="D888" s="163"/>
      <c r="E888" s="164"/>
      <c r="L888" s="157"/>
    </row>
    <row r="889" ht="15.75" customHeight="1">
      <c r="D889" s="163"/>
      <c r="E889" s="164"/>
      <c r="L889" s="157"/>
    </row>
    <row r="890" ht="15.75" customHeight="1">
      <c r="D890" s="163"/>
      <c r="E890" s="164"/>
      <c r="L890" s="157"/>
    </row>
    <row r="891" ht="15.75" customHeight="1">
      <c r="D891" s="163"/>
      <c r="E891" s="164"/>
      <c r="L891" s="157"/>
    </row>
    <row r="892" ht="15.75" customHeight="1">
      <c r="D892" s="163"/>
      <c r="E892" s="164"/>
      <c r="L892" s="157"/>
    </row>
    <row r="893" ht="15.75" customHeight="1">
      <c r="D893" s="163"/>
      <c r="E893" s="164"/>
      <c r="L893" s="157"/>
    </row>
    <row r="894" ht="15.75" customHeight="1">
      <c r="D894" s="163"/>
      <c r="E894" s="164"/>
      <c r="L894" s="157"/>
    </row>
    <row r="895" ht="15.75" customHeight="1">
      <c r="D895" s="163"/>
      <c r="E895" s="164"/>
      <c r="L895" s="157"/>
    </row>
    <row r="896" ht="15.75" customHeight="1">
      <c r="D896" s="163"/>
      <c r="E896" s="164"/>
      <c r="L896" s="157"/>
    </row>
    <row r="897" ht="15.75" customHeight="1">
      <c r="D897" s="163"/>
      <c r="E897" s="164"/>
      <c r="L897" s="157"/>
    </row>
    <row r="898" ht="15.75" customHeight="1">
      <c r="D898" s="163"/>
      <c r="E898" s="164"/>
      <c r="L898" s="157"/>
    </row>
    <row r="899" ht="15.75" customHeight="1">
      <c r="D899" s="163"/>
      <c r="E899" s="164"/>
      <c r="L899" s="157"/>
    </row>
    <row r="900" ht="15.75" customHeight="1">
      <c r="D900" s="163"/>
      <c r="E900" s="164"/>
      <c r="L900" s="157"/>
    </row>
    <row r="901" ht="15.75" customHeight="1">
      <c r="D901" s="163"/>
      <c r="E901" s="164"/>
      <c r="L901" s="157"/>
    </row>
    <row r="902" ht="15.75" customHeight="1">
      <c r="D902" s="163"/>
      <c r="E902" s="164"/>
      <c r="L902" s="157"/>
    </row>
    <row r="903" ht="15.75" customHeight="1">
      <c r="D903" s="163"/>
      <c r="E903" s="164"/>
      <c r="L903" s="157"/>
    </row>
    <row r="904" ht="15.75" customHeight="1">
      <c r="D904" s="163"/>
      <c r="E904" s="164"/>
      <c r="L904" s="157"/>
    </row>
    <row r="905" ht="15.75" customHeight="1">
      <c r="D905" s="163"/>
      <c r="E905" s="164"/>
      <c r="L905" s="157"/>
    </row>
    <row r="906" ht="15.75" customHeight="1">
      <c r="D906" s="163"/>
      <c r="E906" s="164"/>
      <c r="L906" s="157"/>
    </row>
    <row r="907" ht="15.75" customHeight="1">
      <c r="D907" s="163"/>
      <c r="E907" s="164"/>
      <c r="L907" s="157"/>
    </row>
    <row r="908" ht="15.75" customHeight="1">
      <c r="D908" s="163"/>
      <c r="E908" s="164"/>
      <c r="L908" s="157"/>
    </row>
    <row r="909" ht="15.75" customHeight="1">
      <c r="D909" s="163"/>
      <c r="E909" s="164"/>
      <c r="L909" s="157"/>
    </row>
    <row r="910" ht="15.75" customHeight="1">
      <c r="D910" s="163"/>
      <c r="E910" s="164"/>
      <c r="L910" s="157"/>
    </row>
    <row r="911" ht="15.75" customHeight="1">
      <c r="D911" s="163"/>
      <c r="E911" s="164"/>
      <c r="L911" s="157"/>
    </row>
    <row r="912" ht="15.75" customHeight="1">
      <c r="D912" s="163"/>
      <c r="E912" s="164"/>
      <c r="L912" s="157"/>
    </row>
    <row r="913" ht="15.75" customHeight="1">
      <c r="D913" s="163"/>
      <c r="E913" s="164"/>
      <c r="L913" s="157"/>
    </row>
    <row r="914" ht="15.75" customHeight="1">
      <c r="D914" s="163"/>
      <c r="E914" s="164"/>
      <c r="L914" s="157"/>
    </row>
    <row r="915" ht="15.75" customHeight="1">
      <c r="D915" s="163"/>
      <c r="E915" s="164"/>
      <c r="L915" s="157"/>
    </row>
    <row r="916" ht="15.75" customHeight="1">
      <c r="D916" s="163"/>
      <c r="E916" s="164"/>
      <c r="L916" s="157"/>
    </row>
    <row r="917" ht="15.75" customHeight="1">
      <c r="D917" s="163"/>
      <c r="E917" s="164"/>
      <c r="L917" s="157"/>
    </row>
    <row r="918" ht="15.75" customHeight="1">
      <c r="D918" s="163"/>
      <c r="E918" s="164"/>
      <c r="L918" s="157"/>
    </row>
    <row r="919" ht="15.75" customHeight="1">
      <c r="D919" s="163"/>
      <c r="E919" s="164"/>
      <c r="L919" s="157"/>
    </row>
    <row r="920" ht="15.75" customHeight="1">
      <c r="D920" s="163"/>
      <c r="E920" s="164"/>
      <c r="L920" s="157"/>
    </row>
    <row r="921" ht="15.75" customHeight="1">
      <c r="D921" s="163"/>
      <c r="E921" s="164"/>
      <c r="L921" s="157"/>
    </row>
    <row r="922" ht="15.75" customHeight="1">
      <c r="D922" s="163"/>
      <c r="E922" s="164"/>
      <c r="L922" s="157"/>
    </row>
    <row r="923" ht="15.75" customHeight="1">
      <c r="D923" s="163"/>
      <c r="E923" s="164"/>
      <c r="L923" s="157"/>
    </row>
    <row r="924" ht="15.75" customHeight="1">
      <c r="D924" s="163"/>
      <c r="E924" s="164"/>
      <c r="L924" s="157"/>
    </row>
    <row r="925" ht="15.75" customHeight="1">
      <c r="D925" s="163"/>
      <c r="E925" s="164"/>
      <c r="L925" s="157"/>
    </row>
    <row r="926" ht="15.75" customHeight="1">
      <c r="D926" s="163"/>
      <c r="E926" s="164"/>
      <c r="L926" s="157"/>
    </row>
    <row r="927" ht="15.75" customHeight="1">
      <c r="D927" s="163"/>
      <c r="E927" s="164"/>
      <c r="L927" s="157"/>
    </row>
    <row r="928" ht="15.75" customHeight="1">
      <c r="D928" s="163"/>
      <c r="E928" s="164"/>
      <c r="L928" s="157"/>
    </row>
    <row r="929" ht="15.75" customHeight="1">
      <c r="D929" s="163"/>
      <c r="E929" s="164"/>
      <c r="L929" s="157"/>
    </row>
    <row r="930" ht="15.75" customHeight="1">
      <c r="D930" s="163"/>
      <c r="E930" s="164"/>
      <c r="L930" s="157"/>
    </row>
    <row r="931" ht="15.75" customHeight="1">
      <c r="D931" s="163"/>
      <c r="E931" s="164"/>
      <c r="L931" s="157"/>
    </row>
    <row r="932" ht="15.75" customHeight="1">
      <c r="D932" s="163"/>
      <c r="E932" s="164"/>
      <c r="L932" s="157"/>
    </row>
    <row r="933" ht="15.75" customHeight="1">
      <c r="D933" s="163"/>
      <c r="E933" s="164"/>
      <c r="L933" s="157"/>
    </row>
    <row r="934" ht="15.75" customHeight="1">
      <c r="D934" s="163"/>
      <c r="E934" s="164"/>
      <c r="L934" s="157"/>
    </row>
    <row r="935" ht="15.75" customHeight="1">
      <c r="D935" s="163"/>
      <c r="E935" s="164"/>
      <c r="L935" s="157"/>
    </row>
    <row r="936" ht="15.75" customHeight="1">
      <c r="D936" s="163"/>
      <c r="E936" s="164"/>
      <c r="L936" s="157"/>
    </row>
    <row r="937" ht="15.75" customHeight="1">
      <c r="D937" s="163"/>
      <c r="E937" s="164"/>
      <c r="L937" s="157"/>
    </row>
    <row r="938" ht="15.75" customHeight="1">
      <c r="D938" s="163"/>
      <c r="E938" s="164"/>
      <c r="L938" s="157"/>
    </row>
    <row r="939" ht="15.75" customHeight="1">
      <c r="D939" s="163"/>
      <c r="E939" s="164"/>
      <c r="L939" s="157"/>
    </row>
    <row r="940" ht="15.75" customHeight="1">
      <c r="D940" s="163"/>
      <c r="E940" s="164"/>
      <c r="L940" s="157"/>
    </row>
    <row r="941" ht="15.75" customHeight="1">
      <c r="D941" s="163"/>
      <c r="E941" s="164"/>
      <c r="L941" s="157"/>
    </row>
    <row r="942" ht="15.75" customHeight="1">
      <c r="D942" s="163"/>
      <c r="E942" s="164"/>
      <c r="L942" s="157"/>
    </row>
    <row r="943" ht="15.75" customHeight="1">
      <c r="D943" s="163"/>
      <c r="E943" s="164"/>
      <c r="L943" s="157"/>
    </row>
    <row r="944" ht="15.75" customHeight="1">
      <c r="D944" s="163"/>
      <c r="E944" s="164"/>
      <c r="L944" s="157"/>
    </row>
    <row r="945" ht="15.75" customHeight="1">
      <c r="D945" s="163"/>
      <c r="E945" s="164"/>
      <c r="L945" s="157"/>
    </row>
    <row r="946" ht="15.75" customHeight="1">
      <c r="D946" s="163"/>
      <c r="E946" s="164"/>
      <c r="L946" s="157"/>
    </row>
    <row r="947" ht="15.75" customHeight="1">
      <c r="D947" s="163"/>
      <c r="E947" s="164"/>
      <c r="L947" s="157"/>
    </row>
    <row r="948" ht="15.75" customHeight="1">
      <c r="D948" s="163"/>
      <c r="E948" s="164"/>
      <c r="L948" s="157"/>
    </row>
    <row r="949" ht="15.75" customHeight="1">
      <c r="D949" s="163"/>
      <c r="E949" s="164"/>
      <c r="L949" s="157"/>
    </row>
    <row r="950" ht="15.75" customHeight="1">
      <c r="D950" s="163"/>
      <c r="E950" s="164"/>
      <c r="L950" s="157"/>
    </row>
    <row r="951" ht="15.75" customHeight="1">
      <c r="D951" s="163"/>
      <c r="E951" s="164"/>
      <c r="L951" s="157"/>
    </row>
    <row r="952" ht="15.75" customHeight="1">
      <c r="D952" s="163"/>
      <c r="E952" s="164"/>
      <c r="L952" s="157"/>
    </row>
    <row r="953" ht="15.75" customHeight="1">
      <c r="D953" s="163"/>
      <c r="E953" s="164"/>
      <c r="L953" s="157"/>
    </row>
    <row r="954" ht="15.75" customHeight="1">
      <c r="D954" s="163"/>
      <c r="E954" s="164"/>
      <c r="L954" s="157"/>
    </row>
    <row r="955" ht="15.75" customHeight="1">
      <c r="D955" s="163"/>
      <c r="E955" s="164"/>
      <c r="L955" s="157"/>
    </row>
    <row r="956" ht="15.75" customHeight="1">
      <c r="D956" s="163"/>
      <c r="E956" s="164"/>
      <c r="L956" s="157"/>
    </row>
    <row r="957" ht="15.75" customHeight="1">
      <c r="D957" s="163"/>
      <c r="E957" s="164"/>
      <c r="L957" s="157"/>
    </row>
    <row r="958" ht="15.75" customHeight="1">
      <c r="D958" s="163"/>
      <c r="E958" s="164"/>
      <c r="L958" s="157"/>
    </row>
    <row r="959" ht="15.75" customHeight="1">
      <c r="D959" s="163"/>
      <c r="E959" s="164"/>
      <c r="L959" s="157"/>
    </row>
    <row r="960" ht="15.75" customHeight="1">
      <c r="D960" s="163"/>
      <c r="E960" s="164"/>
      <c r="L960" s="157"/>
    </row>
    <row r="961" ht="15.75" customHeight="1">
      <c r="D961" s="163"/>
      <c r="E961" s="164"/>
      <c r="L961" s="157"/>
    </row>
    <row r="962" ht="15.75" customHeight="1">
      <c r="D962" s="163"/>
      <c r="E962" s="164"/>
      <c r="L962" s="157"/>
    </row>
    <row r="963" ht="15.75" customHeight="1">
      <c r="D963" s="163"/>
      <c r="E963" s="164"/>
      <c r="L963" s="157"/>
    </row>
    <row r="964" ht="15.75" customHeight="1">
      <c r="D964" s="163"/>
      <c r="E964" s="164"/>
      <c r="L964" s="157"/>
    </row>
    <row r="965" ht="15.75" customHeight="1">
      <c r="D965" s="163"/>
      <c r="E965" s="164"/>
      <c r="L965" s="157"/>
    </row>
    <row r="966" ht="15.75" customHeight="1">
      <c r="D966" s="163"/>
      <c r="E966" s="164"/>
      <c r="L966" s="157"/>
    </row>
    <row r="967" ht="15.75" customHeight="1">
      <c r="D967" s="163"/>
      <c r="E967" s="164"/>
      <c r="L967" s="157"/>
    </row>
    <row r="968" ht="15.75" customHeight="1">
      <c r="D968" s="163"/>
      <c r="E968" s="164"/>
      <c r="L968" s="157"/>
    </row>
    <row r="969" ht="15.75" customHeight="1">
      <c r="D969" s="163"/>
      <c r="E969" s="164"/>
      <c r="L969" s="157"/>
    </row>
    <row r="970" ht="15.75" customHeight="1">
      <c r="D970" s="163"/>
      <c r="E970" s="164"/>
      <c r="L970" s="157"/>
    </row>
    <row r="971" ht="15.75" customHeight="1">
      <c r="D971" s="163"/>
      <c r="E971" s="164"/>
      <c r="L971" s="157"/>
    </row>
    <row r="972" ht="15.75" customHeight="1">
      <c r="D972" s="163"/>
      <c r="E972" s="164"/>
      <c r="L972" s="157"/>
    </row>
    <row r="973" ht="15.75" customHeight="1">
      <c r="D973" s="163"/>
      <c r="E973" s="164"/>
      <c r="L973" s="157"/>
    </row>
    <row r="974" ht="15.75" customHeight="1">
      <c r="D974" s="163"/>
      <c r="E974" s="164"/>
      <c r="L974" s="157"/>
    </row>
    <row r="975" ht="15.75" customHeight="1">
      <c r="D975" s="163"/>
      <c r="E975" s="164"/>
      <c r="L975" s="157"/>
    </row>
    <row r="976" ht="15.75" customHeight="1">
      <c r="D976" s="163"/>
      <c r="E976" s="164"/>
      <c r="L976" s="157"/>
    </row>
    <row r="977" ht="15.75" customHeight="1">
      <c r="D977" s="163"/>
      <c r="E977" s="164"/>
      <c r="L977" s="157"/>
    </row>
    <row r="978" ht="15.75" customHeight="1">
      <c r="D978" s="163"/>
      <c r="E978" s="164"/>
      <c r="L978" s="157"/>
    </row>
    <row r="979" ht="15.75" customHeight="1">
      <c r="D979" s="163"/>
      <c r="E979" s="164"/>
      <c r="L979" s="157"/>
    </row>
    <row r="980" ht="15.75" customHeight="1">
      <c r="D980" s="163"/>
      <c r="E980" s="164"/>
      <c r="L980" s="157"/>
    </row>
    <row r="981" ht="15.75" customHeight="1">
      <c r="D981" s="163"/>
      <c r="E981" s="164"/>
      <c r="L981" s="157"/>
    </row>
    <row r="982" ht="15.75" customHeight="1">
      <c r="D982" s="163"/>
      <c r="E982" s="164"/>
      <c r="L982" s="157"/>
    </row>
    <row r="983" ht="15.75" customHeight="1">
      <c r="D983" s="163"/>
      <c r="E983" s="164"/>
      <c r="L983" s="157"/>
    </row>
    <row r="984" ht="15.75" customHeight="1">
      <c r="D984" s="163"/>
      <c r="E984" s="164"/>
      <c r="L984" s="157"/>
    </row>
    <row r="985" ht="15.75" customHeight="1">
      <c r="D985" s="163"/>
      <c r="E985" s="164"/>
      <c r="L985" s="157"/>
    </row>
    <row r="986" ht="15.75" customHeight="1">
      <c r="D986" s="163"/>
      <c r="E986" s="164"/>
      <c r="L986" s="157"/>
    </row>
    <row r="987" ht="15.75" customHeight="1">
      <c r="D987" s="163"/>
      <c r="E987" s="164"/>
      <c r="L987" s="157"/>
    </row>
    <row r="988" ht="15.75" customHeight="1">
      <c r="D988" s="163"/>
      <c r="E988" s="164"/>
      <c r="L988" s="157"/>
    </row>
    <row r="989" ht="15.75" customHeight="1">
      <c r="D989" s="163"/>
      <c r="E989" s="164"/>
      <c r="L989" s="157"/>
    </row>
    <row r="990" ht="15.0" customHeight="1">
      <c r="D990" s="163"/>
      <c r="E990" s="164"/>
      <c r="L990" s="157"/>
    </row>
    <row r="991">
      <c r="E991" s="164"/>
      <c r="L991" s="157"/>
    </row>
    <row r="992">
      <c r="E992" s="164"/>
      <c r="L992" s="157"/>
    </row>
    <row r="993">
      <c r="E993" s="164"/>
      <c r="L993" s="157"/>
    </row>
    <row r="994">
      <c r="E994" s="164"/>
      <c r="L994" s="157"/>
    </row>
    <row r="995">
      <c r="E995" s="164"/>
      <c r="L995" s="157"/>
    </row>
    <row r="996">
      <c r="E996" s="164"/>
      <c r="L996" s="157"/>
    </row>
    <row r="997">
      <c r="E997" s="164"/>
      <c r="L997" s="157"/>
    </row>
    <row r="998">
      <c r="E998" s="164"/>
      <c r="L998" s="157"/>
    </row>
    <row r="999">
      <c r="E999" s="164"/>
      <c r="L999" s="157"/>
    </row>
    <row r="1000">
      <c r="E1000" s="164"/>
      <c r="L1000" s="157"/>
    </row>
    <row r="1001">
      <c r="E1001" s="164"/>
      <c r="L1001" s="157"/>
    </row>
    <row r="1002">
      <c r="E1002" s="164"/>
      <c r="L1002" s="157"/>
    </row>
    <row r="1003">
      <c r="E1003" s="164"/>
      <c r="L1003" s="157"/>
    </row>
    <row r="1004">
      <c r="E1004" s="164"/>
      <c r="L1004" s="157"/>
    </row>
    <row r="1005">
      <c r="E1005" s="164"/>
      <c r="L1005" s="157"/>
    </row>
    <row r="1006">
      <c r="E1006" s="164"/>
      <c r="L1006" s="157"/>
    </row>
    <row r="1007">
      <c r="E1007" s="164"/>
      <c r="L1007" s="157"/>
    </row>
    <row r="1008">
      <c r="E1008" s="164"/>
      <c r="L1008" s="157"/>
    </row>
    <row r="1009">
      <c r="E1009" s="164"/>
      <c r="L1009" s="157"/>
    </row>
    <row r="1010">
      <c r="E1010" s="164"/>
      <c r="L1010" s="157"/>
    </row>
    <row r="1011">
      <c r="E1011" s="164"/>
      <c r="L1011" s="157"/>
    </row>
    <row r="1012">
      <c r="E1012" s="164"/>
      <c r="L1012" s="157"/>
    </row>
    <row r="1013">
      <c r="E1013" s="164"/>
      <c r="L1013" s="157"/>
    </row>
    <row r="1014">
      <c r="E1014" s="164"/>
      <c r="L1014" s="157"/>
    </row>
    <row r="1015">
      <c r="E1015" s="164"/>
      <c r="L1015" s="157"/>
    </row>
    <row r="1016">
      <c r="E1016" s="164"/>
      <c r="L1016" s="157"/>
    </row>
    <row r="1017">
      <c r="E1017" s="164"/>
      <c r="L1017" s="157"/>
    </row>
    <row r="1018">
      <c r="E1018" s="164"/>
      <c r="L1018" s="157"/>
    </row>
    <row r="1019">
      <c r="E1019" s="164"/>
      <c r="L1019" s="157"/>
    </row>
    <row r="1020">
      <c r="E1020" s="164"/>
      <c r="L1020" s="157"/>
    </row>
    <row r="1021">
      <c r="E1021" s="164"/>
      <c r="L1021" s="157"/>
    </row>
    <row r="1022">
      <c r="E1022" s="164"/>
      <c r="L1022" s="157"/>
    </row>
    <row r="1023">
      <c r="E1023" s="164"/>
      <c r="L1023" s="157"/>
    </row>
    <row r="1024">
      <c r="E1024" s="164"/>
      <c r="L1024" s="157"/>
    </row>
    <row r="1025">
      <c r="E1025" s="164"/>
      <c r="L1025" s="157"/>
    </row>
    <row r="1026">
      <c r="E1026" s="164"/>
      <c r="L1026" s="157"/>
    </row>
    <row r="1027">
      <c r="E1027" s="164"/>
      <c r="L1027" s="157"/>
    </row>
    <row r="1028">
      <c r="E1028" s="164"/>
      <c r="L1028" s="157"/>
    </row>
    <row r="1029">
      <c r="E1029" s="164"/>
      <c r="L1029" s="157"/>
    </row>
    <row r="1030">
      <c r="E1030" s="164"/>
      <c r="L1030" s="157"/>
    </row>
    <row r="1031">
      <c r="E1031" s="164"/>
      <c r="L1031" s="157"/>
    </row>
    <row r="1032">
      <c r="E1032" s="164"/>
      <c r="L1032" s="157"/>
    </row>
    <row r="1033">
      <c r="E1033" s="164"/>
      <c r="L1033" s="157"/>
    </row>
    <row r="1034">
      <c r="E1034" s="164"/>
      <c r="L1034" s="157"/>
    </row>
    <row r="1035">
      <c r="E1035" s="164"/>
      <c r="L1035" s="157"/>
    </row>
    <row r="1036">
      <c r="E1036" s="164"/>
      <c r="L1036" s="157"/>
    </row>
    <row r="1037">
      <c r="E1037" s="164"/>
      <c r="L1037" s="157"/>
    </row>
    <row r="1038">
      <c r="E1038" s="164"/>
      <c r="L1038" s="157"/>
    </row>
    <row r="1039">
      <c r="E1039" s="164"/>
      <c r="L1039" s="157"/>
    </row>
    <row r="1040">
      <c r="E1040" s="164"/>
      <c r="L1040" s="157"/>
    </row>
    <row r="1041">
      <c r="E1041" s="164"/>
      <c r="L1041" s="157"/>
    </row>
    <row r="1042">
      <c r="E1042" s="164"/>
      <c r="L1042" s="157"/>
    </row>
    <row r="1043">
      <c r="E1043" s="164"/>
      <c r="L1043" s="157"/>
    </row>
    <row r="1044">
      <c r="E1044" s="164"/>
      <c r="L1044" s="157"/>
    </row>
    <row r="1045">
      <c r="E1045" s="164"/>
      <c r="L1045" s="157"/>
    </row>
    <row r="1046">
      <c r="E1046" s="164"/>
      <c r="L1046" s="157"/>
    </row>
    <row r="1047">
      <c r="E1047" s="164"/>
      <c r="L1047" s="157"/>
    </row>
    <row r="1048">
      <c r="E1048" s="164"/>
      <c r="L1048" s="157"/>
    </row>
    <row r="1049">
      <c r="E1049" s="164"/>
      <c r="L1049" s="157"/>
    </row>
    <row r="1050">
      <c r="E1050" s="164"/>
      <c r="L1050" s="157"/>
    </row>
    <row r="1051">
      <c r="E1051" s="164"/>
      <c r="L1051" s="157"/>
    </row>
    <row r="1052">
      <c r="E1052" s="164"/>
      <c r="L1052" s="157"/>
    </row>
    <row r="1053">
      <c r="E1053" s="164"/>
      <c r="L1053" s="157"/>
    </row>
    <row r="1054">
      <c r="E1054" s="164"/>
      <c r="L1054" s="157"/>
    </row>
    <row r="1055">
      <c r="E1055" s="164"/>
      <c r="L1055" s="157"/>
    </row>
    <row r="1056">
      <c r="E1056" s="164"/>
      <c r="L1056" s="157"/>
    </row>
    <row r="1057">
      <c r="E1057" s="164"/>
      <c r="L1057" s="157"/>
    </row>
    <row r="1058">
      <c r="E1058" s="164"/>
      <c r="L1058" s="157"/>
    </row>
    <row r="1059">
      <c r="E1059" s="164"/>
      <c r="L1059" s="157"/>
    </row>
    <row r="1060">
      <c r="E1060" s="164"/>
      <c r="L1060" s="157"/>
    </row>
    <row r="1061">
      <c r="E1061" s="164"/>
      <c r="L1061" s="157"/>
    </row>
    <row r="1062">
      <c r="E1062" s="164"/>
      <c r="L1062" s="157"/>
    </row>
    <row r="1063">
      <c r="E1063" s="164"/>
      <c r="L1063" s="157"/>
    </row>
    <row r="1064">
      <c r="E1064" s="164"/>
      <c r="L1064" s="157"/>
    </row>
    <row r="1065">
      <c r="E1065" s="164"/>
      <c r="L1065" s="157"/>
    </row>
    <row r="1066">
      <c r="E1066" s="164"/>
      <c r="L1066" s="157"/>
    </row>
    <row r="1067">
      <c r="E1067" s="164"/>
      <c r="L1067" s="157"/>
    </row>
    <row r="1068">
      <c r="E1068" s="164"/>
      <c r="L1068" s="157"/>
    </row>
    <row r="1069">
      <c r="E1069" s="164"/>
      <c r="L1069" s="157"/>
    </row>
    <row r="1070">
      <c r="E1070" s="164"/>
      <c r="L1070" s="157"/>
    </row>
    <row r="1071">
      <c r="E1071" s="164"/>
      <c r="L1071" s="157"/>
    </row>
    <row r="1072">
      <c r="E1072" s="164"/>
      <c r="L1072" s="157"/>
    </row>
    <row r="1073">
      <c r="E1073" s="164"/>
      <c r="L1073" s="157"/>
    </row>
    <row r="1074">
      <c r="E1074" s="164"/>
      <c r="L1074" s="157"/>
    </row>
    <row r="1075">
      <c r="E1075" s="164"/>
      <c r="L1075" s="157"/>
    </row>
    <row r="1076">
      <c r="E1076" s="164"/>
      <c r="L1076" s="157"/>
    </row>
    <row r="1077">
      <c r="E1077" s="164"/>
      <c r="L1077" s="157"/>
    </row>
    <row r="1078">
      <c r="E1078" s="164"/>
      <c r="L1078" s="157"/>
    </row>
    <row r="1079">
      <c r="E1079" s="164"/>
      <c r="L1079" s="157"/>
    </row>
    <row r="1080">
      <c r="E1080" s="164"/>
      <c r="L1080" s="157"/>
    </row>
    <row r="1081">
      <c r="E1081" s="164"/>
      <c r="L1081" s="157"/>
    </row>
    <row r="1082">
      <c r="E1082" s="164"/>
      <c r="L1082" s="157"/>
    </row>
    <row r="1083">
      <c r="E1083" s="164"/>
      <c r="L1083" s="157"/>
    </row>
    <row r="1084">
      <c r="E1084" s="164"/>
      <c r="L1084" s="157"/>
    </row>
    <row r="1085">
      <c r="E1085" s="164"/>
      <c r="L1085" s="157"/>
    </row>
    <row r="1086">
      <c r="E1086" s="164"/>
      <c r="L1086" s="157"/>
    </row>
    <row r="1087">
      <c r="E1087" s="164"/>
      <c r="L1087" s="157"/>
    </row>
    <row r="1088">
      <c r="E1088" s="164"/>
      <c r="L1088" s="157"/>
    </row>
    <row r="1089">
      <c r="E1089" s="164"/>
      <c r="L1089" s="157"/>
    </row>
    <row r="1090">
      <c r="E1090" s="164"/>
      <c r="L1090" s="157"/>
    </row>
    <row r="1091">
      <c r="E1091" s="164"/>
      <c r="L1091" s="157"/>
    </row>
    <row r="1092">
      <c r="E1092" s="164"/>
      <c r="L1092" s="157"/>
    </row>
    <row r="1093">
      <c r="E1093" s="164"/>
      <c r="L1093" s="157"/>
    </row>
    <row r="1094">
      <c r="E1094" s="164"/>
      <c r="L1094" s="157"/>
    </row>
    <row r="1095">
      <c r="E1095" s="164"/>
      <c r="L1095" s="157"/>
    </row>
    <row r="1096">
      <c r="E1096" s="164"/>
      <c r="L1096" s="157"/>
    </row>
    <row r="1097">
      <c r="E1097" s="164"/>
      <c r="L1097" s="157"/>
    </row>
    <row r="1098">
      <c r="E1098" s="164"/>
      <c r="L1098" s="157"/>
    </row>
    <row r="1099">
      <c r="E1099" s="164"/>
      <c r="L1099" s="157"/>
    </row>
    <row r="1100">
      <c r="E1100" s="164"/>
      <c r="L1100" s="157"/>
    </row>
    <row r="1101">
      <c r="E1101" s="164"/>
      <c r="L1101" s="157"/>
    </row>
    <row r="1102">
      <c r="E1102" s="164"/>
      <c r="L1102" s="157"/>
    </row>
    <row r="1103">
      <c r="E1103" s="164"/>
      <c r="L1103" s="157"/>
    </row>
    <row r="1104">
      <c r="E1104" s="164"/>
      <c r="L1104" s="157"/>
    </row>
    <row r="1105">
      <c r="E1105" s="164"/>
      <c r="L1105" s="157"/>
    </row>
    <row r="1106">
      <c r="E1106" s="164"/>
      <c r="L1106" s="157"/>
    </row>
    <row r="1107">
      <c r="E1107" s="164"/>
      <c r="L1107" s="157"/>
    </row>
    <row r="1108">
      <c r="E1108" s="164"/>
      <c r="L1108" s="157"/>
    </row>
    <row r="1109">
      <c r="E1109" s="164"/>
      <c r="L1109" s="157"/>
    </row>
    <row r="1110">
      <c r="E1110" s="164"/>
      <c r="L1110" s="157"/>
    </row>
    <row r="1111">
      <c r="E1111" s="164"/>
      <c r="L1111" s="157"/>
    </row>
    <row r="1112">
      <c r="E1112" s="164"/>
      <c r="L1112" s="157"/>
    </row>
    <row r="1113">
      <c r="E1113" s="164"/>
      <c r="L1113" s="157"/>
    </row>
    <row r="1114">
      <c r="E1114" s="164"/>
      <c r="L1114" s="157"/>
    </row>
    <row r="1115">
      <c r="E1115" s="164"/>
      <c r="L1115" s="157"/>
    </row>
    <row r="1116">
      <c r="E1116" s="164"/>
      <c r="L1116" s="157"/>
    </row>
    <row r="1117">
      <c r="E1117" s="164"/>
      <c r="L1117" s="157"/>
    </row>
    <row r="1118">
      <c r="E1118" s="164"/>
      <c r="L1118" s="157"/>
    </row>
    <row r="1119">
      <c r="E1119" s="164"/>
      <c r="L1119" s="157"/>
    </row>
    <row r="1120">
      <c r="E1120" s="164"/>
      <c r="L1120" s="157"/>
    </row>
    <row r="1121">
      <c r="E1121" s="164"/>
      <c r="L1121" s="157"/>
    </row>
    <row r="1122">
      <c r="E1122" s="164"/>
      <c r="L1122" s="157"/>
    </row>
    <row r="1123">
      <c r="E1123" s="164"/>
      <c r="L1123" s="157"/>
    </row>
    <row r="1124">
      <c r="E1124" s="164"/>
      <c r="L1124" s="157"/>
    </row>
    <row r="1125">
      <c r="E1125" s="164"/>
      <c r="L1125" s="157"/>
    </row>
    <row r="1126">
      <c r="E1126" s="164"/>
      <c r="L1126" s="157"/>
    </row>
    <row r="1127">
      <c r="E1127" s="164"/>
      <c r="L1127" s="157"/>
    </row>
    <row r="1128">
      <c r="E1128" s="164"/>
      <c r="L1128" s="157"/>
    </row>
    <row r="1129">
      <c r="E1129" s="164"/>
      <c r="L1129" s="157"/>
    </row>
    <row r="1130">
      <c r="E1130" s="164"/>
      <c r="L1130" s="157"/>
    </row>
    <row r="1131">
      <c r="E1131" s="164"/>
      <c r="L1131" s="157"/>
    </row>
    <row r="1132">
      <c r="E1132" s="164"/>
      <c r="L1132" s="157"/>
    </row>
    <row r="1133">
      <c r="E1133" s="164"/>
      <c r="L1133" s="157"/>
    </row>
    <row r="1134">
      <c r="E1134" s="164"/>
      <c r="L1134" s="157"/>
    </row>
    <row r="1135">
      <c r="E1135" s="164"/>
      <c r="L1135" s="157"/>
    </row>
    <row r="1136">
      <c r="E1136" s="164"/>
      <c r="L1136" s="157"/>
    </row>
    <row r="1137">
      <c r="E1137" s="164"/>
      <c r="L1137" s="157"/>
    </row>
    <row r="1138">
      <c r="E1138" s="164"/>
      <c r="L1138" s="157"/>
    </row>
    <row r="1139">
      <c r="E1139" s="164"/>
      <c r="L1139" s="157"/>
    </row>
    <row r="1140">
      <c r="E1140" s="164"/>
      <c r="L1140" s="157"/>
    </row>
    <row r="1141">
      <c r="E1141" s="164"/>
      <c r="L1141" s="157"/>
    </row>
    <row r="1142">
      <c r="E1142" s="164"/>
      <c r="L1142" s="157"/>
    </row>
    <row r="1143">
      <c r="E1143" s="164"/>
      <c r="L1143" s="157"/>
    </row>
    <row r="1144">
      <c r="E1144" s="164"/>
      <c r="L1144" s="157"/>
    </row>
    <row r="1145">
      <c r="E1145" s="164"/>
      <c r="L1145" s="157"/>
    </row>
    <row r="1146">
      <c r="E1146" s="164"/>
      <c r="L1146" s="157"/>
    </row>
    <row r="1147">
      <c r="E1147" s="164"/>
      <c r="L1147" s="157"/>
    </row>
    <row r="1148">
      <c r="E1148" s="164"/>
      <c r="L1148" s="157"/>
    </row>
    <row r="1149">
      <c r="E1149" s="164"/>
      <c r="L1149" s="157"/>
    </row>
    <row r="1150">
      <c r="E1150" s="164"/>
      <c r="L1150" s="157"/>
    </row>
    <row r="1151">
      <c r="E1151" s="164"/>
      <c r="L1151" s="157"/>
    </row>
    <row r="1152">
      <c r="E1152" s="164"/>
      <c r="L1152" s="157"/>
    </row>
    <row r="1153">
      <c r="E1153" s="164"/>
      <c r="L1153" s="157"/>
    </row>
    <row r="1154">
      <c r="E1154" s="164"/>
      <c r="L1154" s="157"/>
    </row>
    <row r="1155">
      <c r="E1155" s="164"/>
      <c r="L1155" s="157"/>
    </row>
    <row r="1156">
      <c r="E1156" s="164"/>
      <c r="L1156" s="157"/>
    </row>
    <row r="1157">
      <c r="E1157" s="164"/>
      <c r="L1157" s="157"/>
    </row>
    <row r="1158">
      <c r="E1158" s="164"/>
      <c r="L1158" s="157"/>
    </row>
    <row r="1159">
      <c r="E1159" s="164"/>
      <c r="L1159" s="157"/>
    </row>
    <row r="1160">
      <c r="E1160" s="164"/>
      <c r="L1160" s="157"/>
    </row>
    <row r="1161">
      <c r="E1161" s="164"/>
      <c r="L1161" s="157"/>
    </row>
    <row r="1162">
      <c r="E1162" s="164"/>
      <c r="L1162" s="157"/>
    </row>
    <row r="1163">
      <c r="E1163" s="164"/>
      <c r="L1163" s="157"/>
    </row>
    <row r="1164">
      <c r="E1164" s="164"/>
      <c r="L1164" s="157"/>
    </row>
    <row r="1165">
      <c r="E1165" s="164"/>
      <c r="L1165" s="157"/>
    </row>
    <row r="1166">
      <c r="E1166" s="164"/>
      <c r="L1166" s="157"/>
    </row>
    <row r="1167">
      <c r="E1167" s="164"/>
      <c r="L1167" s="157"/>
    </row>
    <row r="1168">
      <c r="E1168" s="164"/>
      <c r="L1168" s="157"/>
    </row>
    <row r="1169">
      <c r="E1169" s="164"/>
      <c r="L1169" s="157"/>
    </row>
    <row r="1170">
      <c r="E1170" s="164"/>
      <c r="L1170" s="157"/>
    </row>
    <row r="1171">
      <c r="E1171" s="164"/>
      <c r="L1171" s="157"/>
    </row>
    <row r="1172">
      <c r="E1172" s="164"/>
      <c r="L1172" s="157"/>
    </row>
    <row r="1173">
      <c r="E1173" s="164"/>
      <c r="L1173" s="157"/>
    </row>
    <row r="1174">
      <c r="E1174" s="164"/>
      <c r="L1174" s="157"/>
    </row>
    <row r="1175">
      <c r="E1175" s="164"/>
      <c r="L1175" s="157"/>
    </row>
    <row r="1176">
      <c r="E1176" s="164"/>
      <c r="L1176" s="157"/>
    </row>
    <row r="1177">
      <c r="E1177" s="164"/>
      <c r="L1177" s="157"/>
    </row>
    <row r="1178">
      <c r="E1178" s="164"/>
      <c r="L1178" s="157"/>
    </row>
    <row r="1179">
      <c r="E1179" s="164"/>
      <c r="L1179" s="157"/>
    </row>
    <row r="1180">
      <c r="E1180" s="164"/>
      <c r="L1180" s="157"/>
    </row>
    <row r="1181">
      <c r="E1181" s="164"/>
      <c r="L1181" s="157"/>
    </row>
    <row r="1182">
      <c r="E1182" s="164"/>
      <c r="L1182" s="157"/>
    </row>
    <row r="1183">
      <c r="E1183" s="164"/>
      <c r="L1183" s="157"/>
    </row>
    <row r="1184">
      <c r="E1184" s="164"/>
      <c r="L1184" s="157"/>
    </row>
    <row r="1185">
      <c r="E1185" s="164"/>
      <c r="L1185" s="157"/>
    </row>
    <row r="1186">
      <c r="E1186" s="164"/>
      <c r="L1186" s="157"/>
    </row>
    <row r="1187">
      <c r="E1187" s="164"/>
      <c r="L1187" s="157"/>
    </row>
    <row r="1188">
      <c r="E1188" s="164"/>
      <c r="L1188" s="157"/>
    </row>
    <row r="1189">
      <c r="E1189" s="164"/>
      <c r="L1189" s="157"/>
    </row>
    <row r="1190">
      <c r="E1190" s="164"/>
      <c r="L1190" s="157"/>
    </row>
    <row r="1191">
      <c r="E1191" s="164"/>
      <c r="L1191" s="157"/>
    </row>
    <row r="1192">
      <c r="E1192" s="164"/>
      <c r="L1192" s="157"/>
    </row>
    <row r="1193">
      <c r="E1193" s="164"/>
      <c r="L1193" s="157"/>
    </row>
    <row r="1194">
      <c r="E1194" s="164"/>
      <c r="L1194" s="157"/>
    </row>
    <row r="1195">
      <c r="E1195" s="164"/>
      <c r="L1195" s="157"/>
    </row>
    <row r="1196">
      <c r="E1196" s="164"/>
      <c r="L1196" s="157"/>
    </row>
    <row r="1197">
      <c r="E1197" s="164"/>
      <c r="L1197" s="157"/>
    </row>
    <row r="1198">
      <c r="E1198" s="164"/>
      <c r="L1198" s="157"/>
    </row>
    <row r="1199">
      <c r="E1199" s="164"/>
      <c r="L1199" s="157"/>
    </row>
    <row r="1200">
      <c r="E1200" s="164"/>
      <c r="L1200" s="157"/>
    </row>
    <row r="1201">
      <c r="E1201" s="164"/>
      <c r="L1201" s="157"/>
    </row>
    <row r="1202">
      <c r="E1202" s="164"/>
      <c r="L1202" s="157"/>
    </row>
    <row r="1203">
      <c r="E1203" s="164"/>
      <c r="L1203" s="157"/>
    </row>
    <row r="1204">
      <c r="E1204" s="164"/>
      <c r="L1204" s="157"/>
    </row>
    <row r="1205">
      <c r="E1205" s="164"/>
      <c r="L1205" s="157"/>
    </row>
    <row r="1206">
      <c r="E1206" s="164"/>
      <c r="L1206" s="157"/>
    </row>
    <row r="1207">
      <c r="E1207" s="164"/>
      <c r="L1207" s="157"/>
    </row>
    <row r="1208">
      <c r="E1208" s="164"/>
      <c r="L1208" s="157"/>
    </row>
    <row r="1209">
      <c r="E1209" s="164"/>
      <c r="L1209" s="157"/>
    </row>
    <row r="1210">
      <c r="E1210" s="164"/>
      <c r="L1210" s="157"/>
    </row>
    <row r="1211">
      <c r="E1211" s="164"/>
      <c r="L1211" s="157"/>
    </row>
    <row r="1212">
      <c r="E1212" s="164"/>
      <c r="L1212" s="157"/>
    </row>
    <row r="1213">
      <c r="E1213" s="164"/>
      <c r="L1213" s="157"/>
    </row>
    <row r="1214">
      <c r="E1214" s="164"/>
      <c r="L1214" s="157"/>
    </row>
    <row r="1215">
      <c r="E1215" s="164"/>
      <c r="L1215" s="157"/>
    </row>
    <row r="1216">
      <c r="E1216" s="164"/>
      <c r="L1216" s="157"/>
    </row>
    <row r="1217">
      <c r="E1217" s="164"/>
      <c r="L1217" s="157"/>
    </row>
    <row r="1218">
      <c r="E1218" s="164"/>
      <c r="L1218" s="157"/>
    </row>
    <row r="1219">
      <c r="E1219" s="164"/>
      <c r="L1219" s="157"/>
    </row>
    <row r="1220">
      <c r="E1220" s="164"/>
      <c r="L1220" s="157"/>
    </row>
    <row r="1221">
      <c r="E1221" s="164"/>
      <c r="L1221" s="157"/>
    </row>
    <row r="1222">
      <c r="E1222" s="164"/>
      <c r="L1222" s="157"/>
    </row>
    <row r="1223">
      <c r="E1223" s="164"/>
      <c r="L1223" s="157"/>
    </row>
    <row r="1224">
      <c r="E1224" s="164"/>
      <c r="L1224" s="157"/>
    </row>
    <row r="1225">
      <c r="E1225" s="164"/>
      <c r="L1225" s="157"/>
    </row>
    <row r="1226">
      <c r="E1226" s="164"/>
      <c r="L1226" s="157"/>
    </row>
    <row r="1227">
      <c r="E1227" s="164"/>
      <c r="L1227" s="157"/>
    </row>
    <row r="1228">
      <c r="E1228" s="164"/>
      <c r="L1228" s="157"/>
    </row>
    <row r="1229">
      <c r="E1229" s="164"/>
      <c r="L1229" s="157"/>
    </row>
    <row r="1230">
      <c r="E1230" s="164"/>
      <c r="L1230" s="157"/>
    </row>
    <row r="1231">
      <c r="E1231" s="164"/>
      <c r="L1231" s="157"/>
    </row>
    <row r="1232">
      <c r="E1232" s="164"/>
      <c r="L1232" s="157"/>
    </row>
    <row r="1233">
      <c r="E1233" s="164"/>
      <c r="L1233" s="157"/>
    </row>
    <row r="1234">
      <c r="E1234" s="164"/>
      <c r="L1234" s="157"/>
    </row>
    <row r="1235">
      <c r="E1235" s="164"/>
      <c r="L1235" s="157"/>
    </row>
    <row r="1236">
      <c r="E1236" s="164"/>
      <c r="L1236" s="157"/>
    </row>
    <row r="1237">
      <c r="E1237" s="164"/>
      <c r="L1237" s="157"/>
    </row>
    <row r="1238">
      <c r="E1238" s="164"/>
      <c r="L1238" s="157"/>
    </row>
    <row r="1239">
      <c r="E1239" s="164"/>
      <c r="L1239" s="157"/>
    </row>
    <row r="1240">
      <c r="E1240" s="164"/>
      <c r="L1240" s="157"/>
    </row>
    <row r="1241">
      <c r="E1241" s="164"/>
      <c r="L1241" s="157"/>
    </row>
    <row r="1242">
      <c r="E1242" s="164"/>
      <c r="L1242" s="157"/>
    </row>
    <row r="1243">
      <c r="E1243" s="164"/>
      <c r="L1243" s="157"/>
    </row>
    <row r="1244">
      <c r="E1244" s="164"/>
      <c r="L1244" s="157"/>
    </row>
    <row r="1245">
      <c r="E1245" s="164"/>
      <c r="L1245" s="157"/>
    </row>
    <row r="1246">
      <c r="E1246" s="164"/>
      <c r="L1246" s="157"/>
    </row>
    <row r="1247">
      <c r="E1247" s="164"/>
      <c r="L1247" s="157"/>
    </row>
    <row r="1248">
      <c r="E1248" s="164"/>
      <c r="L1248" s="157"/>
    </row>
    <row r="1249">
      <c r="E1249" s="164"/>
      <c r="L1249" s="157"/>
    </row>
    <row r="1250">
      <c r="E1250" s="164"/>
      <c r="L1250" s="157"/>
    </row>
    <row r="1251">
      <c r="E1251" s="164"/>
      <c r="L1251" s="157"/>
    </row>
    <row r="1252">
      <c r="E1252" s="164"/>
      <c r="L1252" s="157"/>
    </row>
    <row r="1253">
      <c r="E1253" s="164"/>
      <c r="L1253" s="157"/>
    </row>
    <row r="1254">
      <c r="E1254" s="164"/>
      <c r="L1254" s="157"/>
    </row>
    <row r="1255">
      <c r="E1255" s="164"/>
      <c r="L1255" s="157"/>
    </row>
    <row r="1256">
      <c r="E1256" s="164"/>
      <c r="L1256" s="157"/>
    </row>
    <row r="1257">
      <c r="E1257" s="164"/>
      <c r="L1257" s="157"/>
    </row>
    <row r="1258">
      <c r="E1258" s="164"/>
      <c r="L1258" s="157"/>
    </row>
    <row r="1259">
      <c r="E1259" s="164"/>
      <c r="L1259" s="157"/>
    </row>
    <row r="1260">
      <c r="E1260" s="164"/>
      <c r="L1260" s="157"/>
    </row>
    <row r="1261">
      <c r="E1261" s="164"/>
      <c r="L1261" s="157"/>
    </row>
    <row r="1262">
      <c r="E1262" s="164"/>
      <c r="L1262" s="157"/>
    </row>
    <row r="1263">
      <c r="E1263" s="164"/>
      <c r="L1263" s="157"/>
    </row>
    <row r="1264">
      <c r="E1264" s="164"/>
      <c r="L1264" s="157"/>
    </row>
    <row r="1265">
      <c r="E1265" s="164"/>
      <c r="L1265" s="157"/>
    </row>
    <row r="1266">
      <c r="E1266" s="164"/>
      <c r="L1266" s="157"/>
    </row>
    <row r="1267">
      <c r="E1267" s="164"/>
      <c r="L1267" s="157"/>
    </row>
    <row r="1268">
      <c r="E1268" s="164"/>
      <c r="L1268" s="157"/>
    </row>
    <row r="1269">
      <c r="E1269" s="164"/>
      <c r="L1269" s="157"/>
    </row>
    <row r="1270">
      <c r="E1270" s="164"/>
      <c r="L1270" s="157"/>
    </row>
    <row r="1271">
      <c r="E1271" s="164"/>
      <c r="L1271" s="157"/>
    </row>
    <row r="1272">
      <c r="E1272" s="164"/>
      <c r="L1272" s="157"/>
    </row>
    <row r="1273">
      <c r="E1273" s="164"/>
      <c r="L1273" s="157"/>
    </row>
  </sheetData>
  <autoFilter ref="$A$1:$M$279"/>
  <conditionalFormatting sqref="L283:L294">
    <cfRule type="cellIs" dxfId="1" priority="1" operator="lessThan">
      <formula>$L$322</formula>
    </cfRule>
  </conditionalFormatting>
  <conditionalFormatting sqref="L283:L294">
    <cfRule type="cellIs" dxfId="1" priority="2" operator="greaterThan">
      <formula>$L$322</formula>
    </cfRule>
  </conditionalFormatting>
  <conditionalFormatting sqref="J283:J294">
    <cfRule type="cellIs" dxfId="1" priority="3" operator="lessThan">
      <formula>$J$282</formula>
    </cfRule>
  </conditionalFormatting>
  <conditionalFormatting sqref="J283:J294">
    <cfRule type="cellIs" dxfId="1" priority="4" operator="greaterThan">
      <formula>$J$282</formula>
    </cfRule>
  </conditionalFormatting>
  <conditionalFormatting sqref="J1:J3 J5:J281 K283:K294 J295:J1273">
    <cfRule type="cellIs" dxfId="2" priority="5" operator="equal">
      <formula>"PENDIENTE"</formula>
    </cfRule>
  </conditionalFormatting>
  <conditionalFormatting sqref="J1:J3 J5:J281 K283:K294 J295:J1273">
    <cfRule type="cellIs" dxfId="3" priority="6" operator="equal">
      <formula>"PAGADO"</formula>
    </cfRule>
  </conditionalFormatting>
  <conditionalFormatting sqref="A5:A278">
    <cfRule type="expression" dxfId="4" priority="7" stopIfTrue="1">
      <formula>$J5="PAGADO"</formula>
    </cfRule>
  </conditionalFormatting>
  <conditionalFormatting sqref="A1:A1273">
    <cfRule type="containsText" dxfId="5" priority="8" operator="containsText" text="-">
      <formula>NOT(ISERROR(SEARCH(("-"),(A1))))</formula>
    </cfRule>
  </conditionalFormatting>
  <dataValidations>
    <dataValidation type="list" allowBlank="1" showErrorMessage="1" sqref="L5:L278">
      <formula1>DATOS!$A:$A</formula1>
    </dataValidation>
    <dataValidation type="list" allowBlank="1" sqref="G5:G74 G76:G159 G161:G169 G171:G191 G193:G225 G228:G230 G232:G235 G237:G238 G240:G278">
      <formula1>'LISTA PROVEEDORES'!$A:$A</formula1>
    </dataValidation>
    <dataValidation type="list" allowBlank="1" sqref="H5:H278">
      <formula1>'LISTA PROVEEDORES'!$B:$B</formula1>
    </dataValidation>
    <dataValidation type="list" allowBlank="1" showErrorMessage="1" sqref="C5:C278">
      <formula1>"PET EXOTIC SPA,PET EXOTIC LTDA"</formula1>
    </dataValidation>
    <dataValidation type="list" allowBlank="1" showErrorMessage="1" sqref="J5:J279">
      <formula1>"PAGADO,PENDIENTE"</formula1>
    </dataValidation>
  </dataValidations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9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hidden="1" min="1" max="1" width="11.75"/>
    <col customWidth="1" min="2" max="2" width="15.63"/>
    <col customWidth="1" min="3" max="3" width="15.25"/>
    <col customWidth="1" min="4" max="4" width="48.38"/>
    <col customWidth="1" min="5" max="5" width="13.38"/>
    <col customWidth="1" min="6" max="6" width="13.75"/>
    <col customWidth="1" min="7" max="7" width="14.5"/>
    <col customWidth="1" min="8" max="8" width="41.75"/>
    <col customWidth="1" min="9" max="9" width="35.13"/>
    <col customWidth="1" min="10" max="10" width="10.5"/>
    <col customWidth="1" min="11" max="23" width="7.88"/>
  </cols>
  <sheetData>
    <row r="1" ht="13.5" customHeight="1">
      <c r="A1" s="192"/>
      <c r="B1" s="193"/>
      <c r="C1" s="194"/>
      <c r="D1" s="6"/>
      <c r="E1" s="6"/>
      <c r="F1" s="6"/>
      <c r="G1" s="6"/>
      <c r="H1" s="6"/>
      <c r="I1" s="195"/>
      <c r="J1" s="196"/>
      <c r="K1" s="197"/>
      <c r="L1" s="197"/>
      <c r="M1" s="197"/>
      <c r="N1" s="197"/>
      <c r="O1" s="197"/>
      <c r="P1" s="197"/>
      <c r="Q1" s="197"/>
      <c r="R1" s="197"/>
      <c r="S1" s="198"/>
      <c r="T1" s="198"/>
      <c r="U1" s="198"/>
      <c r="V1" s="199"/>
      <c r="W1" s="199"/>
      <c r="X1" s="157"/>
      <c r="Y1" s="157"/>
      <c r="Z1" s="157"/>
      <c r="AA1" s="157"/>
      <c r="AB1" s="157"/>
    </row>
    <row r="2" ht="13.5" customHeight="1">
      <c r="A2" s="200"/>
      <c r="B2" s="201"/>
      <c r="C2" s="202"/>
      <c r="D2" s="203"/>
      <c r="E2" s="157"/>
      <c r="F2" s="204" t="s">
        <v>233</v>
      </c>
      <c r="G2" s="204"/>
      <c r="H2" s="204"/>
      <c r="I2" s="205"/>
      <c r="J2" s="196"/>
      <c r="K2" s="206"/>
      <c r="L2" s="206"/>
      <c r="M2" s="206"/>
      <c r="N2" s="206"/>
      <c r="O2" s="206"/>
      <c r="P2" s="206"/>
      <c r="Q2" s="206"/>
      <c r="R2" s="206"/>
      <c r="S2" s="207"/>
      <c r="T2" s="207"/>
      <c r="U2" s="207"/>
      <c r="V2" s="199"/>
      <c r="W2" s="199"/>
      <c r="X2" s="157"/>
      <c r="Y2" s="157"/>
      <c r="Z2" s="157"/>
      <c r="AA2" s="157"/>
      <c r="AB2" s="157"/>
    </row>
    <row r="3" ht="13.5" customHeight="1">
      <c r="A3" s="208"/>
      <c r="B3" s="209"/>
      <c r="C3" s="210"/>
      <c r="D3" s="211"/>
      <c r="E3" s="211"/>
      <c r="F3" s="211"/>
      <c r="G3" s="211"/>
      <c r="H3" s="211"/>
      <c r="I3" s="212"/>
      <c r="J3" s="196"/>
      <c r="K3" s="206"/>
      <c r="L3" s="206"/>
      <c r="M3" s="206"/>
      <c r="N3" s="206"/>
      <c r="O3" s="206"/>
      <c r="P3" s="206"/>
      <c r="Q3" s="206"/>
      <c r="R3" s="206"/>
      <c r="S3" s="207"/>
      <c r="T3" s="207"/>
      <c r="U3" s="207"/>
      <c r="V3" s="199"/>
      <c r="W3" s="199"/>
      <c r="X3" s="157"/>
      <c r="Y3" s="157"/>
      <c r="Z3" s="157"/>
      <c r="AA3" s="157"/>
      <c r="AB3" s="157"/>
    </row>
    <row r="4" ht="33.0" customHeight="1">
      <c r="A4" s="213" t="s">
        <v>17</v>
      </c>
      <c r="B4" s="214" t="s">
        <v>234</v>
      </c>
      <c r="C4" s="214" t="s">
        <v>235</v>
      </c>
      <c r="D4" s="215" t="s">
        <v>13</v>
      </c>
      <c r="E4" s="215" t="s">
        <v>236</v>
      </c>
      <c r="F4" s="216" t="s">
        <v>237</v>
      </c>
      <c r="G4" s="216" t="s">
        <v>238</v>
      </c>
      <c r="H4" s="215" t="s">
        <v>20</v>
      </c>
      <c r="I4" s="215" t="s">
        <v>239</v>
      </c>
      <c r="J4" s="217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157"/>
      <c r="X4" s="157"/>
      <c r="Y4" s="157"/>
      <c r="Z4" s="157"/>
      <c r="AA4" s="157"/>
      <c r="AB4" s="157"/>
    </row>
    <row r="5" ht="15.75" customHeight="1">
      <c r="A5" s="219"/>
      <c r="B5" s="220"/>
      <c r="C5" s="220"/>
      <c r="D5" s="221" t="s">
        <v>240</v>
      </c>
      <c r="E5" s="222" t="s">
        <v>241</v>
      </c>
      <c r="F5" s="222" t="s">
        <v>241</v>
      </c>
      <c r="G5" s="223"/>
      <c r="H5" s="224"/>
      <c r="I5" s="224"/>
      <c r="J5" s="225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157"/>
      <c r="X5" s="157"/>
      <c r="Y5" s="157"/>
      <c r="Z5" s="157"/>
      <c r="AA5" s="157"/>
      <c r="AB5" s="157"/>
    </row>
    <row r="6" ht="15.75" customHeight="1">
      <c r="A6" s="227" t="s">
        <v>86</v>
      </c>
      <c r="B6" s="228" t="s">
        <v>242</v>
      </c>
      <c r="C6" s="228" t="s">
        <v>75</v>
      </c>
      <c r="D6" s="228" t="s">
        <v>76</v>
      </c>
      <c r="E6" s="229">
        <v>0.0</v>
      </c>
      <c r="F6" s="230">
        <f>SUMIFS('COMPRAS 2025'!$L:$L,'COMPRAS 2025'!$M:$M,'PROVEEDORES CREDITO'!A6,'COMPRAS 2025'!$I:$I,'PROVEEDORES CREDITO'!D6)</f>
        <v>0</v>
      </c>
      <c r="G6" s="230">
        <f t="shared" ref="G6:G16" si="1">E6-F6</f>
        <v>0</v>
      </c>
      <c r="H6" s="231" t="s">
        <v>243</v>
      </c>
      <c r="I6" s="232" t="s">
        <v>244</v>
      </c>
      <c r="J6" s="225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157"/>
      <c r="X6" s="157"/>
      <c r="Y6" s="157"/>
      <c r="Z6" s="157"/>
      <c r="AA6" s="157"/>
      <c r="AB6" s="157"/>
    </row>
    <row r="7" ht="15.75" customHeight="1">
      <c r="A7" s="227" t="s">
        <v>86</v>
      </c>
      <c r="B7" s="228" t="s">
        <v>245</v>
      </c>
      <c r="C7" s="228" t="s">
        <v>45</v>
      </c>
      <c r="D7" s="228" t="s">
        <v>46</v>
      </c>
      <c r="E7" s="233">
        <v>1000000.0</v>
      </c>
      <c r="F7" s="230">
        <f>SUMIFS('COMPRAS 2025'!$L:$L,'COMPRAS 2025'!$M:$M,'PROVEEDORES CREDITO'!A7,'COMPRAS 2025'!$I:$I,'PROVEEDORES CREDITO'!D7)</f>
        <v>0</v>
      </c>
      <c r="G7" s="230">
        <f t="shared" si="1"/>
        <v>1000000</v>
      </c>
      <c r="H7" s="231" t="s">
        <v>246</v>
      </c>
      <c r="I7" s="231"/>
      <c r="J7" s="225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157"/>
      <c r="X7" s="157"/>
      <c r="Y7" s="157"/>
      <c r="Z7" s="157"/>
      <c r="AA7" s="157"/>
      <c r="AB7" s="157"/>
    </row>
    <row r="8" ht="15.75" customHeight="1">
      <c r="A8" s="227" t="s">
        <v>86</v>
      </c>
      <c r="B8" s="228" t="s">
        <v>247</v>
      </c>
      <c r="C8" s="228" t="s">
        <v>64</v>
      </c>
      <c r="D8" s="228" t="s">
        <v>65</v>
      </c>
      <c r="E8" s="233">
        <v>1000000.0</v>
      </c>
      <c r="F8" s="230">
        <f>SUMIFS('COMPRAS 2025'!$L:$L,'COMPRAS 2025'!$M:$M,'PROVEEDORES CREDITO'!A8,'COMPRAS 2025'!$I:$I,'PROVEEDORES CREDITO'!D8)</f>
        <v>0</v>
      </c>
      <c r="G8" s="230">
        <f t="shared" si="1"/>
        <v>1000000</v>
      </c>
      <c r="H8" s="231" t="s">
        <v>248</v>
      </c>
      <c r="I8" s="231" t="s">
        <v>249</v>
      </c>
      <c r="J8" s="225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157"/>
      <c r="X8" s="157"/>
      <c r="Y8" s="157"/>
      <c r="Z8" s="157"/>
      <c r="AA8" s="157"/>
      <c r="AB8" s="157"/>
    </row>
    <row r="9" ht="15.75" customHeight="1">
      <c r="A9" s="227" t="s">
        <v>86</v>
      </c>
      <c r="B9" s="228" t="s">
        <v>250</v>
      </c>
      <c r="C9" s="228" t="s">
        <v>251</v>
      </c>
      <c r="D9" s="228" t="s">
        <v>252</v>
      </c>
      <c r="E9" s="233">
        <v>1000000.0</v>
      </c>
      <c r="F9" s="230">
        <f>SUMIFS('COMPRAS 2025'!$L:$L,'COMPRAS 2025'!$M:$M,'PROVEEDORES CREDITO'!A9,'COMPRAS 2025'!$I:$I,'PROVEEDORES CREDITO'!D9)</f>
        <v>0</v>
      </c>
      <c r="G9" s="230">
        <f t="shared" si="1"/>
        <v>1000000</v>
      </c>
      <c r="H9" s="231" t="s">
        <v>248</v>
      </c>
      <c r="I9" s="231" t="s">
        <v>249</v>
      </c>
      <c r="J9" s="225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157"/>
      <c r="X9" s="157"/>
      <c r="Y9" s="157"/>
      <c r="Z9" s="157"/>
      <c r="AA9" s="157"/>
      <c r="AB9" s="157"/>
    </row>
    <row r="10" ht="15.75" customHeight="1">
      <c r="A10" s="227" t="s">
        <v>86</v>
      </c>
      <c r="B10" s="228" t="s">
        <v>253</v>
      </c>
      <c r="C10" s="228" t="s">
        <v>28</v>
      </c>
      <c r="D10" s="228" t="s">
        <v>29</v>
      </c>
      <c r="E10" s="233">
        <v>1500000.0</v>
      </c>
      <c r="F10" s="230">
        <f>SUMIFS('COMPRAS 2025'!$L:$L,'COMPRAS 2025'!$M:$M,'PROVEEDORES CREDITO'!A10,'COMPRAS 2025'!$I:$I,'PROVEEDORES CREDITO'!D10)</f>
        <v>0</v>
      </c>
      <c r="G10" s="230">
        <f t="shared" si="1"/>
        <v>1500000</v>
      </c>
      <c r="H10" s="231" t="s">
        <v>254</v>
      </c>
      <c r="I10" s="231"/>
      <c r="J10" s="225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157"/>
      <c r="X10" s="157"/>
      <c r="Y10" s="157"/>
      <c r="Z10" s="157"/>
      <c r="AA10" s="157"/>
      <c r="AB10" s="157"/>
    </row>
    <row r="11" ht="15.75" customHeight="1">
      <c r="A11" s="227" t="s">
        <v>86</v>
      </c>
      <c r="B11" s="228" t="s">
        <v>255</v>
      </c>
      <c r="C11" s="228" t="s">
        <v>41</v>
      </c>
      <c r="D11" s="228" t="s">
        <v>42</v>
      </c>
      <c r="E11" s="233">
        <v>3000000.0</v>
      </c>
      <c r="F11" s="230">
        <f>SUMIFS('COMPRAS 2025'!$L:$L,'COMPRAS 2025'!$M:$M,'PROVEEDORES CREDITO'!A11,'COMPRAS 2025'!$I:$I,'PROVEEDORES CREDITO'!D11)</f>
        <v>0</v>
      </c>
      <c r="G11" s="230">
        <f t="shared" si="1"/>
        <v>3000000</v>
      </c>
      <c r="H11" s="231" t="s">
        <v>256</v>
      </c>
      <c r="I11" s="231"/>
      <c r="J11" s="225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157"/>
      <c r="X11" s="157"/>
      <c r="Y11" s="157"/>
      <c r="Z11" s="157"/>
      <c r="AA11" s="157"/>
      <c r="AB11" s="157"/>
    </row>
    <row r="12" ht="15.75" customHeight="1">
      <c r="A12" s="227" t="s">
        <v>86</v>
      </c>
      <c r="B12" s="234" t="s">
        <v>257</v>
      </c>
      <c r="C12" s="234" t="s">
        <v>60</v>
      </c>
      <c r="D12" s="235" t="s">
        <v>61</v>
      </c>
      <c r="E12" s="233">
        <v>500000.0</v>
      </c>
      <c r="F12" s="230">
        <f>SUMIFS('COMPRAS 2025'!$L:$L,'COMPRAS 2025'!$M:$M,'PROVEEDORES CREDITO'!A12,'COMPRAS 2025'!$I:$I,'PROVEEDORES CREDITO'!D12)</f>
        <v>0</v>
      </c>
      <c r="G12" s="230">
        <f t="shared" si="1"/>
        <v>500000</v>
      </c>
      <c r="H12" s="235" t="s">
        <v>258</v>
      </c>
      <c r="I12" s="235"/>
      <c r="J12" s="225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157"/>
      <c r="X12" s="157"/>
      <c r="Y12" s="157"/>
      <c r="Z12" s="157"/>
      <c r="AA12" s="157"/>
      <c r="AB12" s="157"/>
    </row>
    <row r="13" ht="15.75" customHeight="1">
      <c r="A13" s="227" t="s">
        <v>86</v>
      </c>
      <c r="B13" s="234" t="s">
        <v>259</v>
      </c>
      <c r="C13" s="234" t="s">
        <v>260</v>
      </c>
      <c r="D13" s="235" t="s">
        <v>261</v>
      </c>
      <c r="E13" s="233">
        <v>1000000.0</v>
      </c>
      <c r="F13" s="230">
        <f>SUMIFS('COMPRAS 2025'!$L:$L,'COMPRAS 2025'!$M:$M,'PROVEEDORES CREDITO'!A13,'COMPRAS 2025'!$I:$I,'PROVEEDORES CREDITO'!D13)</f>
        <v>0</v>
      </c>
      <c r="G13" s="230">
        <f t="shared" si="1"/>
        <v>1000000</v>
      </c>
      <c r="H13" s="235" t="s">
        <v>262</v>
      </c>
      <c r="I13" s="235"/>
      <c r="J13" s="225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157"/>
      <c r="X13" s="157"/>
      <c r="Y13" s="157"/>
      <c r="Z13" s="157"/>
      <c r="AA13" s="157"/>
      <c r="AB13" s="157"/>
    </row>
    <row r="14" ht="15.75" customHeight="1">
      <c r="A14" s="227" t="s">
        <v>86</v>
      </c>
      <c r="B14" s="234"/>
      <c r="C14" s="234"/>
      <c r="D14" s="235"/>
      <c r="E14" s="233">
        <v>0.0</v>
      </c>
      <c r="F14" s="230">
        <f>SUMIFS('COMPRAS 2025'!$L:$L,'COMPRAS 2025'!$M:$M,'PROVEEDORES CREDITO'!A14,'COMPRAS 2025'!$I:$I,'PROVEEDORES CREDITO'!D14)</f>
        <v>0</v>
      </c>
      <c r="G14" s="230">
        <f t="shared" si="1"/>
        <v>0</v>
      </c>
      <c r="H14" s="235"/>
      <c r="I14" s="235"/>
      <c r="J14" s="225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157"/>
      <c r="X14" s="157"/>
      <c r="Y14" s="157"/>
      <c r="Z14" s="157"/>
      <c r="AA14" s="157"/>
      <c r="AB14" s="157"/>
    </row>
    <row r="15" ht="15.75" customHeight="1">
      <c r="A15" s="227" t="s">
        <v>86</v>
      </c>
      <c r="B15" s="234"/>
      <c r="C15" s="234"/>
      <c r="D15" s="235"/>
      <c r="E15" s="233">
        <v>0.0</v>
      </c>
      <c r="F15" s="230">
        <f>SUMIFS('COMPRAS 2025'!$L:$L,'COMPRAS 2025'!$M:$M,'PROVEEDORES CREDITO'!A15,'COMPRAS 2025'!$I:$I,'PROVEEDORES CREDITO'!D15)</f>
        <v>0</v>
      </c>
      <c r="G15" s="230">
        <f t="shared" si="1"/>
        <v>0</v>
      </c>
      <c r="H15" s="235"/>
      <c r="I15" s="235"/>
      <c r="J15" s="225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157"/>
      <c r="X15" s="157"/>
      <c r="Y15" s="157"/>
      <c r="Z15" s="157"/>
      <c r="AA15" s="157"/>
      <c r="AB15" s="157"/>
    </row>
    <row r="16" ht="15.75" customHeight="1">
      <c r="A16" s="227" t="s">
        <v>86</v>
      </c>
      <c r="B16" s="234"/>
      <c r="C16" s="234"/>
      <c r="D16" s="235"/>
      <c r="E16" s="233">
        <v>0.0</v>
      </c>
      <c r="F16" s="230">
        <f>SUMIFS('COMPRAS 2025'!$L:$L,'COMPRAS 2025'!$M:$M,'PROVEEDORES CREDITO'!A16,'COMPRAS 2025'!$I:$I,'PROVEEDORES CREDITO'!D16)</f>
        <v>0</v>
      </c>
      <c r="G16" s="230">
        <f t="shared" si="1"/>
        <v>0</v>
      </c>
      <c r="H16" s="230"/>
      <c r="I16" s="235"/>
      <c r="J16" s="225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157"/>
      <c r="X16" s="157"/>
      <c r="Y16" s="157"/>
      <c r="Z16" s="157"/>
      <c r="AA16" s="157"/>
      <c r="AB16" s="157"/>
    </row>
    <row r="17" ht="15.75" customHeight="1">
      <c r="A17" s="236"/>
      <c r="B17" s="237"/>
      <c r="C17" s="237"/>
      <c r="D17" s="238" t="s">
        <v>87</v>
      </c>
      <c r="E17" s="239">
        <f t="shared" ref="E17:G17" si="2">SUM(E5:E16)</f>
        <v>9000000</v>
      </c>
      <c r="F17" s="239">
        <f t="shared" si="2"/>
        <v>0</v>
      </c>
      <c r="G17" s="239">
        <f t="shared" si="2"/>
        <v>9000000</v>
      </c>
      <c r="H17" s="239"/>
      <c r="I17" s="240"/>
      <c r="J17" s="225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157"/>
      <c r="Y17" s="157"/>
      <c r="Z17" s="157"/>
      <c r="AA17" s="157"/>
      <c r="AB17" s="157"/>
    </row>
    <row r="18" ht="9.0" customHeight="1">
      <c r="A18" s="241"/>
      <c r="B18" s="137"/>
      <c r="C18" s="137"/>
      <c r="D18" s="242"/>
      <c r="E18" s="243"/>
      <c r="F18" s="138"/>
      <c r="G18" s="138"/>
      <c r="H18" s="138"/>
      <c r="I18" s="244"/>
      <c r="J18" s="225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157"/>
      <c r="Y18" s="157"/>
      <c r="Z18" s="157"/>
      <c r="AA18" s="157"/>
      <c r="AB18" s="157"/>
    </row>
    <row r="19" ht="15.75" customHeight="1">
      <c r="A19" s="241"/>
      <c r="B19" s="137"/>
      <c r="C19" s="137"/>
      <c r="D19" s="157"/>
      <c r="E19" s="243"/>
      <c r="F19" s="138"/>
      <c r="G19" s="138"/>
      <c r="H19" s="138"/>
      <c r="I19" s="245"/>
      <c r="J19" s="225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157"/>
      <c r="Y19" s="157"/>
      <c r="Z19" s="157"/>
      <c r="AA19" s="157"/>
      <c r="AB19" s="157"/>
    </row>
    <row r="20" ht="15.75" customHeight="1">
      <c r="A20" s="241"/>
      <c r="B20" s="137"/>
      <c r="C20" s="137"/>
      <c r="D20" s="157"/>
      <c r="E20" s="243"/>
      <c r="F20" s="138"/>
      <c r="G20" s="138"/>
      <c r="H20" s="138"/>
      <c r="I20" s="246"/>
      <c r="J20" s="225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157"/>
      <c r="Y20" s="157"/>
      <c r="Z20" s="157"/>
      <c r="AA20" s="157"/>
      <c r="AB20" s="157"/>
    </row>
    <row r="21" ht="15.75" customHeight="1">
      <c r="A21" s="241"/>
      <c r="B21" s="137"/>
      <c r="C21" s="137"/>
      <c r="D21" s="157"/>
      <c r="E21" s="243"/>
      <c r="F21" s="138"/>
      <c r="G21" s="138"/>
      <c r="H21" s="138"/>
      <c r="I21" s="245"/>
      <c r="J21" s="225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157"/>
      <c r="Y21" s="157"/>
      <c r="Z21" s="157"/>
      <c r="AA21" s="157"/>
      <c r="AB21" s="157"/>
    </row>
    <row r="22" ht="15.75" customHeight="1">
      <c r="A22" s="241"/>
      <c r="B22" s="137"/>
      <c r="C22" s="137"/>
      <c r="D22" s="157"/>
      <c r="E22" s="243"/>
      <c r="F22" s="138"/>
      <c r="G22" s="138"/>
      <c r="H22" s="138"/>
      <c r="I22" s="245"/>
      <c r="J22" s="225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157"/>
      <c r="Y22" s="157"/>
      <c r="Z22" s="157"/>
      <c r="AA22" s="157"/>
      <c r="AB22" s="157"/>
    </row>
    <row r="23" ht="15.75" customHeight="1">
      <c r="A23" s="241"/>
      <c r="B23" s="137"/>
      <c r="C23" s="137"/>
      <c r="D23" s="157"/>
      <c r="E23" s="243"/>
      <c r="F23" s="138"/>
      <c r="G23" s="138"/>
      <c r="H23" s="138"/>
      <c r="I23" s="245"/>
      <c r="J23" s="225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157"/>
      <c r="Y23" s="157"/>
      <c r="Z23" s="157"/>
      <c r="AA23" s="157"/>
      <c r="AB23" s="157"/>
    </row>
    <row r="24" ht="15.75" customHeight="1">
      <c r="A24" s="241"/>
      <c r="B24" s="137"/>
      <c r="C24" s="137"/>
      <c r="D24" s="243"/>
      <c r="E24" s="243"/>
      <c r="F24" s="138"/>
      <c r="G24" s="138"/>
      <c r="H24" s="138"/>
      <c r="I24" s="246"/>
      <c r="J24" s="225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157"/>
      <c r="Y24" s="157"/>
      <c r="Z24" s="157"/>
      <c r="AA24" s="157"/>
      <c r="AB24" s="157"/>
    </row>
    <row r="25" ht="15.75" customHeight="1">
      <c r="A25" s="241"/>
      <c r="B25" s="137"/>
      <c r="C25" s="137"/>
      <c r="D25" s="243"/>
      <c r="E25" s="243"/>
      <c r="F25" s="138"/>
      <c r="G25" s="138"/>
      <c r="H25" s="138"/>
      <c r="I25" s="247"/>
      <c r="J25" s="225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157"/>
      <c r="Y25" s="157"/>
      <c r="Z25" s="157"/>
      <c r="AA25" s="157"/>
      <c r="AB25" s="157"/>
    </row>
    <row r="26" ht="15.75" customHeight="1">
      <c r="A26" s="241"/>
      <c r="B26" s="137"/>
      <c r="C26" s="137"/>
      <c r="D26" s="243"/>
      <c r="E26" s="243"/>
      <c r="F26" s="138"/>
      <c r="G26" s="138"/>
      <c r="H26" s="138"/>
      <c r="I26" s="244"/>
      <c r="J26" s="225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157"/>
      <c r="Y26" s="157"/>
      <c r="Z26" s="157"/>
      <c r="AA26" s="157"/>
      <c r="AB26" s="157"/>
    </row>
    <row r="27" ht="15.75" customHeight="1">
      <c r="A27" s="241"/>
      <c r="B27" s="137"/>
      <c r="C27" s="137"/>
      <c r="D27" s="243"/>
      <c r="E27" s="243"/>
      <c r="F27" s="138"/>
      <c r="G27" s="138"/>
      <c r="H27" s="138"/>
      <c r="I27" s="244"/>
      <c r="J27" s="225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157"/>
      <c r="Y27" s="157"/>
      <c r="Z27" s="157"/>
      <c r="AA27" s="157"/>
      <c r="AB27" s="157"/>
    </row>
    <row r="28" ht="15.75" customHeight="1">
      <c r="A28" s="241"/>
      <c r="B28" s="137"/>
      <c r="C28" s="137"/>
      <c r="D28" s="243"/>
      <c r="E28" s="243"/>
      <c r="F28" s="138"/>
      <c r="G28" s="138"/>
      <c r="H28" s="138"/>
      <c r="I28" s="244"/>
      <c r="J28" s="225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157"/>
      <c r="Y28" s="157"/>
      <c r="Z28" s="157"/>
      <c r="AA28" s="157"/>
      <c r="AB28" s="157"/>
    </row>
    <row r="29" ht="15.75" customHeight="1">
      <c r="A29" s="241"/>
      <c r="B29" s="137"/>
      <c r="C29" s="137"/>
      <c r="D29" s="243"/>
      <c r="E29" s="243"/>
      <c r="F29" s="138"/>
      <c r="G29" s="138"/>
      <c r="H29" s="138"/>
      <c r="I29" s="244"/>
      <c r="J29" s="225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157"/>
      <c r="Y29" s="157"/>
      <c r="Z29" s="157"/>
      <c r="AA29" s="157"/>
      <c r="AB29" s="157"/>
    </row>
    <row r="30" ht="15.75" customHeight="1">
      <c r="A30" s="241"/>
      <c r="B30" s="137"/>
      <c r="C30" s="137"/>
      <c r="D30" s="243"/>
      <c r="E30" s="243"/>
      <c r="F30" s="138"/>
      <c r="G30" s="138"/>
      <c r="H30" s="138"/>
      <c r="I30" s="244"/>
      <c r="J30" s="225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157"/>
      <c r="Y30" s="157"/>
      <c r="Z30" s="157"/>
      <c r="AA30" s="157"/>
      <c r="AB30" s="157"/>
    </row>
    <row r="31" ht="15.75" customHeight="1">
      <c r="A31" s="241"/>
      <c r="B31" s="137"/>
      <c r="C31" s="137"/>
      <c r="D31" s="243"/>
      <c r="E31" s="243"/>
      <c r="F31" s="138"/>
      <c r="G31" s="138"/>
      <c r="H31" s="138"/>
      <c r="I31" s="244"/>
      <c r="J31" s="225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157"/>
      <c r="Y31" s="157"/>
      <c r="Z31" s="157"/>
      <c r="AA31" s="157"/>
      <c r="AB31" s="157"/>
    </row>
    <row r="32" ht="15.75" customHeight="1">
      <c r="A32" s="241"/>
      <c r="B32" s="137"/>
      <c r="C32" s="137"/>
      <c r="D32" s="243"/>
      <c r="E32" s="243"/>
      <c r="F32" s="138"/>
      <c r="G32" s="138"/>
      <c r="H32" s="138"/>
      <c r="I32" s="244"/>
      <c r="J32" s="225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157"/>
      <c r="Y32" s="157"/>
      <c r="Z32" s="157"/>
      <c r="AA32" s="157"/>
      <c r="AB32" s="157"/>
    </row>
    <row r="33" ht="15.75" customHeight="1">
      <c r="A33" s="241"/>
      <c r="B33" s="137"/>
      <c r="C33" s="137"/>
      <c r="D33" s="243"/>
      <c r="E33" s="243"/>
      <c r="F33" s="138"/>
      <c r="G33" s="138"/>
      <c r="H33" s="138"/>
      <c r="I33" s="244"/>
      <c r="J33" s="225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157"/>
      <c r="Y33" s="157"/>
      <c r="Z33" s="157"/>
      <c r="AA33" s="157"/>
      <c r="AB33" s="157"/>
    </row>
    <row r="34" ht="15.75" customHeight="1">
      <c r="A34" s="241"/>
      <c r="B34" s="137"/>
      <c r="C34" s="137"/>
      <c r="D34" s="243"/>
      <c r="E34" s="243"/>
      <c r="F34" s="138"/>
      <c r="G34" s="138"/>
      <c r="H34" s="138"/>
      <c r="I34" s="244"/>
      <c r="J34" s="225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157"/>
      <c r="Y34" s="157"/>
      <c r="Z34" s="157"/>
      <c r="AA34" s="157"/>
      <c r="AB34" s="157"/>
    </row>
    <row r="35" ht="15.75" customHeight="1">
      <c r="A35" s="241"/>
      <c r="B35" s="137"/>
      <c r="C35" s="137"/>
      <c r="D35" s="243"/>
      <c r="E35" s="243"/>
      <c r="F35" s="138"/>
      <c r="G35" s="138"/>
      <c r="H35" s="138"/>
      <c r="I35" s="244"/>
      <c r="J35" s="225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157"/>
      <c r="Y35" s="157"/>
      <c r="Z35" s="157"/>
      <c r="AA35" s="157"/>
      <c r="AB35" s="157"/>
    </row>
    <row r="36" ht="15.75" customHeight="1">
      <c r="A36" s="241"/>
      <c r="B36" s="137"/>
      <c r="C36" s="137"/>
      <c r="D36" s="243"/>
      <c r="E36" s="243"/>
      <c r="F36" s="138"/>
      <c r="G36" s="138"/>
      <c r="H36" s="138"/>
      <c r="I36" s="244"/>
      <c r="J36" s="225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157"/>
      <c r="Y36" s="157"/>
      <c r="Z36" s="157"/>
      <c r="AA36" s="157"/>
      <c r="AB36" s="157"/>
    </row>
    <row r="37" ht="15.75" customHeight="1">
      <c r="A37" s="241"/>
      <c r="B37" s="137"/>
      <c r="C37" s="137"/>
      <c r="D37" s="243"/>
      <c r="E37" s="243"/>
      <c r="F37" s="138"/>
      <c r="G37" s="138"/>
      <c r="H37" s="138"/>
      <c r="I37" s="244"/>
      <c r="J37" s="225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157"/>
      <c r="Y37" s="157"/>
      <c r="Z37" s="157"/>
      <c r="AA37" s="157"/>
      <c r="AB37" s="157"/>
    </row>
    <row r="38" ht="15.75" customHeight="1">
      <c r="A38" s="241"/>
      <c r="B38" s="137"/>
      <c r="C38" s="137"/>
      <c r="D38" s="243"/>
      <c r="E38" s="243"/>
      <c r="F38" s="138"/>
      <c r="G38" s="138"/>
      <c r="H38" s="138"/>
      <c r="I38" s="244"/>
      <c r="J38" s="225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157"/>
      <c r="Y38" s="157"/>
      <c r="Z38" s="157"/>
      <c r="AA38" s="157"/>
      <c r="AB38" s="157"/>
    </row>
    <row r="39" ht="15.75" customHeight="1">
      <c r="A39" s="241"/>
      <c r="B39" s="137"/>
      <c r="C39" s="137"/>
      <c r="D39" s="243"/>
      <c r="E39" s="243"/>
      <c r="F39" s="138"/>
      <c r="G39" s="138"/>
      <c r="H39" s="138"/>
      <c r="I39" s="244"/>
      <c r="J39" s="225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157"/>
      <c r="Y39" s="157"/>
      <c r="Z39" s="157"/>
      <c r="AA39" s="157"/>
      <c r="AB39" s="157"/>
    </row>
    <row r="40" ht="15.75" customHeight="1">
      <c r="A40" s="241"/>
      <c r="B40" s="137"/>
      <c r="C40" s="137"/>
      <c r="D40" s="243"/>
      <c r="E40" s="243"/>
      <c r="F40" s="138"/>
      <c r="G40" s="138"/>
      <c r="H40" s="138"/>
      <c r="I40" s="244"/>
      <c r="J40" s="225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157"/>
      <c r="Y40" s="157"/>
      <c r="Z40" s="157"/>
      <c r="AA40" s="157"/>
      <c r="AB40" s="157"/>
    </row>
    <row r="41" ht="15.75" customHeight="1">
      <c r="A41" s="241"/>
      <c r="B41" s="137"/>
      <c r="C41" s="137"/>
      <c r="D41" s="243"/>
      <c r="E41" s="243"/>
      <c r="F41" s="138"/>
      <c r="G41" s="138"/>
      <c r="H41" s="138"/>
      <c r="I41" s="244"/>
      <c r="J41" s="225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157"/>
      <c r="Y41" s="157"/>
      <c r="Z41" s="157"/>
      <c r="AA41" s="157"/>
      <c r="AB41" s="157"/>
    </row>
    <row r="42" ht="15.75" customHeight="1">
      <c r="A42" s="241"/>
      <c r="B42" s="137"/>
      <c r="C42" s="137"/>
      <c r="D42" s="243"/>
      <c r="E42" s="243"/>
      <c r="F42" s="138"/>
      <c r="G42" s="138"/>
      <c r="H42" s="138"/>
      <c r="I42" s="244"/>
      <c r="J42" s="225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157"/>
      <c r="Y42" s="157"/>
      <c r="Z42" s="157"/>
      <c r="AA42" s="157"/>
      <c r="AB42" s="157"/>
    </row>
    <row r="43" ht="15.75" customHeight="1">
      <c r="A43" s="241"/>
      <c r="B43" s="137"/>
      <c r="C43" s="137"/>
      <c r="D43" s="243"/>
      <c r="E43" s="243"/>
      <c r="F43" s="138"/>
      <c r="G43" s="138"/>
      <c r="H43" s="138"/>
      <c r="I43" s="244"/>
      <c r="J43" s="225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157"/>
      <c r="Y43" s="157"/>
      <c r="Z43" s="157"/>
      <c r="AA43" s="157"/>
      <c r="AB43" s="157"/>
    </row>
    <row r="44" ht="15.75" customHeight="1">
      <c r="A44" s="241"/>
      <c r="B44" s="137"/>
      <c r="C44" s="137"/>
      <c r="D44" s="243"/>
      <c r="E44" s="243"/>
      <c r="F44" s="138"/>
      <c r="G44" s="138"/>
      <c r="H44" s="138"/>
      <c r="I44" s="244"/>
      <c r="J44" s="225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157"/>
      <c r="Y44" s="157"/>
      <c r="Z44" s="157"/>
      <c r="AA44" s="157"/>
      <c r="AB44" s="157"/>
    </row>
    <row r="45" ht="15.75" customHeight="1">
      <c r="A45" s="241"/>
      <c r="B45" s="137"/>
      <c r="C45" s="137"/>
      <c r="D45" s="243"/>
      <c r="E45" s="243"/>
      <c r="F45" s="138"/>
      <c r="G45" s="138"/>
      <c r="H45" s="138"/>
      <c r="I45" s="244"/>
      <c r="J45" s="225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157"/>
      <c r="Y45" s="157"/>
      <c r="Z45" s="157"/>
      <c r="AA45" s="157"/>
      <c r="AB45" s="157"/>
    </row>
    <row r="46" ht="15.75" customHeight="1">
      <c r="A46" s="241"/>
      <c r="B46" s="137"/>
      <c r="C46" s="137"/>
      <c r="D46" s="243"/>
      <c r="E46" s="243"/>
      <c r="F46" s="138"/>
      <c r="G46" s="138"/>
      <c r="H46" s="138"/>
      <c r="I46" s="244"/>
      <c r="J46" s="225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157"/>
      <c r="Y46" s="157"/>
      <c r="Z46" s="157"/>
      <c r="AA46" s="157"/>
      <c r="AB46" s="157"/>
    </row>
    <row r="47" ht="15.75" customHeight="1">
      <c r="A47" s="241"/>
      <c r="B47" s="137"/>
      <c r="C47" s="137"/>
      <c r="D47" s="243"/>
      <c r="E47" s="243"/>
      <c r="F47" s="138"/>
      <c r="G47" s="138"/>
      <c r="H47" s="138"/>
      <c r="I47" s="244"/>
      <c r="J47" s="225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157"/>
      <c r="Y47" s="157"/>
      <c r="Z47" s="157"/>
      <c r="AA47" s="157"/>
      <c r="AB47" s="157"/>
    </row>
    <row r="48" ht="15.75" customHeight="1">
      <c r="A48" s="241"/>
      <c r="B48" s="137"/>
      <c r="C48" s="137"/>
      <c r="D48" s="243"/>
      <c r="E48" s="243"/>
      <c r="F48" s="138"/>
      <c r="G48" s="138"/>
      <c r="H48" s="138"/>
      <c r="I48" s="244"/>
      <c r="J48" s="225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157"/>
      <c r="Y48" s="157"/>
      <c r="Z48" s="157"/>
      <c r="AA48" s="157"/>
      <c r="AB48" s="157"/>
    </row>
    <row r="49" ht="15.75" customHeight="1">
      <c r="A49" s="241"/>
      <c r="B49" s="137"/>
      <c r="C49" s="137"/>
      <c r="D49" s="243"/>
      <c r="E49" s="243"/>
      <c r="F49" s="138"/>
      <c r="G49" s="138"/>
      <c r="H49" s="138"/>
      <c r="I49" s="244"/>
      <c r="J49" s="225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157"/>
      <c r="Y49" s="157"/>
      <c r="Z49" s="157"/>
      <c r="AA49" s="157"/>
      <c r="AB49" s="157"/>
    </row>
    <row r="50" ht="15.75" customHeight="1">
      <c r="A50" s="241"/>
      <c r="B50" s="137"/>
      <c r="C50" s="137"/>
      <c r="D50" s="243"/>
      <c r="E50" s="243"/>
      <c r="F50" s="138"/>
      <c r="G50" s="138"/>
      <c r="H50" s="138"/>
      <c r="I50" s="244"/>
      <c r="J50" s="225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157"/>
      <c r="Y50" s="157"/>
      <c r="Z50" s="157"/>
      <c r="AA50" s="157"/>
      <c r="AB50" s="157"/>
    </row>
    <row r="51" ht="15.75" customHeight="1">
      <c r="A51" s="241"/>
      <c r="B51" s="137"/>
      <c r="C51" s="137"/>
      <c r="D51" s="243"/>
      <c r="E51" s="243"/>
      <c r="F51" s="138"/>
      <c r="G51" s="138"/>
      <c r="H51" s="138"/>
      <c r="I51" s="244"/>
      <c r="J51" s="225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157"/>
      <c r="Y51" s="157"/>
      <c r="Z51" s="157"/>
      <c r="AA51" s="157"/>
      <c r="AB51" s="157"/>
    </row>
    <row r="52" ht="15.75" customHeight="1">
      <c r="A52" s="241"/>
      <c r="B52" s="137"/>
      <c r="C52" s="137"/>
      <c r="D52" s="243"/>
      <c r="E52" s="243"/>
      <c r="F52" s="138"/>
      <c r="G52" s="138"/>
      <c r="H52" s="138"/>
      <c r="I52" s="244"/>
      <c r="J52" s="225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157"/>
      <c r="Y52" s="157"/>
      <c r="Z52" s="157"/>
      <c r="AA52" s="157"/>
      <c r="AB52" s="157"/>
    </row>
    <row r="53" ht="15.75" customHeight="1">
      <c r="A53" s="241"/>
      <c r="B53" s="137"/>
      <c r="C53" s="137"/>
      <c r="D53" s="243"/>
      <c r="E53" s="243"/>
      <c r="F53" s="138"/>
      <c r="G53" s="138"/>
      <c r="H53" s="138"/>
      <c r="I53" s="244"/>
      <c r="J53" s="225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157"/>
      <c r="Y53" s="157"/>
      <c r="Z53" s="157"/>
      <c r="AA53" s="157"/>
      <c r="AB53" s="157"/>
    </row>
    <row r="54" ht="15.75" customHeight="1">
      <c r="A54" s="241"/>
      <c r="B54" s="137"/>
      <c r="C54" s="137"/>
      <c r="D54" s="243"/>
      <c r="E54" s="243"/>
      <c r="F54" s="138"/>
      <c r="G54" s="138"/>
      <c r="H54" s="138"/>
      <c r="I54" s="244"/>
      <c r="J54" s="225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157"/>
      <c r="Y54" s="157"/>
      <c r="Z54" s="157"/>
      <c r="AA54" s="157"/>
      <c r="AB54" s="157"/>
    </row>
    <row r="55" ht="15.75" customHeight="1">
      <c r="A55" s="241"/>
      <c r="B55" s="137"/>
      <c r="C55" s="137"/>
      <c r="D55" s="243"/>
      <c r="E55" s="243"/>
      <c r="F55" s="138"/>
      <c r="G55" s="138"/>
      <c r="H55" s="138"/>
      <c r="I55" s="244"/>
      <c r="J55" s="225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157"/>
      <c r="Y55" s="157"/>
      <c r="Z55" s="157"/>
      <c r="AA55" s="157"/>
      <c r="AB55" s="157"/>
    </row>
    <row r="56" ht="15.75" customHeight="1">
      <c r="A56" s="241"/>
      <c r="B56" s="137"/>
      <c r="C56" s="137"/>
      <c r="D56" s="243"/>
      <c r="E56" s="243"/>
      <c r="F56" s="138"/>
      <c r="G56" s="138"/>
      <c r="H56" s="138"/>
      <c r="I56" s="244"/>
      <c r="J56" s="225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157"/>
      <c r="Y56" s="157"/>
      <c r="Z56" s="157"/>
      <c r="AA56" s="157"/>
      <c r="AB56" s="157"/>
    </row>
    <row r="57" ht="15.75" customHeight="1">
      <c r="A57" s="241"/>
      <c r="B57" s="137"/>
      <c r="C57" s="137"/>
      <c r="D57" s="243"/>
      <c r="E57" s="243"/>
      <c r="F57" s="138"/>
      <c r="G57" s="138"/>
      <c r="H57" s="138"/>
      <c r="I57" s="244"/>
      <c r="J57" s="225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157"/>
      <c r="Y57" s="157"/>
      <c r="Z57" s="157"/>
      <c r="AA57" s="157"/>
      <c r="AB57" s="157"/>
    </row>
    <row r="58" ht="15.75" customHeight="1">
      <c r="A58" s="241"/>
      <c r="B58" s="137"/>
      <c r="C58" s="137"/>
      <c r="D58" s="243"/>
      <c r="E58" s="243"/>
      <c r="F58" s="138"/>
      <c r="G58" s="138"/>
      <c r="H58" s="138"/>
      <c r="I58" s="244"/>
      <c r="J58" s="225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157"/>
      <c r="Y58" s="157"/>
      <c r="Z58" s="157"/>
      <c r="AA58" s="157"/>
      <c r="AB58" s="157"/>
    </row>
    <row r="59" ht="15.75" customHeight="1">
      <c r="A59" s="241"/>
      <c r="B59" s="137"/>
      <c r="C59" s="137"/>
      <c r="D59" s="243"/>
      <c r="E59" s="243"/>
      <c r="F59" s="138"/>
      <c r="G59" s="138"/>
      <c r="H59" s="138"/>
      <c r="I59" s="244"/>
      <c r="J59" s="225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157"/>
      <c r="Y59" s="157"/>
      <c r="Z59" s="157"/>
      <c r="AA59" s="157"/>
      <c r="AB59" s="157"/>
    </row>
    <row r="60" ht="15.75" customHeight="1">
      <c r="A60" s="241"/>
      <c r="B60" s="137"/>
      <c r="C60" s="137"/>
      <c r="D60" s="243"/>
      <c r="E60" s="243"/>
      <c r="F60" s="138"/>
      <c r="G60" s="138"/>
      <c r="H60" s="138"/>
      <c r="I60" s="244"/>
      <c r="J60" s="225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157"/>
      <c r="Y60" s="157"/>
      <c r="Z60" s="157"/>
      <c r="AA60" s="157"/>
      <c r="AB60" s="157"/>
    </row>
    <row r="61" ht="15.75" customHeight="1">
      <c r="A61" s="241"/>
      <c r="B61" s="137"/>
      <c r="C61" s="137"/>
      <c r="D61" s="243"/>
      <c r="E61" s="243"/>
      <c r="F61" s="138"/>
      <c r="G61" s="138"/>
      <c r="H61" s="138"/>
      <c r="I61" s="244"/>
      <c r="J61" s="225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157"/>
      <c r="Y61" s="157"/>
      <c r="Z61" s="157"/>
      <c r="AA61" s="157"/>
      <c r="AB61" s="157"/>
    </row>
    <row r="62" ht="15.75" customHeight="1">
      <c r="A62" s="241"/>
      <c r="B62" s="137"/>
      <c r="C62" s="137"/>
      <c r="D62" s="243"/>
      <c r="E62" s="243"/>
      <c r="F62" s="138"/>
      <c r="G62" s="138"/>
      <c r="H62" s="138"/>
      <c r="I62" s="244"/>
      <c r="J62" s="225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157"/>
      <c r="Y62" s="157"/>
      <c r="Z62" s="157"/>
      <c r="AA62" s="157"/>
      <c r="AB62" s="157"/>
    </row>
    <row r="63" ht="15.75" customHeight="1">
      <c r="A63" s="241"/>
      <c r="B63" s="137"/>
      <c r="C63" s="137"/>
      <c r="D63" s="243"/>
      <c r="E63" s="243"/>
      <c r="F63" s="138"/>
      <c r="G63" s="138"/>
      <c r="H63" s="138"/>
      <c r="I63" s="244"/>
      <c r="J63" s="225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157"/>
      <c r="Y63" s="157"/>
      <c r="Z63" s="157"/>
      <c r="AA63" s="157"/>
      <c r="AB63" s="157"/>
    </row>
    <row r="64" ht="15.75" customHeight="1">
      <c r="A64" s="241"/>
      <c r="B64" s="137"/>
      <c r="C64" s="137"/>
      <c r="D64" s="243"/>
      <c r="E64" s="243"/>
      <c r="F64" s="138"/>
      <c r="G64" s="138"/>
      <c r="H64" s="138"/>
      <c r="I64" s="244"/>
      <c r="J64" s="225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157"/>
      <c r="Y64" s="157"/>
      <c r="Z64" s="157"/>
      <c r="AA64" s="157"/>
      <c r="AB64" s="157"/>
    </row>
    <row r="65" ht="15.75" customHeight="1">
      <c r="A65" s="241"/>
      <c r="B65" s="137"/>
      <c r="C65" s="137"/>
      <c r="D65" s="243"/>
      <c r="E65" s="243"/>
      <c r="F65" s="138"/>
      <c r="G65" s="138"/>
      <c r="H65" s="138"/>
      <c r="I65" s="244"/>
      <c r="J65" s="225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157"/>
      <c r="Y65" s="157"/>
      <c r="Z65" s="157"/>
      <c r="AA65" s="157"/>
      <c r="AB65" s="157"/>
    </row>
    <row r="66" ht="15.75" customHeight="1">
      <c r="A66" s="241"/>
      <c r="B66" s="137"/>
      <c r="C66" s="137"/>
      <c r="D66" s="243"/>
      <c r="E66" s="243"/>
      <c r="F66" s="138"/>
      <c r="G66" s="138"/>
      <c r="H66" s="138"/>
      <c r="I66" s="244"/>
      <c r="J66" s="225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157"/>
      <c r="Y66" s="157"/>
      <c r="Z66" s="157"/>
      <c r="AA66" s="157"/>
      <c r="AB66" s="157"/>
    </row>
    <row r="67" ht="15.75" customHeight="1">
      <c r="A67" s="241"/>
      <c r="B67" s="137"/>
      <c r="C67" s="137"/>
      <c r="D67" s="243"/>
      <c r="E67" s="243"/>
      <c r="F67" s="138"/>
      <c r="G67" s="138"/>
      <c r="H67" s="138"/>
      <c r="I67" s="244"/>
      <c r="J67" s="225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157"/>
      <c r="Y67" s="157"/>
      <c r="Z67" s="157"/>
      <c r="AA67" s="157"/>
      <c r="AB67" s="157"/>
    </row>
    <row r="68" ht="15.75" customHeight="1">
      <c r="A68" s="241"/>
      <c r="B68" s="137"/>
      <c r="C68" s="137"/>
      <c r="D68" s="243"/>
      <c r="E68" s="243"/>
      <c r="F68" s="138"/>
      <c r="G68" s="138"/>
      <c r="H68" s="138"/>
      <c r="I68" s="244"/>
      <c r="J68" s="225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157"/>
      <c r="Y68" s="157"/>
      <c r="Z68" s="157"/>
      <c r="AA68" s="157"/>
      <c r="AB68" s="157"/>
    </row>
    <row r="69" ht="15.75" customHeight="1">
      <c r="A69" s="241"/>
      <c r="B69" s="137"/>
      <c r="C69" s="137"/>
      <c r="D69" s="243"/>
      <c r="E69" s="243"/>
      <c r="F69" s="138"/>
      <c r="G69" s="138"/>
      <c r="H69" s="138"/>
      <c r="I69" s="244"/>
      <c r="J69" s="225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157"/>
      <c r="Y69" s="157"/>
      <c r="Z69" s="157"/>
      <c r="AA69" s="157"/>
      <c r="AB69" s="157"/>
    </row>
    <row r="70" ht="15.75" customHeight="1">
      <c r="A70" s="241"/>
      <c r="B70" s="137"/>
      <c r="C70" s="137"/>
      <c r="D70" s="243"/>
      <c r="E70" s="243"/>
      <c r="F70" s="138"/>
      <c r="G70" s="138"/>
      <c r="H70" s="138"/>
      <c r="I70" s="244"/>
      <c r="J70" s="225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157"/>
      <c r="Y70" s="157"/>
      <c r="Z70" s="157"/>
      <c r="AA70" s="157"/>
      <c r="AB70" s="157"/>
    </row>
    <row r="71" ht="15.75" customHeight="1">
      <c r="A71" s="241"/>
      <c r="B71" s="137"/>
      <c r="C71" s="137"/>
      <c r="D71" s="243"/>
      <c r="E71" s="243"/>
      <c r="F71" s="138"/>
      <c r="G71" s="138"/>
      <c r="H71" s="138"/>
      <c r="I71" s="244"/>
      <c r="J71" s="225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157"/>
      <c r="Y71" s="157"/>
      <c r="Z71" s="157"/>
      <c r="AA71" s="157"/>
      <c r="AB71" s="157"/>
    </row>
    <row r="72" ht="15.75" customHeight="1">
      <c r="A72" s="241"/>
      <c r="B72" s="137"/>
      <c r="C72" s="137"/>
      <c r="D72" s="243"/>
      <c r="E72" s="243"/>
      <c r="F72" s="138"/>
      <c r="G72" s="138"/>
      <c r="H72" s="138"/>
      <c r="I72" s="244"/>
      <c r="J72" s="225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157"/>
      <c r="Y72" s="157"/>
      <c r="Z72" s="157"/>
      <c r="AA72" s="157"/>
      <c r="AB72" s="157"/>
    </row>
    <row r="73" ht="15.75" customHeight="1">
      <c r="A73" s="241"/>
      <c r="B73" s="137"/>
      <c r="C73" s="137"/>
      <c r="D73" s="243"/>
      <c r="E73" s="243"/>
      <c r="F73" s="138"/>
      <c r="G73" s="138"/>
      <c r="H73" s="138"/>
      <c r="I73" s="244"/>
      <c r="J73" s="225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157"/>
      <c r="Y73" s="157"/>
      <c r="Z73" s="157"/>
      <c r="AA73" s="157"/>
      <c r="AB73" s="157"/>
    </row>
    <row r="74" ht="15.75" customHeight="1">
      <c r="A74" s="241"/>
      <c r="B74" s="137"/>
      <c r="C74" s="137"/>
      <c r="D74" s="243"/>
      <c r="E74" s="243"/>
      <c r="F74" s="138"/>
      <c r="G74" s="138"/>
      <c r="H74" s="138"/>
      <c r="I74" s="244"/>
      <c r="J74" s="225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157"/>
      <c r="Y74" s="157"/>
      <c r="Z74" s="157"/>
      <c r="AA74" s="157"/>
      <c r="AB74" s="157"/>
    </row>
    <row r="75" ht="15.75" customHeight="1">
      <c r="A75" s="241"/>
      <c r="B75" s="137"/>
      <c r="C75" s="137"/>
      <c r="D75" s="243"/>
      <c r="E75" s="243"/>
      <c r="F75" s="138"/>
      <c r="G75" s="138"/>
      <c r="H75" s="138"/>
      <c r="I75" s="244"/>
      <c r="J75" s="225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157"/>
      <c r="Y75" s="157"/>
      <c r="Z75" s="157"/>
      <c r="AA75" s="157"/>
      <c r="AB75" s="157"/>
    </row>
    <row r="76" ht="15.75" customHeight="1">
      <c r="A76" s="241"/>
      <c r="B76" s="137"/>
      <c r="C76" s="137"/>
      <c r="D76" s="243"/>
      <c r="E76" s="243"/>
      <c r="F76" s="138"/>
      <c r="G76" s="138"/>
      <c r="H76" s="138"/>
      <c r="I76" s="244"/>
      <c r="J76" s="225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157"/>
      <c r="Y76" s="157"/>
      <c r="Z76" s="157"/>
      <c r="AA76" s="157"/>
      <c r="AB76" s="157"/>
    </row>
    <row r="77" ht="15.75" customHeight="1">
      <c r="A77" s="241"/>
      <c r="B77" s="137"/>
      <c r="C77" s="137"/>
      <c r="D77" s="243"/>
      <c r="E77" s="243"/>
      <c r="F77" s="138"/>
      <c r="G77" s="138"/>
      <c r="H77" s="138"/>
      <c r="I77" s="244"/>
      <c r="J77" s="225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157"/>
      <c r="Y77" s="157"/>
      <c r="Z77" s="157"/>
      <c r="AA77" s="157"/>
      <c r="AB77" s="157"/>
    </row>
    <row r="78" ht="15.75" customHeight="1">
      <c r="A78" s="241"/>
      <c r="B78" s="137"/>
      <c r="C78" s="137"/>
      <c r="D78" s="243"/>
      <c r="E78" s="243"/>
      <c r="F78" s="138"/>
      <c r="G78" s="138"/>
      <c r="H78" s="138"/>
      <c r="I78" s="244"/>
      <c r="J78" s="225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157"/>
      <c r="Y78" s="157"/>
      <c r="Z78" s="157"/>
      <c r="AA78" s="157"/>
      <c r="AB78" s="157"/>
    </row>
    <row r="79" ht="15.75" customHeight="1">
      <c r="A79" s="241"/>
      <c r="B79" s="137"/>
      <c r="C79" s="137"/>
      <c r="D79" s="243"/>
      <c r="E79" s="243"/>
      <c r="F79" s="138"/>
      <c r="G79" s="138"/>
      <c r="H79" s="138"/>
      <c r="I79" s="244"/>
      <c r="J79" s="225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157"/>
      <c r="Y79" s="157"/>
      <c r="Z79" s="157"/>
      <c r="AA79" s="157"/>
      <c r="AB79" s="157"/>
    </row>
    <row r="80" ht="15.75" customHeight="1">
      <c r="A80" s="241"/>
      <c r="B80" s="137"/>
      <c r="C80" s="137"/>
      <c r="D80" s="243"/>
      <c r="E80" s="243"/>
      <c r="F80" s="138"/>
      <c r="G80" s="138"/>
      <c r="H80" s="138"/>
      <c r="I80" s="244"/>
      <c r="J80" s="225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157"/>
      <c r="Y80" s="157"/>
      <c r="Z80" s="157"/>
      <c r="AA80" s="157"/>
      <c r="AB80" s="157"/>
    </row>
    <row r="81" ht="15.75" customHeight="1">
      <c r="A81" s="241"/>
      <c r="B81" s="137"/>
      <c r="C81" s="137"/>
      <c r="D81" s="243"/>
      <c r="E81" s="243"/>
      <c r="F81" s="138"/>
      <c r="G81" s="138"/>
      <c r="H81" s="138"/>
      <c r="I81" s="244"/>
      <c r="J81" s="225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157"/>
      <c r="Y81" s="157"/>
      <c r="Z81" s="157"/>
      <c r="AA81" s="157"/>
      <c r="AB81" s="157"/>
    </row>
    <row r="82" ht="15.75" customHeight="1">
      <c r="A82" s="241"/>
      <c r="B82" s="137"/>
      <c r="C82" s="137"/>
      <c r="D82" s="243"/>
      <c r="E82" s="243"/>
      <c r="F82" s="138"/>
      <c r="G82" s="138"/>
      <c r="H82" s="138"/>
      <c r="I82" s="244"/>
      <c r="J82" s="225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157"/>
      <c r="Y82" s="157"/>
      <c r="Z82" s="157"/>
      <c r="AA82" s="157"/>
      <c r="AB82" s="157"/>
    </row>
    <row r="83" ht="15.75" customHeight="1">
      <c r="A83" s="241"/>
      <c r="B83" s="137"/>
      <c r="C83" s="137"/>
      <c r="D83" s="243"/>
      <c r="E83" s="243"/>
      <c r="F83" s="138"/>
      <c r="G83" s="138"/>
      <c r="H83" s="138"/>
      <c r="I83" s="244"/>
      <c r="J83" s="225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157"/>
      <c r="Y83" s="157"/>
      <c r="Z83" s="157"/>
      <c r="AA83" s="157"/>
      <c r="AB83" s="157"/>
    </row>
    <row r="84" ht="15.75" customHeight="1">
      <c r="A84" s="241"/>
      <c r="B84" s="137"/>
      <c r="C84" s="137"/>
      <c r="D84" s="243"/>
      <c r="E84" s="243"/>
      <c r="F84" s="138"/>
      <c r="G84" s="138"/>
      <c r="H84" s="138"/>
      <c r="I84" s="244"/>
      <c r="J84" s="225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157"/>
      <c r="Y84" s="157"/>
      <c r="Z84" s="157"/>
      <c r="AA84" s="157"/>
      <c r="AB84" s="157"/>
    </row>
    <row r="85" ht="15.75" customHeight="1">
      <c r="A85" s="241"/>
      <c r="B85" s="137"/>
      <c r="C85" s="137"/>
      <c r="D85" s="243"/>
      <c r="E85" s="243"/>
      <c r="F85" s="138"/>
      <c r="G85" s="138"/>
      <c r="H85" s="138"/>
      <c r="I85" s="244"/>
      <c r="J85" s="225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157"/>
      <c r="Y85" s="157"/>
      <c r="Z85" s="157"/>
      <c r="AA85" s="157"/>
      <c r="AB85" s="157"/>
    </row>
    <row r="86" ht="15.75" customHeight="1">
      <c r="A86" s="241"/>
      <c r="B86" s="137"/>
      <c r="C86" s="137"/>
      <c r="D86" s="243"/>
      <c r="E86" s="243"/>
      <c r="F86" s="138"/>
      <c r="G86" s="138"/>
      <c r="H86" s="138"/>
      <c r="I86" s="244"/>
      <c r="J86" s="225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157"/>
      <c r="Y86" s="157"/>
      <c r="Z86" s="157"/>
      <c r="AA86" s="157"/>
      <c r="AB86" s="157"/>
    </row>
    <row r="87" ht="15.75" customHeight="1">
      <c r="A87" s="241"/>
      <c r="B87" s="137"/>
      <c r="C87" s="137"/>
      <c r="D87" s="243"/>
      <c r="E87" s="243"/>
      <c r="F87" s="138"/>
      <c r="G87" s="138"/>
      <c r="H87" s="138"/>
      <c r="I87" s="244"/>
      <c r="J87" s="225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157"/>
      <c r="Y87" s="157"/>
      <c r="Z87" s="157"/>
      <c r="AA87" s="157"/>
      <c r="AB87" s="157"/>
    </row>
    <row r="88" ht="15.75" customHeight="1">
      <c r="A88" s="241"/>
      <c r="B88" s="137"/>
      <c r="C88" s="137"/>
      <c r="D88" s="243"/>
      <c r="E88" s="243"/>
      <c r="F88" s="138"/>
      <c r="G88" s="138"/>
      <c r="H88" s="138"/>
      <c r="I88" s="244"/>
      <c r="J88" s="225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157"/>
      <c r="Y88" s="157"/>
      <c r="Z88" s="157"/>
      <c r="AA88" s="157"/>
      <c r="AB88" s="157"/>
    </row>
    <row r="89" ht="15.75" customHeight="1">
      <c r="A89" s="241"/>
      <c r="B89" s="137"/>
      <c r="C89" s="137"/>
      <c r="D89" s="243"/>
      <c r="E89" s="243"/>
      <c r="F89" s="138"/>
      <c r="G89" s="138"/>
      <c r="H89" s="138"/>
      <c r="I89" s="244"/>
      <c r="J89" s="225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157"/>
      <c r="Y89" s="157"/>
      <c r="Z89" s="157"/>
      <c r="AA89" s="157"/>
      <c r="AB89" s="157"/>
    </row>
    <row r="90" ht="15.75" customHeight="1">
      <c r="A90" s="241"/>
      <c r="B90" s="137"/>
      <c r="C90" s="137"/>
      <c r="D90" s="243"/>
      <c r="E90" s="243"/>
      <c r="F90" s="138"/>
      <c r="G90" s="138"/>
      <c r="H90" s="138"/>
      <c r="I90" s="244"/>
      <c r="J90" s="225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157"/>
      <c r="Y90" s="157"/>
      <c r="Z90" s="157"/>
      <c r="AA90" s="157"/>
      <c r="AB90" s="157"/>
    </row>
    <row r="91" ht="15.75" customHeight="1">
      <c r="A91" s="241"/>
      <c r="B91" s="137"/>
      <c r="C91" s="137"/>
      <c r="D91" s="243"/>
      <c r="E91" s="243"/>
      <c r="F91" s="138"/>
      <c r="G91" s="138"/>
      <c r="H91" s="138"/>
      <c r="I91" s="244"/>
      <c r="J91" s="225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157"/>
      <c r="Y91" s="157"/>
      <c r="Z91" s="157"/>
      <c r="AA91" s="157"/>
      <c r="AB91" s="157"/>
    </row>
    <row r="92" ht="15.75" customHeight="1">
      <c r="A92" s="241"/>
      <c r="B92" s="137"/>
      <c r="C92" s="137"/>
      <c r="D92" s="243"/>
      <c r="E92" s="243"/>
      <c r="F92" s="138"/>
      <c r="G92" s="138"/>
      <c r="H92" s="138"/>
      <c r="I92" s="244"/>
      <c r="J92" s="225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57"/>
      <c r="Y92" s="157"/>
      <c r="Z92" s="157"/>
      <c r="AA92" s="157"/>
      <c r="AB92" s="157"/>
    </row>
    <row r="93" ht="15.75" customHeight="1">
      <c r="A93" s="241"/>
      <c r="B93" s="137"/>
      <c r="C93" s="137"/>
      <c r="D93" s="243"/>
      <c r="E93" s="243"/>
      <c r="F93" s="138"/>
      <c r="G93" s="138"/>
      <c r="H93" s="138"/>
      <c r="I93" s="244"/>
      <c r="J93" s="225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157"/>
      <c r="Y93" s="157"/>
      <c r="Z93" s="157"/>
      <c r="AA93" s="157"/>
      <c r="AB93" s="157"/>
    </row>
    <row r="94" ht="15.75" customHeight="1">
      <c r="A94" s="241"/>
      <c r="B94" s="137"/>
      <c r="C94" s="137"/>
      <c r="D94" s="243"/>
      <c r="E94" s="243"/>
      <c r="F94" s="138"/>
      <c r="G94" s="138"/>
      <c r="H94" s="138"/>
      <c r="I94" s="244"/>
      <c r="J94" s="225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157"/>
      <c r="Y94" s="157"/>
      <c r="Z94" s="157"/>
      <c r="AA94" s="157"/>
      <c r="AB94" s="157"/>
    </row>
    <row r="95" ht="15.75" customHeight="1">
      <c r="A95" s="241"/>
      <c r="B95" s="137"/>
      <c r="C95" s="137"/>
      <c r="D95" s="243"/>
      <c r="E95" s="243"/>
      <c r="F95" s="138"/>
      <c r="G95" s="138"/>
      <c r="H95" s="138"/>
      <c r="I95" s="244"/>
      <c r="J95" s="225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157"/>
      <c r="Y95" s="157"/>
      <c r="Z95" s="157"/>
      <c r="AA95" s="157"/>
      <c r="AB95" s="157"/>
    </row>
    <row r="96" ht="15.75" customHeight="1">
      <c r="A96" s="241"/>
      <c r="B96" s="137"/>
      <c r="C96" s="137"/>
      <c r="D96" s="243"/>
      <c r="E96" s="243"/>
      <c r="F96" s="138"/>
      <c r="G96" s="138"/>
      <c r="H96" s="138"/>
      <c r="I96" s="244"/>
      <c r="J96" s="225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157"/>
      <c r="Y96" s="157"/>
      <c r="Z96" s="157"/>
      <c r="AA96" s="157"/>
      <c r="AB96" s="157"/>
    </row>
    <row r="97" ht="15.75" customHeight="1">
      <c r="A97" s="241"/>
      <c r="B97" s="137"/>
      <c r="C97" s="137"/>
      <c r="D97" s="243"/>
      <c r="E97" s="243"/>
      <c r="F97" s="138"/>
      <c r="G97" s="138"/>
      <c r="H97" s="138"/>
      <c r="I97" s="244"/>
      <c r="J97" s="225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157"/>
      <c r="Y97" s="157"/>
      <c r="Z97" s="157"/>
      <c r="AA97" s="157"/>
      <c r="AB97" s="157"/>
    </row>
    <row r="98" ht="15.75" customHeight="1">
      <c r="A98" s="241"/>
      <c r="B98" s="137"/>
      <c r="C98" s="137"/>
      <c r="D98" s="243"/>
      <c r="E98" s="243"/>
      <c r="F98" s="138"/>
      <c r="G98" s="138"/>
      <c r="H98" s="138"/>
      <c r="I98" s="244"/>
      <c r="J98" s="225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157"/>
      <c r="Y98" s="157"/>
      <c r="Z98" s="157"/>
      <c r="AA98" s="157"/>
      <c r="AB98" s="157"/>
    </row>
    <row r="99" ht="15.75" customHeight="1">
      <c r="A99" s="241"/>
      <c r="B99" s="137"/>
      <c r="C99" s="137"/>
      <c r="D99" s="243"/>
      <c r="E99" s="243"/>
      <c r="F99" s="138"/>
      <c r="G99" s="138"/>
      <c r="H99" s="138"/>
      <c r="I99" s="244"/>
      <c r="J99" s="225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157"/>
      <c r="Y99" s="157"/>
      <c r="Z99" s="157"/>
      <c r="AA99" s="157"/>
      <c r="AB99" s="157"/>
    </row>
    <row r="100" ht="15.75" customHeight="1">
      <c r="A100" s="241"/>
      <c r="B100" s="137"/>
      <c r="C100" s="137"/>
      <c r="D100" s="243"/>
      <c r="E100" s="243"/>
      <c r="F100" s="138"/>
      <c r="G100" s="138"/>
      <c r="H100" s="138"/>
      <c r="I100" s="244"/>
      <c r="J100" s="225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157"/>
      <c r="Y100" s="157"/>
      <c r="Z100" s="157"/>
      <c r="AA100" s="157"/>
      <c r="AB100" s="157"/>
    </row>
    <row r="101" ht="15.75" customHeight="1">
      <c r="A101" s="241"/>
      <c r="B101" s="137"/>
      <c r="C101" s="137"/>
      <c r="D101" s="243"/>
      <c r="E101" s="243"/>
      <c r="F101" s="138"/>
      <c r="G101" s="138"/>
      <c r="H101" s="138"/>
      <c r="I101" s="244"/>
      <c r="J101" s="225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157"/>
      <c r="Y101" s="157"/>
      <c r="Z101" s="157"/>
      <c r="AA101" s="157"/>
      <c r="AB101" s="157"/>
    </row>
    <row r="102" ht="15.75" customHeight="1">
      <c r="A102" s="241"/>
      <c r="B102" s="137"/>
      <c r="C102" s="137"/>
      <c r="D102" s="243"/>
      <c r="E102" s="243"/>
      <c r="F102" s="138"/>
      <c r="G102" s="138"/>
      <c r="H102" s="138"/>
      <c r="I102" s="244"/>
      <c r="J102" s="225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157"/>
      <c r="Y102" s="157"/>
      <c r="Z102" s="157"/>
      <c r="AA102" s="157"/>
      <c r="AB102" s="157"/>
    </row>
    <row r="103" ht="15.75" customHeight="1">
      <c r="A103" s="241"/>
      <c r="B103" s="137"/>
      <c r="C103" s="137"/>
      <c r="D103" s="243"/>
      <c r="E103" s="243"/>
      <c r="F103" s="138"/>
      <c r="G103" s="138"/>
      <c r="H103" s="138"/>
      <c r="I103" s="244"/>
      <c r="J103" s="225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157"/>
      <c r="Y103" s="157"/>
      <c r="Z103" s="157"/>
      <c r="AA103" s="157"/>
      <c r="AB103" s="157"/>
    </row>
    <row r="104" ht="15.75" customHeight="1">
      <c r="A104" s="241"/>
      <c r="B104" s="137"/>
      <c r="C104" s="137"/>
      <c r="D104" s="243"/>
      <c r="E104" s="243"/>
      <c r="F104" s="138"/>
      <c r="G104" s="138"/>
      <c r="H104" s="138"/>
      <c r="I104" s="244"/>
      <c r="J104" s="225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157"/>
      <c r="Y104" s="157"/>
      <c r="Z104" s="157"/>
      <c r="AA104" s="157"/>
      <c r="AB104" s="157"/>
    </row>
    <row r="105" ht="15.75" customHeight="1">
      <c r="A105" s="241"/>
      <c r="B105" s="137"/>
      <c r="C105" s="137"/>
      <c r="D105" s="243"/>
      <c r="E105" s="243"/>
      <c r="F105" s="138"/>
      <c r="G105" s="138"/>
      <c r="H105" s="138"/>
      <c r="I105" s="244"/>
      <c r="J105" s="225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157"/>
      <c r="Y105" s="157"/>
      <c r="Z105" s="157"/>
      <c r="AA105" s="157"/>
      <c r="AB105" s="157"/>
    </row>
    <row r="106" ht="15.75" customHeight="1">
      <c r="A106" s="241"/>
      <c r="B106" s="137"/>
      <c r="C106" s="137"/>
      <c r="D106" s="243"/>
      <c r="E106" s="243"/>
      <c r="F106" s="138"/>
      <c r="G106" s="138"/>
      <c r="H106" s="138"/>
      <c r="I106" s="244"/>
      <c r="J106" s="225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157"/>
      <c r="Y106" s="157"/>
      <c r="Z106" s="157"/>
      <c r="AA106" s="157"/>
      <c r="AB106" s="157"/>
    </row>
    <row r="107" ht="15.75" customHeight="1">
      <c r="A107" s="241"/>
      <c r="B107" s="137"/>
      <c r="C107" s="137"/>
      <c r="D107" s="243"/>
      <c r="E107" s="243"/>
      <c r="F107" s="138"/>
      <c r="G107" s="138"/>
      <c r="H107" s="138"/>
      <c r="I107" s="244"/>
      <c r="J107" s="225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157"/>
      <c r="Y107" s="157"/>
      <c r="Z107" s="157"/>
      <c r="AA107" s="157"/>
      <c r="AB107" s="157"/>
    </row>
    <row r="108" ht="15.75" customHeight="1">
      <c r="A108" s="241"/>
      <c r="B108" s="137"/>
      <c r="C108" s="137"/>
      <c r="D108" s="243"/>
      <c r="E108" s="243"/>
      <c r="F108" s="138"/>
      <c r="G108" s="138"/>
      <c r="H108" s="138"/>
      <c r="I108" s="244"/>
      <c r="J108" s="225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157"/>
      <c r="Y108" s="157"/>
      <c r="Z108" s="157"/>
      <c r="AA108" s="157"/>
      <c r="AB108" s="157"/>
    </row>
    <row r="109" ht="15.75" customHeight="1">
      <c r="A109" s="241"/>
      <c r="B109" s="137"/>
      <c r="C109" s="137"/>
      <c r="D109" s="243"/>
      <c r="E109" s="243"/>
      <c r="F109" s="138"/>
      <c r="G109" s="138"/>
      <c r="H109" s="138"/>
      <c r="I109" s="244"/>
      <c r="J109" s="225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157"/>
      <c r="Y109" s="157"/>
      <c r="Z109" s="157"/>
      <c r="AA109" s="157"/>
      <c r="AB109" s="157"/>
    </row>
    <row r="110" ht="15.75" customHeight="1">
      <c r="A110" s="241"/>
      <c r="B110" s="137"/>
      <c r="C110" s="137"/>
      <c r="D110" s="243"/>
      <c r="E110" s="243"/>
      <c r="F110" s="138"/>
      <c r="G110" s="138"/>
      <c r="H110" s="138"/>
      <c r="I110" s="244"/>
      <c r="J110" s="225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157"/>
      <c r="Y110" s="157"/>
      <c r="Z110" s="157"/>
      <c r="AA110" s="157"/>
      <c r="AB110" s="157"/>
    </row>
    <row r="111" ht="15.75" customHeight="1">
      <c r="A111" s="241"/>
      <c r="B111" s="137"/>
      <c r="C111" s="137"/>
      <c r="D111" s="243"/>
      <c r="E111" s="243"/>
      <c r="F111" s="138"/>
      <c r="G111" s="138"/>
      <c r="H111" s="138"/>
      <c r="I111" s="244"/>
      <c r="J111" s="225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157"/>
      <c r="Y111" s="157"/>
      <c r="Z111" s="157"/>
      <c r="AA111" s="157"/>
      <c r="AB111" s="157"/>
    </row>
    <row r="112" ht="15.75" customHeight="1">
      <c r="A112" s="241"/>
      <c r="B112" s="137"/>
      <c r="C112" s="137"/>
      <c r="D112" s="243"/>
      <c r="E112" s="243"/>
      <c r="F112" s="138"/>
      <c r="G112" s="138"/>
      <c r="H112" s="138"/>
      <c r="I112" s="244"/>
      <c r="J112" s="225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157"/>
      <c r="Y112" s="157"/>
      <c r="Z112" s="157"/>
      <c r="AA112" s="157"/>
      <c r="AB112" s="157"/>
    </row>
    <row r="113" ht="15.75" customHeight="1">
      <c r="A113" s="241"/>
      <c r="B113" s="137"/>
      <c r="C113" s="137"/>
      <c r="D113" s="243"/>
      <c r="E113" s="243"/>
      <c r="F113" s="138"/>
      <c r="G113" s="138"/>
      <c r="H113" s="138"/>
      <c r="I113" s="244"/>
      <c r="J113" s="225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157"/>
      <c r="Y113" s="157"/>
      <c r="Z113" s="157"/>
      <c r="AA113" s="157"/>
      <c r="AB113" s="157"/>
    </row>
    <row r="114" ht="15.75" customHeight="1">
      <c r="A114" s="241"/>
      <c r="B114" s="137"/>
      <c r="C114" s="137"/>
      <c r="D114" s="243"/>
      <c r="E114" s="243"/>
      <c r="F114" s="138"/>
      <c r="G114" s="138"/>
      <c r="H114" s="138"/>
      <c r="I114" s="244"/>
      <c r="J114" s="225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157"/>
      <c r="Y114" s="157"/>
      <c r="Z114" s="157"/>
      <c r="AA114" s="157"/>
      <c r="AB114" s="157"/>
    </row>
    <row r="115" ht="15.75" customHeight="1">
      <c r="A115" s="241"/>
      <c r="B115" s="137"/>
      <c r="C115" s="137"/>
      <c r="D115" s="243"/>
      <c r="E115" s="243"/>
      <c r="F115" s="138"/>
      <c r="G115" s="138"/>
      <c r="H115" s="138"/>
      <c r="I115" s="244"/>
      <c r="J115" s="225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157"/>
      <c r="Y115" s="157"/>
      <c r="Z115" s="157"/>
      <c r="AA115" s="157"/>
      <c r="AB115" s="157"/>
    </row>
    <row r="116" ht="15.75" customHeight="1">
      <c r="A116" s="241"/>
      <c r="B116" s="137"/>
      <c r="C116" s="137"/>
      <c r="D116" s="243"/>
      <c r="E116" s="243"/>
      <c r="F116" s="138"/>
      <c r="G116" s="138"/>
      <c r="H116" s="138"/>
      <c r="I116" s="244"/>
      <c r="J116" s="225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157"/>
      <c r="Y116" s="157"/>
      <c r="Z116" s="157"/>
      <c r="AA116" s="157"/>
      <c r="AB116" s="157"/>
    </row>
    <row r="117" ht="15.75" customHeight="1">
      <c r="A117" s="241"/>
      <c r="B117" s="137"/>
      <c r="C117" s="137"/>
      <c r="D117" s="243"/>
      <c r="E117" s="243"/>
      <c r="F117" s="138"/>
      <c r="G117" s="138"/>
      <c r="H117" s="138"/>
      <c r="I117" s="244"/>
      <c r="J117" s="225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157"/>
      <c r="Y117" s="157"/>
      <c r="Z117" s="157"/>
      <c r="AA117" s="157"/>
      <c r="AB117" s="157"/>
    </row>
    <row r="118" ht="15.75" customHeight="1">
      <c r="A118" s="241"/>
      <c r="B118" s="137"/>
      <c r="C118" s="137"/>
      <c r="D118" s="243"/>
      <c r="E118" s="243"/>
      <c r="F118" s="138"/>
      <c r="G118" s="138"/>
      <c r="H118" s="138"/>
      <c r="I118" s="244"/>
      <c r="J118" s="225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157"/>
      <c r="Y118" s="157"/>
      <c r="Z118" s="157"/>
      <c r="AA118" s="157"/>
      <c r="AB118" s="157"/>
    </row>
    <row r="119" ht="15.75" customHeight="1">
      <c r="A119" s="241"/>
      <c r="B119" s="137"/>
      <c r="C119" s="137"/>
      <c r="D119" s="243"/>
      <c r="E119" s="243"/>
      <c r="F119" s="138"/>
      <c r="G119" s="138"/>
      <c r="H119" s="138"/>
      <c r="I119" s="244"/>
      <c r="J119" s="225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157"/>
      <c r="Y119" s="157"/>
      <c r="Z119" s="157"/>
      <c r="AA119" s="157"/>
      <c r="AB119" s="157"/>
    </row>
    <row r="120" ht="15.75" customHeight="1">
      <c r="A120" s="241"/>
      <c r="B120" s="137"/>
      <c r="C120" s="137"/>
      <c r="D120" s="243"/>
      <c r="E120" s="243"/>
      <c r="F120" s="138"/>
      <c r="G120" s="138"/>
      <c r="H120" s="138"/>
      <c r="I120" s="244"/>
      <c r="J120" s="225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157"/>
      <c r="Y120" s="157"/>
      <c r="Z120" s="157"/>
      <c r="AA120" s="157"/>
      <c r="AB120" s="157"/>
    </row>
    <row r="121" ht="15.75" customHeight="1">
      <c r="A121" s="241"/>
      <c r="B121" s="137"/>
      <c r="C121" s="137"/>
      <c r="D121" s="243"/>
      <c r="E121" s="243"/>
      <c r="F121" s="138"/>
      <c r="G121" s="138"/>
      <c r="H121" s="138"/>
      <c r="I121" s="244"/>
      <c r="J121" s="225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157"/>
      <c r="Y121" s="157"/>
      <c r="Z121" s="157"/>
      <c r="AA121" s="157"/>
      <c r="AB121" s="157"/>
    </row>
    <row r="122" ht="15.75" customHeight="1">
      <c r="A122" s="241"/>
      <c r="B122" s="137"/>
      <c r="C122" s="137"/>
      <c r="D122" s="243"/>
      <c r="E122" s="243"/>
      <c r="F122" s="138"/>
      <c r="G122" s="138"/>
      <c r="H122" s="138"/>
      <c r="I122" s="244"/>
      <c r="J122" s="225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157"/>
      <c r="Y122" s="157"/>
      <c r="Z122" s="157"/>
      <c r="AA122" s="157"/>
      <c r="AB122" s="157"/>
    </row>
    <row r="123" ht="15.75" customHeight="1">
      <c r="A123" s="241"/>
      <c r="B123" s="137"/>
      <c r="C123" s="137"/>
      <c r="D123" s="243"/>
      <c r="E123" s="243"/>
      <c r="F123" s="138"/>
      <c r="G123" s="138"/>
      <c r="H123" s="138"/>
      <c r="I123" s="244"/>
      <c r="J123" s="225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157"/>
      <c r="Y123" s="157"/>
      <c r="Z123" s="157"/>
      <c r="AA123" s="157"/>
      <c r="AB123" s="157"/>
    </row>
    <row r="124" ht="15.75" customHeight="1">
      <c r="A124" s="241"/>
      <c r="B124" s="137"/>
      <c r="C124" s="137"/>
      <c r="D124" s="243"/>
      <c r="E124" s="243"/>
      <c r="F124" s="138"/>
      <c r="G124" s="138"/>
      <c r="H124" s="138"/>
      <c r="I124" s="244"/>
      <c r="J124" s="225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157"/>
      <c r="Y124" s="157"/>
      <c r="Z124" s="157"/>
      <c r="AA124" s="157"/>
      <c r="AB124" s="157"/>
    </row>
    <row r="125" ht="15.75" customHeight="1">
      <c r="A125" s="241"/>
      <c r="B125" s="137"/>
      <c r="C125" s="137"/>
      <c r="D125" s="243"/>
      <c r="E125" s="243"/>
      <c r="F125" s="138"/>
      <c r="G125" s="138"/>
      <c r="H125" s="138"/>
      <c r="I125" s="244"/>
      <c r="J125" s="225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157"/>
      <c r="Y125" s="157"/>
      <c r="Z125" s="157"/>
      <c r="AA125" s="157"/>
      <c r="AB125" s="157"/>
    </row>
    <row r="126" ht="15.75" customHeight="1">
      <c r="A126" s="241"/>
      <c r="B126" s="137"/>
      <c r="C126" s="137"/>
      <c r="D126" s="243"/>
      <c r="E126" s="243"/>
      <c r="F126" s="138"/>
      <c r="G126" s="138"/>
      <c r="H126" s="138"/>
      <c r="I126" s="244"/>
      <c r="J126" s="225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157"/>
      <c r="Y126" s="157"/>
      <c r="Z126" s="157"/>
      <c r="AA126" s="157"/>
      <c r="AB126" s="157"/>
    </row>
    <row r="127" ht="15.75" customHeight="1">
      <c r="A127" s="241"/>
      <c r="B127" s="137"/>
      <c r="C127" s="137"/>
      <c r="D127" s="243"/>
      <c r="E127" s="243"/>
      <c r="F127" s="138"/>
      <c r="G127" s="138"/>
      <c r="H127" s="138"/>
      <c r="I127" s="244"/>
      <c r="J127" s="225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157"/>
      <c r="Y127" s="157"/>
      <c r="Z127" s="157"/>
      <c r="AA127" s="157"/>
      <c r="AB127" s="157"/>
    </row>
    <row r="128" ht="15.75" customHeight="1">
      <c r="A128" s="241"/>
      <c r="B128" s="137"/>
      <c r="C128" s="137"/>
      <c r="D128" s="243"/>
      <c r="E128" s="243"/>
      <c r="F128" s="138"/>
      <c r="G128" s="138"/>
      <c r="H128" s="138"/>
      <c r="I128" s="244"/>
      <c r="J128" s="225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157"/>
      <c r="Y128" s="157"/>
      <c r="Z128" s="157"/>
      <c r="AA128" s="157"/>
      <c r="AB128" s="157"/>
    </row>
    <row r="129" ht="15.75" customHeight="1">
      <c r="A129" s="241"/>
      <c r="B129" s="137"/>
      <c r="C129" s="137"/>
      <c r="D129" s="243"/>
      <c r="E129" s="243"/>
      <c r="F129" s="138"/>
      <c r="G129" s="138"/>
      <c r="H129" s="138"/>
      <c r="I129" s="244"/>
      <c r="J129" s="225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157"/>
      <c r="Y129" s="157"/>
      <c r="Z129" s="157"/>
      <c r="AA129" s="157"/>
      <c r="AB129" s="157"/>
    </row>
    <row r="130" ht="15.75" customHeight="1">
      <c r="A130" s="241"/>
      <c r="B130" s="137"/>
      <c r="C130" s="137"/>
      <c r="D130" s="243"/>
      <c r="E130" s="243"/>
      <c r="F130" s="138"/>
      <c r="G130" s="138"/>
      <c r="H130" s="138"/>
      <c r="I130" s="244"/>
      <c r="J130" s="225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157"/>
      <c r="Y130" s="157"/>
      <c r="Z130" s="157"/>
      <c r="AA130" s="157"/>
      <c r="AB130" s="157"/>
    </row>
    <row r="131" ht="15.75" customHeight="1">
      <c r="A131" s="241"/>
      <c r="B131" s="137"/>
      <c r="C131" s="137"/>
      <c r="D131" s="243"/>
      <c r="E131" s="243"/>
      <c r="F131" s="138"/>
      <c r="G131" s="138"/>
      <c r="H131" s="138"/>
      <c r="I131" s="244"/>
      <c r="J131" s="225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157"/>
      <c r="Y131" s="157"/>
      <c r="Z131" s="157"/>
      <c r="AA131" s="157"/>
      <c r="AB131" s="157"/>
    </row>
    <row r="132" ht="15.75" customHeight="1">
      <c r="A132" s="241"/>
      <c r="B132" s="137"/>
      <c r="C132" s="137"/>
      <c r="D132" s="243"/>
      <c r="E132" s="243"/>
      <c r="F132" s="138"/>
      <c r="G132" s="138"/>
      <c r="H132" s="138"/>
      <c r="I132" s="244"/>
      <c r="J132" s="225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157"/>
      <c r="Y132" s="157"/>
      <c r="Z132" s="157"/>
      <c r="AA132" s="157"/>
      <c r="AB132" s="157"/>
    </row>
    <row r="133" ht="15.75" customHeight="1">
      <c r="A133" s="241"/>
      <c r="B133" s="137"/>
      <c r="C133" s="137"/>
      <c r="D133" s="243"/>
      <c r="E133" s="243"/>
      <c r="F133" s="138"/>
      <c r="G133" s="138"/>
      <c r="H133" s="138"/>
      <c r="I133" s="244"/>
      <c r="J133" s="225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157"/>
      <c r="Y133" s="157"/>
      <c r="Z133" s="157"/>
      <c r="AA133" s="157"/>
      <c r="AB133" s="157"/>
    </row>
    <row r="134" ht="15.75" customHeight="1">
      <c r="A134" s="241"/>
      <c r="B134" s="137"/>
      <c r="C134" s="137"/>
      <c r="D134" s="243"/>
      <c r="E134" s="243"/>
      <c r="F134" s="138"/>
      <c r="G134" s="138"/>
      <c r="H134" s="138"/>
      <c r="I134" s="244"/>
      <c r="J134" s="225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157"/>
      <c r="Y134" s="157"/>
      <c r="Z134" s="157"/>
      <c r="AA134" s="157"/>
      <c r="AB134" s="157"/>
    </row>
    <row r="135" ht="15.75" customHeight="1">
      <c r="A135" s="241"/>
      <c r="B135" s="137"/>
      <c r="C135" s="137"/>
      <c r="D135" s="243"/>
      <c r="E135" s="243"/>
      <c r="F135" s="138"/>
      <c r="G135" s="138"/>
      <c r="H135" s="138"/>
      <c r="I135" s="244"/>
      <c r="J135" s="225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157"/>
      <c r="Y135" s="157"/>
      <c r="Z135" s="157"/>
      <c r="AA135" s="157"/>
      <c r="AB135" s="157"/>
    </row>
    <row r="136" ht="15.75" customHeight="1">
      <c r="A136" s="241"/>
      <c r="B136" s="137"/>
      <c r="C136" s="137"/>
      <c r="D136" s="243"/>
      <c r="E136" s="243"/>
      <c r="F136" s="138"/>
      <c r="G136" s="138"/>
      <c r="H136" s="138"/>
      <c r="I136" s="244"/>
      <c r="J136" s="225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157"/>
      <c r="Y136" s="157"/>
      <c r="Z136" s="157"/>
      <c r="AA136" s="157"/>
      <c r="AB136" s="157"/>
    </row>
    <row r="137" ht="15.75" customHeight="1">
      <c r="A137" s="241"/>
      <c r="B137" s="137"/>
      <c r="C137" s="137"/>
      <c r="D137" s="243"/>
      <c r="E137" s="243"/>
      <c r="F137" s="138"/>
      <c r="G137" s="138"/>
      <c r="H137" s="138"/>
      <c r="I137" s="244"/>
      <c r="J137" s="225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157"/>
      <c r="Y137" s="157"/>
      <c r="Z137" s="157"/>
      <c r="AA137" s="157"/>
      <c r="AB137" s="157"/>
    </row>
    <row r="138" ht="15.75" customHeight="1">
      <c r="A138" s="241"/>
      <c r="B138" s="137"/>
      <c r="C138" s="137"/>
      <c r="D138" s="243"/>
      <c r="E138" s="243"/>
      <c r="F138" s="138"/>
      <c r="G138" s="138"/>
      <c r="H138" s="138"/>
      <c r="I138" s="244"/>
      <c r="J138" s="225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157"/>
      <c r="Y138" s="157"/>
      <c r="Z138" s="157"/>
      <c r="AA138" s="157"/>
      <c r="AB138" s="157"/>
    </row>
    <row r="139" ht="15.75" customHeight="1">
      <c r="A139" s="241"/>
      <c r="B139" s="137"/>
      <c r="C139" s="137"/>
      <c r="D139" s="243"/>
      <c r="E139" s="243"/>
      <c r="F139" s="138"/>
      <c r="G139" s="138"/>
      <c r="H139" s="138"/>
      <c r="I139" s="244"/>
      <c r="J139" s="225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157"/>
      <c r="Y139" s="157"/>
      <c r="Z139" s="157"/>
      <c r="AA139" s="157"/>
      <c r="AB139" s="157"/>
    </row>
    <row r="140" ht="15.75" customHeight="1">
      <c r="A140" s="241"/>
      <c r="B140" s="137"/>
      <c r="C140" s="137"/>
      <c r="D140" s="243"/>
      <c r="E140" s="243"/>
      <c r="F140" s="138"/>
      <c r="G140" s="138"/>
      <c r="H140" s="138"/>
      <c r="I140" s="244"/>
      <c r="J140" s="225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157"/>
      <c r="Y140" s="157"/>
      <c r="Z140" s="157"/>
      <c r="AA140" s="157"/>
      <c r="AB140" s="157"/>
    </row>
    <row r="141" ht="15.75" customHeight="1">
      <c r="A141" s="241"/>
      <c r="B141" s="137"/>
      <c r="C141" s="137"/>
      <c r="D141" s="243"/>
      <c r="E141" s="243"/>
      <c r="F141" s="138"/>
      <c r="G141" s="138"/>
      <c r="H141" s="138"/>
      <c r="I141" s="244"/>
      <c r="J141" s="225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157"/>
      <c r="Y141" s="157"/>
      <c r="Z141" s="157"/>
      <c r="AA141" s="157"/>
      <c r="AB141" s="157"/>
    </row>
    <row r="142" ht="15.75" customHeight="1">
      <c r="A142" s="241"/>
      <c r="B142" s="137"/>
      <c r="C142" s="137"/>
      <c r="D142" s="243"/>
      <c r="E142" s="243"/>
      <c r="F142" s="138"/>
      <c r="G142" s="138"/>
      <c r="H142" s="138"/>
      <c r="I142" s="244"/>
      <c r="J142" s="225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157"/>
      <c r="Y142" s="157"/>
      <c r="Z142" s="157"/>
      <c r="AA142" s="157"/>
      <c r="AB142" s="157"/>
    </row>
    <row r="143" ht="15.75" customHeight="1">
      <c r="A143" s="241"/>
      <c r="B143" s="137"/>
      <c r="C143" s="137"/>
      <c r="D143" s="243"/>
      <c r="E143" s="243"/>
      <c r="F143" s="138"/>
      <c r="G143" s="138"/>
      <c r="H143" s="138"/>
      <c r="I143" s="244"/>
      <c r="J143" s="225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157"/>
      <c r="Y143" s="157"/>
      <c r="Z143" s="157"/>
      <c r="AA143" s="157"/>
      <c r="AB143" s="157"/>
    </row>
    <row r="144" ht="15.75" customHeight="1">
      <c r="A144" s="241"/>
      <c r="B144" s="137"/>
      <c r="C144" s="137"/>
      <c r="D144" s="243"/>
      <c r="E144" s="243"/>
      <c r="F144" s="138"/>
      <c r="G144" s="138"/>
      <c r="H144" s="138"/>
      <c r="I144" s="244"/>
      <c r="J144" s="225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157"/>
      <c r="Y144" s="157"/>
      <c r="Z144" s="157"/>
      <c r="AA144" s="157"/>
      <c r="AB144" s="157"/>
    </row>
    <row r="145" ht="15.75" customHeight="1">
      <c r="A145" s="241"/>
      <c r="B145" s="137"/>
      <c r="C145" s="137"/>
      <c r="D145" s="243"/>
      <c r="E145" s="243"/>
      <c r="F145" s="138"/>
      <c r="G145" s="138"/>
      <c r="H145" s="138"/>
      <c r="I145" s="244"/>
      <c r="J145" s="225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157"/>
      <c r="Y145" s="157"/>
      <c r="Z145" s="157"/>
      <c r="AA145" s="157"/>
      <c r="AB145" s="157"/>
    </row>
    <row r="146" ht="15.75" customHeight="1">
      <c r="A146" s="241"/>
      <c r="B146" s="137"/>
      <c r="C146" s="137"/>
      <c r="D146" s="243"/>
      <c r="E146" s="243"/>
      <c r="F146" s="138"/>
      <c r="G146" s="138"/>
      <c r="H146" s="138"/>
      <c r="I146" s="244"/>
      <c r="J146" s="225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157"/>
      <c r="Y146" s="157"/>
      <c r="Z146" s="157"/>
      <c r="AA146" s="157"/>
      <c r="AB146" s="157"/>
    </row>
    <row r="147" ht="15.75" customHeight="1">
      <c r="A147" s="241"/>
      <c r="B147" s="137"/>
      <c r="C147" s="137"/>
      <c r="D147" s="243"/>
      <c r="E147" s="243"/>
      <c r="F147" s="138"/>
      <c r="G147" s="138"/>
      <c r="H147" s="138"/>
      <c r="I147" s="244"/>
      <c r="J147" s="225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157"/>
      <c r="Y147" s="157"/>
      <c r="Z147" s="157"/>
      <c r="AA147" s="157"/>
      <c r="AB147" s="157"/>
    </row>
    <row r="148" ht="15.75" customHeight="1">
      <c r="A148" s="241"/>
      <c r="B148" s="137"/>
      <c r="C148" s="137"/>
      <c r="D148" s="243"/>
      <c r="E148" s="243"/>
      <c r="F148" s="138"/>
      <c r="G148" s="138"/>
      <c r="H148" s="138"/>
      <c r="I148" s="244"/>
      <c r="J148" s="225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157"/>
      <c r="Y148" s="157"/>
      <c r="Z148" s="157"/>
      <c r="AA148" s="157"/>
      <c r="AB148" s="157"/>
    </row>
    <row r="149" ht="15.75" customHeight="1">
      <c r="A149" s="241"/>
      <c r="B149" s="137"/>
      <c r="C149" s="137"/>
      <c r="D149" s="243"/>
      <c r="E149" s="243"/>
      <c r="F149" s="138"/>
      <c r="G149" s="138"/>
      <c r="H149" s="138"/>
      <c r="I149" s="244"/>
      <c r="J149" s="225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157"/>
      <c r="Y149" s="157"/>
      <c r="Z149" s="157"/>
      <c r="AA149" s="157"/>
      <c r="AB149" s="157"/>
    </row>
    <row r="150" ht="15.75" customHeight="1">
      <c r="A150" s="241"/>
      <c r="B150" s="137"/>
      <c r="C150" s="137"/>
      <c r="D150" s="243"/>
      <c r="E150" s="243"/>
      <c r="F150" s="138"/>
      <c r="G150" s="138"/>
      <c r="H150" s="138"/>
      <c r="I150" s="244"/>
      <c r="J150" s="225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157"/>
      <c r="Y150" s="157"/>
      <c r="Z150" s="157"/>
      <c r="AA150" s="157"/>
      <c r="AB150" s="157"/>
    </row>
    <row r="151" ht="15.75" customHeight="1">
      <c r="A151" s="241"/>
      <c r="B151" s="137"/>
      <c r="C151" s="137"/>
      <c r="D151" s="243"/>
      <c r="E151" s="243"/>
      <c r="F151" s="138"/>
      <c r="G151" s="138"/>
      <c r="H151" s="138"/>
      <c r="I151" s="244"/>
      <c r="J151" s="225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157"/>
      <c r="Y151" s="157"/>
      <c r="Z151" s="157"/>
      <c r="AA151" s="157"/>
      <c r="AB151" s="157"/>
    </row>
    <row r="152" ht="15.75" customHeight="1">
      <c r="A152" s="241"/>
      <c r="B152" s="137"/>
      <c r="C152" s="137"/>
      <c r="D152" s="243"/>
      <c r="E152" s="243"/>
      <c r="F152" s="138"/>
      <c r="G152" s="138"/>
      <c r="H152" s="138"/>
      <c r="I152" s="244"/>
      <c r="J152" s="225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157"/>
      <c r="Y152" s="157"/>
      <c r="Z152" s="157"/>
      <c r="AA152" s="157"/>
      <c r="AB152" s="157"/>
    </row>
    <row r="153" ht="15.75" customHeight="1">
      <c r="A153" s="241"/>
      <c r="B153" s="137"/>
      <c r="C153" s="137"/>
      <c r="D153" s="243"/>
      <c r="E153" s="243"/>
      <c r="F153" s="138"/>
      <c r="G153" s="138"/>
      <c r="H153" s="138"/>
      <c r="I153" s="244"/>
      <c r="J153" s="225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157"/>
      <c r="Y153" s="157"/>
      <c r="Z153" s="157"/>
      <c r="AA153" s="157"/>
      <c r="AB153" s="157"/>
    </row>
    <row r="154" ht="15.75" customHeight="1">
      <c r="A154" s="241"/>
      <c r="B154" s="137"/>
      <c r="C154" s="137"/>
      <c r="D154" s="243"/>
      <c r="E154" s="243"/>
      <c r="F154" s="138"/>
      <c r="G154" s="138"/>
      <c r="H154" s="138"/>
      <c r="I154" s="244"/>
      <c r="J154" s="225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157"/>
      <c r="Y154" s="157"/>
      <c r="Z154" s="157"/>
      <c r="AA154" s="157"/>
      <c r="AB154" s="157"/>
    </row>
    <row r="155" ht="15.75" customHeight="1">
      <c r="A155" s="241"/>
      <c r="B155" s="137"/>
      <c r="C155" s="137"/>
      <c r="D155" s="243"/>
      <c r="E155" s="243"/>
      <c r="F155" s="138"/>
      <c r="G155" s="138"/>
      <c r="H155" s="138"/>
      <c r="I155" s="244"/>
      <c r="J155" s="225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157"/>
      <c r="Y155" s="157"/>
      <c r="Z155" s="157"/>
      <c r="AA155" s="157"/>
      <c r="AB155" s="157"/>
    </row>
    <row r="156" ht="15.75" customHeight="1">
      <c r="A156" s="241"/>
      <c r="B156" s="137"/>
      <c r="C156" s="137"/>
      <c r="D156" s="243"/>
      <c r="E156" s="243"/>
      <c r="F156" s="138"/>
      <c r="G156" s="138"/>
      <c r="H156" s="138"/>
      <c r="I156" s="244"/>
      <c r="J156" s="225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157"/>
      <c r="Y156" s="157"/>
      <c r="Z156" s="157"/>
      <c r="AA156" s="157"/>
      <c r="AB156" s="157"/>
    </row>
    <row r="157" ht="15.75" customHeight="1">
      <c r="A157" s="241"/>
      <c r="B157" s="137"/>
      <c r="C157" s="137"/>
      <c r="D157" s="243"/>
      <c r="E157" s="243"/>
      <c r="F157" s="138"/>
      <c r="G157" s="138"/>
      <c r="H157" s="138"/>
      <c r="I157" s="244"/>
      <c r="J157" s="225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157"/>
      <c r="Y157" s="157"/>
      <c r="Z157" s="157"/>
      <c r="AA157" s="157"/>
      <c r="AB157" s="157"/>
    </row>
    <row r="158" ht="15.75" customHeight="1">
      <c r="A158" s="241"/>
      <c r="B158" s="137"/>
      <c r="C158" s="137"/>
      <c r="D158" s="243"/>
      <c r="E158" s="243"/>
      <c r="F158" s="138"/>
      <c r="G158" s="138"/>
      <c r="H158" s="138"/>
      <c r="I158" s="244"/>
      <c r="J158" s="225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157"/>
      <c r="Y158" s="157"/>
      <c r="Z158" s="157"/>
      <c r="AA158" s="157"/>
      <c r="AB158" s="157"/>
    </row>
    <row r="159" ht="15.75" customHeight="1">
      <c r="A159" s="241"/>
      <c r="B159" s="137"/>
      <c r="C159" s="137"/>
      <c r="D159" s="243"/>
      <c r="E159" s="243"/>
      <c r="F159" s="138"/>
      <c r="G159" s="138"/>
      <c r="H159" s="138"/>
      <c r="I159" s="244"/>
      <c r="J159" s="225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157"/>
      <c r="Y159" s="157"/>
      <c r="Z159" s="157"/>
      <c r="AA159" s="157"/>
      <c r="AB159" s="157"/>
    </row>
    <row r="160" ht="15.75" customHeight="1">
      <c r="A160" s="241"/>
      <c r="B160" s="137"/>
      <c r="C160" s="137"/>
      <c r="D160" s="243"/>
      <c r="E160" s="243"/>
      <c r="F160" s="138"/>
      <c r="G160" s="138"/>
      <c r="H160" s="138"/>
      <c r="I160" s="244"/>
      <c r="J160" s="225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157"/>
      <c r="Y160" s="157"/>
      <c r="Z160" s="157"/>
      <c r="AA160" s="157"/>
      <c r="AB160" s="157"/>
    </row>
    <row r="161" ht="15.75" customHeight="1">
      <c r="A161" s="241"/>
      <c r="B161" s="137"/>
      <c r="C161" s="137"/>
      <c r="D161" s="243"/>
      <c r="E161" s="243"/>
      <c r="F161" s="138"/>
      <c r="G161" s="138"/>
      <c r="H161" s="138"/>
      <c r="I161" s="244"/>
      <c r="J161" s="225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157"/>
      <c r="Y161" s="157"/>
      <c r="Z161" s="157"/>
      <c r="AA161" s="157"/>
      <c r="AB161" s="157"/>
    </row>
    <row r="162" ht="15.75" customHeight="1">
      <c r="A162" s="241"/>
      <c r="B162" s="137"/>
      <c r="C162" s="137"/>
      <c r="D162" s="243"/>
      <c r="E162" s="243"/>
      <c r="F162" s="138"/>
      <c r="G162" s="138"/>
      <c r="H162" s="138"/>
      <c r="I162" s="244"/>
      <c r="J162" s="225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157"/>
      <c r="Y162" s="157"/>
      <c r="Z162" s="157"/>
      <c r="AA162" s="157"/>
      <c r="AB162" s="157"/>
    </row>
    <row r="163" ht="15.75" customHeight="1">
      <c r="A163" s="241"/>
      <c r="B163" s="137"/>
      <c r="C163" s="137"/>
      <c r="D163" s="243"/>
      <c r="E163" s="243"/>
      <c r="F163" s="138"/>
      <c r="G163" s="138"/>
      <c r="H163" s="138"/>
      <c r="I163" s="244"/>
      <c r="J163" s="225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157"/>
      <c r="Y163" s="157"/>
      <c r="Z163" s="157"/>
      <c r="AA163" s="157"/>
      <c r="AB163" s="157"/>
    </row>
    <row r="164" ht="15.75" customHeight="1">
      <c r="A164" s="241"/>
      <c r="B164" s="137"/>
      <c r="C164" s="137"/>
      <c r="D164" s="243"/>
      <c r="E164" s="243"/>
      <c r="F164" s="138"/>
      <c r="G164" s="138"/>
      <c r="H164" s="138"/>
      <c r="I164" s="244"/>
      <c r="J164" s="225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157"/>
      <c r="Y164" s="157"/>
      <c r="Z164" s="157"/>
      <c r="AA164" s="157"/>
      <c r="AB164" s="157"/>
    </row>
    <row r="165" ht="15.75" customHeight="1">
      <c r="A165" s="241"/>
      <c r="B165" s="137"/>
      <c r="C165" s="137"/>
      <c r="D165" s="243"/>
      <c r="E165" s="243"/>
      <c r="F165" s="138"/>
      <c r="G165" s="138"/>
      <c r="H165" s="138"/>
      <c r="I165" s="244"/>
      <c r="J165" s="225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157"/>
      <c r="Y165" s="157"/>
      <c r="Z165" s="157"/>
      <c r="AA165" s="157"/>
      <c r="AB165" s="157"/>
    </row>
    <row r="166" ht="15.75" customHeight="1">
      <c r="A166" s="241"/>
      <c r="B166" s="137"/>
      <c r="C166" s="137"/>
      <c r="D166" s="243"/>
      <c r="E166" s="243"/>
      <c r="F166" s="138"/>
      <c r="G166" s="138"/>
      <c r="H166" s="138"/>
      <c r="I166" s="244"/>
      <c r="J166" s="225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157"/>
      <c r="Y166" s="157"/>
      <c r="Z166" s="157"/>
      <c r="AA166" s="157"/>
      <c r="AB166" s="157"/>
    </row>
    <row r="167" ht="15.75" customHeight="1">
      <c r="A167" s="241"/>
      <c r="B167" s="137"/>
      <c r="C167" s="137"/>
      <c r="D167" s="243"/>
      <c r="E167" s="243"/>
      <c r="F167" s="138"/>
      <c r="G167" s="138"/>
      <c r="H167" s="138"/>
      <c r="I167" s="244"/>
      <c r="J167" s="225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157"/>
      <c r="Y167" s="157"/>
      <c r="Z167" s="157"/>
      <c r="AA167" s="157"/>
      <c r="AB167" s="157"/>
    </row>
    <row r="168" ht="15.75" customHeight="1">
      <c r="A168" s="241"/>
      <c r="B168" s="137"/>
      <c r="C168" s="137"/>
      <c r="D168" s="243"/>
      <c r="E168" s="243"/>
      <c r="F168" s="138"/>
      <c r="G168" s="138"/>
      <c r="H168" s="138"/>
      <c r="I168" s="244"/>
      <c r="J168" s="225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157"/>
      <c r="Y168" s="157"/>
      <c r="Z168" s="157"/>
      <c r="AA168" s="157"/>
      <c r="AB168" s="157"/>
    </row>
    <row r="169" ht="15.75" customHeight="1">
      <c r="A169" s="241"/>
      <c r="B169" s="137"/>
      <c r="C169" s="137"/>
      <c r="D169" s="243"/>
      <c r="E169" s="243"/>
      <c r="F169" s="138"/>
      <c r="G169" s="138"/>
      <c r="H169" s="138"/>
      <c r="I169" s="244"/>
      <c r="J169" s="225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157"/>
      <c r="Y169" s="157"/>
      <c r="Z169" s="157"/>
      <c r="AA169" s="157"/>
      <c r="AB169" s="157"/>
    </row>
    <row r="170" ht="15.75" customHeight="1">
      <c r="A170" s="241"/>
      <c r="B170" s="137"/>
      <c r="C170" s="137"/>
      <c r="D170" s="243"/>
      <c r="E170" s="243"/>
      <c r="F170" s="138"/>
      <c r="G170" s="138"/>
      <c r="H170" s="138"/>
      <c r="I170" s="244"/>
      <c r="J170" s="225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157"/>
      <c r="Y170" s="157"/>
      <c r="Z170" s="157"/>
      <c r="AA170" s="157"/>
      <c r="AB170" s="157"/>
    </row>
    <row r="171" ht="15.75" customHeight="1">
      <c r="A171" s="241"/>
      <c r="B171" s="137"/>
      <c r="C171" s="137"/>
      <c r="D171" s="243"/>
      <c r="E171" s="243"/>
      <c r="F171" s="138"/>
      <c r="G171" s="138"/>
      <c r="H171" s="138"/>
      <c r="I171" s="244"/>
      <c r="J171" s="225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157"/>
      <c r="Y171" s="157"/>
      <c r="Z171" s="157"/>
      <c r="AA171" s="157"/>
      <c r="AB171" s="157"/>
    </row>
    <row r="172" ht="15.75" customHeight="1">
      <c r="A172" s="241"/>
      <c r="B172" s="137"/>
      <c r="C172" s="137"/>
      <c r="D172" s="243"/>
      <c r="E172" s="243"/>
      <c r="F172" s="138"/>
      <c r="G172" s="138"/>
      <c r="H172" s="138"/>
      <c r="I172" s="244"/>
      <c r="J172" s="225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157"/>
      <c r="Y172" s="157"/>
      <c r="Z172" s="157"/>
      <c r="AA172" s="157"/>
      <c r="AB172" s="157"/>
    </row>
    <row r="173" ht="15.75" customHeight="1">
      <c r="A173" s="241"/>
      <c r="B173" s="137"/>
      <c r="C173" s="137"/>
      <c r="D173" s="243"/>
      <c r="E173" s="243"/>
      <c r="F173" s="138"/>
      <c r="G173" s="138"/>
      <c r="H173" s="138"/>
      <c r="I173" s="244"/>
      <c r="J173" s="225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157"/>
      <c r="Y173" s="157"/>
      <c r="Z173" s="157"/>
      <c r="AA173" s="157"/>
      <c r="AB173" s="157"/>
    </row>
    <row r="174" ht="15.75" customHeight="1">
      <c r="A174" s="241"/>
      <c r="B174" s="137"/>
      <c r="C174" s="137"/>
      <c r="D174" s="243"/>
      <c r="E174" s="243"/>
      <c r="F174" s="138"/>
      <c r="G174" s="138"/>
      <c r="H174" s="138"/>
      <c r="I174" s="244"/>
      <c r="J174" s="225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157"/>
      <c r="Y174" s="157"/>
      <c r="Z174" s="157"/>
      <c r="AA174" s="157"/>
      <c r="AB174" s="157"/>
    </row>
    <row r="175" ht="15.75" customHeight="1">
      <c r="A175" s="241"/>
      <c r="B175" s="137"/>
      <c r="C175" s="137"/>
      <c r="D175" s="243"/>
      <c r="E175" s="243"/>
      <c r="F175" s="138"/>
      <c r="G175" s="138"/>
      <c r="H175" s="138"/>
      <c r="I175" s="244"/>
      <c r="J175" s="225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157"/>
      <c r="Y175" s="157"/>
      <c r="Z175" s="157"/>
      <c r="AA175" s="157"/>
      <c r="AB175" s="157"/>
    </row>
    <row r="176" ht="15.75" customHeight="1">
      <c r="A176" s="241"/>
      <c r="B176" s="137"/>
      <c r="C176" s="137"/>
      <c r="D176" s="243"/>
      <c r="E176" s="243"/>
      <c r="F176" s="138"/>
      <c r="G176" s="138"/>
      <c r="H176" s="138"/>
      <c r="I176" s="244"/>
      <c r="J176" s="225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157"/>
      <c r="Y176" s="157"/>
      <c r="Z176" s="157"/>
      <c r="AA176" s="157"/>
      <c r="AB176" s="157"/>
    </row>
    <row r="177" ht="15.75" customHeight="1">
      <c r="A177" s="241"/>
      <c r="B177" s="137"/>
      <c r="C177" s="137"/>
      <c r="D177" s="243"/>
      <c r="E177" s="243"/>
      <c r="F177" s="138"/>
      <c r="G177" s="138"/>
      <c r="H177" s="138"/>
      <c r="I177" s="244"/>
      <c r="J177" s="225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157"/>
      <c r="Y177" s="157"/>
      <c r="Z177" s="157"/>
      <c r="AA177" s="157"/>
      <c r="AB177" s="157"/>
    </row>
    <row r="178" ht="15.75" customHeight="1">
      <c r="A178" s="241"/>
      <c r="B178" s="137"/>
      <c r="C178" s="137"/>
      <c r="D178" s="243"/>
      <c r="E178" s="243"/>
      <c r="F178" s="138"/>
      <c r="G178" s="138"/>
      <c r="H178" s="138"/>
      <c r="I178" s="244"/>
      <c r="J178" s="225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157"/>
      <c r="Y178" s="157"/>
      <c r="Z178" s="157"/>
      <c r="AA178" s="157"/>
      <c r="AB178" s="157"/>
    </row>
    <row r="179" ht="15.75" customHeight="1">
      <c r="A179" s="241"/>
      <c r="B179" s="137"/>
      <c r="C179" s="137"/>
      <c r="D179" s="243"/>
      <c r="E179" s="243"/>
      <c r="F179" s="138"/>
      <c r="G179" s="138"/>
      <c r="H179" s="138"/>
      <c r="I179" s="244"/>
      <c r="J179" s="225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157"/>
      <c r="Y179" s="157"/>
      <c r="Z179" s="157"/>
      <c r="AA179" s="157"/>
      <c r="AB179" s="157"/>
    </row>
    <row r="180" ht="15.75" customHeight="1">
      <c r="A180" s="241"/>
      <c r="B180" s="137"/>
      <c r="C180" s="137"/>
      <c r="D180" s="243"/>
      <c r="E180" s="243"/>
      <c r="F180" s="138"/>
      <c r="G180" s="138"/>
      <c r="H180" s="138"/>
      <c r="I180" s="244"/>
      <c r="J180" s="225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157"/>
      <c r="Y180" s="157"/>
      <c r="Z180" s="157"/>
      <c r="AA180" s="157"/>
      <c r="AB180" s="157"/>
    </row>
    <row r="181" ht="15.75" customHeight="1">
      <c r="A181" s="241"/>
      <c r="B181" s="137"/>
      <c r="C181" s="137"/>
      <c r="D181" s="243"/>
      <c r="E181" s="243"/>
      <c r="F181" s="138"/>
      <c r="G181" s="138"/>
      <c r="H181" s="138"/>
      <c r="I181" s="244"/>
      <c r="J181" s="225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157"/>
      <c r="Y181" s="157"/>
      <c r="Z181" s="157"/>
      <c r="AA181" s="157"/>
      <c r="AB181" s="157"/>
    </row>
    <row r="182" ht="15.75" customHeight="1">
      <c r="A182" s="241"/>
      <c r="B182" s="137"/>
      <c r="C182" s="137"/>
      <c r="D182" s="243"/>
      <c r="E182" s="243"/>
      <c r="F182" s="138"/>
      <c r="G182" s="138"/>
      <c r="H182" s="138"/>
      <c r="I182" s="244"/>
      <c r="J182" s="225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157"/>
      <c r="Y182" s="157"/>
      <c r="Z182" s="157"/>
      <c r="AA182" s="157"/>
      <c r="AB182" s="157"/>
    </row>
    <row r="183" ht="15.75" customHeight="1">
      <c r="A183" s="241"/>
      <c r="B183" s="137"/>
      <c r="C183" s="137"/>
      <c r="D183" s="243"/>
      <c r="E183" s="243"/>
      <c r="F183" s="138"/>
      <c r="G183" s="138"/>
      <c r="H183" s="138"/>
      <c r="I183" s="244"/>
      <c r="J183" s="225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157"/>
      <c r="Y183" s="157"/>
      <c r="Z183" s="157"/>
      <c r="AA183" s="157"/>
      <c r="AB183" s="157"/>
    </row>
    <row r="184" ht="15.75" customHeight="1">
      <c r="A184" s="241"/>
      <c r="B184" s="137"/>
      <c r="C184" s="137"/>
      <c r="D184" s="243"/>
      <c r="E184" s="243"/>
      <c r="F184" s="138"/>
      <c r="G184" s="138"/>
      <c r="H184" s="138"/>
      <c r="I184" s="244"/>
      <c r="J184" s="225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157"/>
      <c r="Y184" s="157"/>
      <c r="Z184" s="157"/>
      <c r="AA184" s="157"/>
      <c r="AB184" s="157"/>
    </row>
    <row r="185" ht="15.75" customHeight="1">
      <c r="A185" s="241"/>
      <c r="B185" s="137"/>
      <c r="C185" s="137"/>
      <c r="D185" s="243"/>
      <c r="E185" s="243"/>
      <c r="F185" s="138"/>
      <c r="G185" s="138"/>
      <c r="H185" s="138"/>
      <c r="I185" s="244"/>
      <c r="J185" s="225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157"/>
      <c r="Y185" s="157"/>
      <c r="Z185" s="157"/>
      <c r="AA185" s="157"/>
      <c r="AB185" s="157"/>
    </row>
    <row r="186" ht="15.75" customHeight="1">
      <c r="A186" s="241"/>
      <c r="B186" s="137"/>
      <c r="C186" s="137"/>
      <c r="D186" s="243"/>
      <c r="E186" s="243"/>
      <c r="F186" s="138"/>
      <c r="G186" s="138"/>
      <c r="H186" s="138"/>
      <c r="I186" s="244"/>
      <c r="J186" s="225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157"/>
      <c r="Y186" s="157"/>
      <c r="Z186" s="157"/>
      <c r="AA186" s="157"/>
      <c r="AB186" s="157"/>
    </row>
    <row r="187" ht="15.75" customHeight="1">
      <c r="A187" s="241"/>
      <c r="B187" s="137"/>
      <c r="C187" s="137"/>
      <c r="D187" s="243"/>
      <c r="E187" s="243"/>
      <c r="F187" s="138"/>
      <c r="G187" s="138"/>
      <c r="H187" s="138"/>
      <c r="I187" s="244"/>
      <c r="J187" s="225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157"/>
      <c r="Y187" s="157"/>
      <c r="Z187" s="157"/>
      <c r="AA187" s="157"/>
      <c r="AB187" s="157"/>
    </row>
    <row r="188" ht="15.75" customHeight="1">
      <c r="A188" s="241"/>
      <c r="B188" s="137"/>
      <c r="C188" s="137"/>
      <c r="D188" s="243"/>
      <c r="E188" s="243"/>
      <c r="F188" s="138"/>
      <c r="G188" s="138"/>
      <c r="H188" s="138"/>
      <c r="I188" s="244"/>
      <c r="J188" s="225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157"/>
      <c r="Y188" s="157"/>
      <c r="Z188" s="157"/>
      <c r="AA188" s="157"/>
      <c r="AB188" s="157"/>
    </row>
    <row r="189" ht="15.75" customHeight="1">
      <c r="A189" s="241"/>
      <c r="B189" s="137"/>
      <c r="C189" s="137"/>
      <c r="D189" s="243"/>
      <c r="E189" s="243"/>
      <c r="F189" s="138"/>
      <c r="G189" s="138"/>
      <c r="H189" s="138"/>
      <c r="I189" s="244"/>
      <c r="J189" s="225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157"/>
      <c r="Y189" s="157"/>
      <c r="Z189" s="157"/>
      <c r="AA189" s="157"/>
      <c r="AB189" s="157"/>
    </row>
    <row r="190" ht="15.75" customHeight="1">
      <c r="A190" s="241"/>
      <c r="B190" s="137"/>
      <c r="C190" s="137"/>
      <c r="D190" s="243"/>
      <c r="E190" s="243"/>
      <c r="F190" s="138"/>
      <c r="G190" s="138"/>
      <c r="H190" s="138"/>
      <c r="I190" s="244"/>
      <c r="J190" s="225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157"/>
      <c r="Y190" s="157"/>
      <c r="Z190" s="157"/>
      <c r="AA190" s="157"/>
      <c r="AB190" s="157"/>
    </row>
    <row r="191" ht="15.75" customHeight="1">
      <c r="A191" s="241"/>
      <c r="B191" s="137"/>
      <c r="C191" s="137"/>
      <c r="D191" s="243"/>
      <c r="E191" s="243"/>
      <c r="F191" s="138"/>
      <c r="G191" s="138"/>
      <c r="H191" s="138"/>
      <c r="I191" s="244"/>
      <c r="J191" s="225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157"/>
      <c r="Y191" s="157"/>
      <c r="Z191" s="157"/>
      <c r="AA191" s="157"/>
      <c r="AB191" s="157"/>
    </row>
    <row r="192" ht="15.75" customHeight="1">
      <c r="A192" s="241"/>
      <c r="B192" s="137"/>
      <c r="C192" s="137"/>
      <c r="D192" s="243"/>
      <c r="E192" s="243"/>
      <c r="F192" s="138"/>
      <c r="G192" s="138"/>
      <c r="H192" s="138"/>
      <c r="I192" s="164"/>
      <c r="J192" s="225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157"/>
      <c r="Y192" s="157"/>
      <c r="Z192" s="157"/>
      <c r="AA192" s="157"/>
      <c r="AB192" s="157"/>
    </row>
    <row r="193" ht="15.75" customHeight="1">
      <c r="A193" s="241"/>
      <c r="B193" s="137"/>
      <c r="C193" s="137"/>
      <c r="D193" s="243"/>
      <c r="E193" s="243"/>
      <c r="F193" s="138"/>
      <c r="G193" s="138"/>
      <c r="H193" s="138"/>
      <c r="I193" s="164"/>
      <c r="J193" s="225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157"/>
      <c r="Y193" s="157"/>
      <c r="Z193" s="157"/>
      <c r="AA193" s="157"/>
      <c r="AB193" s="157"/>
    </row>
    <row r="194" ht="15.75" customHeight="1">
      <c r="A194" s="241"/>
      <c r="B194" s="137"/>
      <c r="C194" s="137"/>
      <c r="D194" s="243"/>
      <c r="E194" s="243"/>
      <c r="F194" s="138"/>
      <c r="G194" s="138"/>
      <c r="H194" s="138"/>
      <c r="I194" s="164"/>
      <c r="J194" s="225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157"/>
      <c r="Y194" s="157"/>
      <c r="Z194" s="157"/>
      <c r="AA194" s="157"/>
      <c r="AB194" s="157"/>
    </row>
    <row r="195" ht="15.75" customHeight="1">
      <c r="A195" s="241"/>
      <c r="B195" s="137"/>
      <c r="C195" s="137"/>
      <c r="D195" s="243"/>
      <c r="E195" s="243"/>
      <c r="F195" s="138"/>
      <c r="G195" s="138"/>
      <c r="H195" s="138"/>
      <c r="I195" s="164"/>
      <c r="J195" s="225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157"/>
      <c r="Y195" s="157"/>
      <c r="Z195" s="157"/>
      <c r="AA195" s="157"/>
      <c r="AB195" s="157"/>
    </row>
    <row r="196" ht="15.75" customHeight="1">
      <c r="A196" s="241"/>
      <c r="B196" s="137"/>
      <c r="C196" s="137"/>
      <c r="D196" s="243"/>
      <c r="E196" s="243"/>
      <c r="F196" s="138"/>
      <c r="G196" s="138"/>
      <c r="H196" s="138"/>
      <c r="I196" s="164"/>
      <c r="J196" s="225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157"/>
      <c r="Y196" s="157"/>
      <c r="Z196" s="157"/>
      <c r="AA196" s="157"/>
      <c r="AB196" s="157"/>
    </row>
    <row r="197" ht="15.75" customHeight="1">
      <c r="A197" s="241"/>
      <c r="B197" s="137"/>
      <c r="C197" s="137"/>
      <c r="D197" s="243"/>
      <c r="E197" s="243"/>
      <c r="F197" s="138"/>
      <c r="G197" s="138"/>
      <c r="H197" s="138"/>
      <c r="I197" s="164"/>
      <c r="J197" s="225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157"/>
      <c r="Y197" s="157"/>
      <c r="Z197" s="157"/>
      <c r="AA197" s="157"/>
      <c r="AB197" s="157"/>
    </row>
    <row r="198" ht="15.75" customHeight="1">
      <c r="A198" s="241"/>
      <c r="B198" s="137"/>
      <c r="C198" s="137"/>
      <c r="D198" s="243"/>
      <c r="E198" s="243"/>
      <c r="F198" s="138"/>
      <c r="G198" s="138"/>
      <c r="H198" s="138"/>
      <c r="I198" s="164"/>
      <c r="J198" s="225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157"/>
      <c r="Y198" s="157"/>
      <c r="Z198" s="157"/>
      <c r="AA198" s="157"/>
      <c r="AB198" s="157"/>
    </row>
    <row r="199" ht="15.75" customHeight="1">
      <c r="A199" s="241"/>
      <c r="B199" s="137"/>
      <c r="C199" s="137"/>
      <c r="D199" s="243"/>
      <c r="E199" s="243"/>
      <c r="F199" s="138"/>
      <c r="G199" s="138"/>
      <c r="H199" s="138"/>
      <c r="I199" s="164"/>
      <c r="J199" s="225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157"/>
      <c r="Y199" s="157"/>
      <c r="Z199" s="157"/>
      <c r="AA199" s="157"/>
      <c r="AB199" s="157"/>
    </row>
    <row r="200" ht="15.75" customHeight="1">
      <c r="A200" s="241"/>
      <c r="B200" s="137"/>
      <c r="C200" s="137"/>
      <c r="D200" s="243"/>
      <c r="E200" s="243"/>
      <c r="F200" s="138"/>
      <c r="G200" s="138"/>
      <c r="H200" s="138"/>
      <c r="I200" s="164"/>
      <c r="J200" s="225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157"/>
      <c r="Y200" s="157"/>
      <c r="Z200" s="157"/>
      <c r="AA200" s="157"/>
      <c r="AB200" s="157"/>
    </row>
    <row r="201" ht="15.75" customHeight="1">
      <c r="A201" s="241"/>
      <c r="B201" s="137"/>
      <c r="C201" s="137"/>
      <c r="D201" s="243"/>
      <c r="E201" s="243"/>
      <c r="F201" s="138"/>
      <c r="G201" s="138"/>
      <c r="H201" s="138"/>
      <c r="I201" s="164"/>
      <c r="J201" s="225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157"/>
      <c r="Y201" s="157"/>
      <c r="Z201" s="157"/>
      <c r="AA201" s="157"/>
      <c r="AB201" s="157"/>
    </row>
    <row r="202" ht="15.75" customHeight="1">
      <c r="A202" s="241"/>
      <c r="B202" s="137"/>
      <c r="C202" s="137"/>
      <c r="D202" s="243"/>
      <c r="E202" s="243"/>
      <c r="F202" s="138"/>
      <c r="G202" s="138"/>
      <c r="H202" s="138"/>
      <c r="I202" s="164"/>
      <c r="J202" s="225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157"/>
      <c r="Y202" s="157"/>
      <c r="Z202" s="157"/>
      <c r="AA202" s="157"/>
      <c r="AB202" s="157"/>
    </row>
    <row r="203" ht="15.75" customHeight="1">
      <c r="A203" s="241"/>
      <c r="B203" s="137"/>
      <c r="C203" s="137"/>
      <c r="D203" s="243"/>
      <c r="E203" s="243"/>
      <c r="F203" s="138"/>
      <c r="G203" s="138"/>
      <c r="H203" s="138"/>
      <c r="I203" s="164"/>
      <c r="J203" s="225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157"/>
      <c r="Y203" s="157"/>
      <c r="Z203" s="157"/>
      <c r="AA203" s="157"/>
      <c r="AB203" s="157"/>
    </row>
    <row r="204" ht="15.75" customHeight="1">
      <c r="A204" s="241"/>
      <c r="B204" s="137"/>
      <c r="C204" s="137"/>
      <c r="D204" s="243"/>
      <c r="E204" s="243"/>
      <c r="F204" s="138"/>
      <c r="G204" s="138"/>
      <c r="H204" s="138"/>
      <c r="I204" s="164"/>
      <c r="J204" s="225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157"/>
      <c r="Y204" s="157"/>
      <c r="Z204" s="157"/>
      <c r="AA204" s="157"/>
      <c r="AB204" s="157"/>
    </row>
    <row r="205" ht="15.75" customHeight="1">
      <c r="A205" s="241"/>
      <c r="B205" s="137"/>
      <c r="C205" s="137"/>
      <c r="D205" s="243"/>
      <c r="E205" s="243"/>
      <c r="F205" s="138"/>
      <c r="G205" s="138"/>
      <c r="H205" s="138"/>
      <c r="I205" s="164"/>
      <c r="J205" s="225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157"/>
      <c r="Y205" s="157"/>
      <c r="Z205" s="157"/>
      <c r="AA205" s="157"/>
      <c r="AB205" s="157"/>
    </row>
    <row r="206" ht="15.75" customHeight="1">
      <c r="A206" s="241"/>
      <c r="B206" s="137"/>
      <c r="C206" s="137"/>
      <c r="D206" s="243"/>
      <c r="E206" s="243"/>
      <c r="F206" s="138"/>
      <c r="G206" s="138"/>
      <c r="H206" s="138"/>
      <c r="I206" s="164"/>
      <c r="J206" s="225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157"/>
      <c r="Y206" s="157"/>
      <c r="Z206" s="157"/>
      <c r="AA206" s="157"/>
      <c r="AB206" s="157"/>
    </row>
    <row r="207" ht="15.75" customHeight="1">
      <c r="A207" s="241"/>
      <c r="B207" s="137"/>
      <c r="C207" s="137"/>
      <c r="D207" s="243"/>
      <c r="E207" s="243"/>
      <c r="F207" s="138"/>
      <c r="G207" s="138"/>
      <c r="H207" s="138"/>
      <c r="I207" s="164"/>
      <c r="J207" s="225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157"/>
      <c r="Y207" s="157"/>
      <c r="Z207" s="157"/>
      <c r="AA207" s="157"/>
      <c r="AB207" s="157"/>
    </row>
    <row r="208" ht="15.75" customHeight="1">
      <c r="A208" s="241"/>
      <c r="B208" s="137"/>
      <c r="C208" s="137"/>
      <c r="D208" s="243"/>
      <c r="E208" s="243"/>
      <c r="F208" s="138"/>
      <c r="G208" s="138"/>
      <c r="H208" s="138"/>
      <c r="I208" s="164"/>
      <c r="J208" s="225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157"/>
      <c r="Y208" s="157"/>
      <c r="Z208" s="157"/>
      <c r="AA208" s="157"/>
      <c r="AB208" s="157"/>
    </row>
    <row r="209" ht="15.75" customHeight="1">
      <c r="A209" s="241"/>
      <c r="B209" s="137"/>
      <c r="C209" s="137"/>
      <c r="D209" s="243"/>
      <c r="E209" s="243"/>
      <c r="F209" s="138"/>
      <c r="G209" s="138"/>
      <c r="H209" s="138"/>
      <c r="I209" s="164"/>
      <c r="J209" s="225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157"/>
      <c r="Y209" s="157"/>
      <c r="Z209" s="157"/>
      <c r="AA209" s="157"/>
      <c r="AB209" s="157"/>
    </row>
    <row r="210" ht="15.75" customHeight="1">
      <c r="A210" s="241"/>
      <c r="B210" s="137"/>
      <c r="C210" s="137"/>
      <c r="D210" s="243"/>
      <c r="E210" s="243"/>
      <c r="F210" s="138"/>
      <c r="G210" s="138"/>
      <c r="H210" s="138"/>
      <c r="I210" s="164"/>
      <c r="J210" s="225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157"/>
      <c r="Y210" s="157"/>
      <c r="Z210" s="157"/>
      <c r="AA210" s="157"/>
      <c r="AB210" s="157"/>
    </row>
    <row r="211" ht="15.75" customHeight="1">
      <c r="A211" s="241"/>
      <c r="B211" s="137"/>
      <c r="C211" s="137"/>
      <c r="D211" s="243"/>
      <c r="E211" s="243"/>
      <c r="F211" s="138"/>
      <c r="G211" s="138"/>
      <c r="H211" s="138"/>
      <c r="I211" s="164"/>
      <c r="J211" s="225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157"/>
      <c r="Y211" s="157"/>
      <c r="Z211" s="157"/>
      <c r="AA211" s="157"/>
      <c r="AB211" s="157"/>
    </row>
    <row r="212" ht="15.75" customHeight="1">
      <c r="A212" s="241"/>
      <c r="B212" s="137"/>
      <c r="C212" s="137"/>
      <c r="D212" s="243"/>
      <c r="E212" s="157"/>
      <c r="F212" s="150"/>
      <c r="G212" s="150"/>
      <c r="H212" s="150"/>
      <c r="I212" s="164"/>
      <c r="J212" s="225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157"/>
      <c r="Y212" s="157"/>
      <c r="Z212" s="157"/>
      <c r="AA212" s="157"/>
      <c r="AB212" s="157"/>
    </row>
    <row r="213" ht="15.75" customHeight="1">
      <c r="A213" s="241"/>
      <c r="B213" s="137"/>
      <c r="C213" s="137"/>
      <c r="D213" s="243"/>
      <c r="E213" s="157"/>
      <c r="F213" s="150"/>
      <c r="G213" s="150"/>
      <c r="H213" s="150"/>
      <c r="I213" s="164"/>
      <c r="J213" s="225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157"/>
      <c r="Y213" s="157"/>
      <c r="Z213" s="157"/>
      <c r="AA213" s="157"/>
      <c r="AB213" s="157"/>
    </row>
    <row r="214" ht="15.75" customHeight="1">
      <c r="A214" s="241"/>
      <c r="B214" s="137"/>
      <c r="C214" s="137"/>
      <c r="D214" s="243"/>
      <c r="E214" s="157"/>
      <c r="F214" s="150"/>
      <c r="G214" s="150"/>
      <c r="H214" s="150"/>
      <c r="I214" s="164"/>
      <c r="J214" s="225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157"/>
      <c r="Y214" s="157"/>
      <c r="Z214" s="157"/>
      <c r="AA214" s="157"/>
      <c r="AB214" s="157"/>
    </row>
    <row r="215" ht="15.75" customHeight="1">
      <c r="A215" s="241"/>
      <c r="B215" s="137"/>
      <c r="C215" s="137"/>
      <c r="D215" s="243"/>
      <c r="E215" s="157"/>
      <c r="F215" s="150"/>
      <c r="G215" s="150"/>
      <c r="H215" s="150"/>
      <c r="I215" s="164"/>
      <c r="J215" s="225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157"/>
      <c r="Y215" s="157"/>
      <c r="Z215" s="157"/>
      <c r="AA215" s="157"/>
      <c r="AB215" s="157"/>
    </row>
    <row r="216" ht="15.75" customHeight="1">
      <c r="A216" s="241"/>
      <c r="B216" s="137"/>
      <c r="C216" s="137"/>
      <c r="D216" s="243"/>
      <c r="E216" s="157"/>
      <c r="F216" s="150"/>
      <c r="G216" s="150"/>
      <c r="H216" s="150"/>
      <c r="I216" s="164"/>
      <c r="J216" s="225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157"/>
      <c r="Y216" s="157"/>
      <c r="Z216" s="157"/>
      <c r="AA216" s="157"/>
      <c r="AB216" s="157"/>
    </row>
    <row r="217" ht="15.75" customHeight="1">
      <c r="A217" s="241"/>
      <c r="B217" s="137"/>
      <c r="C217" s="137"/>
      <c r="D217" s="243"/>
      <c r="E217" s="157"/>
      <c r="F217" s="150"/>
      <c r="G217" s="150"/>
      <c r="H217" s="150"/>
      <c r="I217" s="164"/>
      <c r="J217" s="225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157"/>
      <c r="Y217" s="157"/>
      <c r="Z217" s="157"/>
      <c r="AA217" s="157"/>
      <c r="AB217" s="157"/>
    </row>
    <row r="218" ht="15.75" customHeight="1">
      <c r="A218" s="241"/>
      <c r="B218" s="137"/>
      <c r="C218" s="137"/>
      <c r="D218" s="243"/>
      <c r="E218" s="157"/>
      <c r="F218" s="150"/>
      <c r="G218" s="150"/>
      <c r="H218" s="150"/>
      <c r="I218" s="164"/>
      <c r="J218" s="225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157"/>
      <c r="Y218" s="157"/>
      <c r="Z218" s="157"/>
      <c r="AA218" s="157"/>
      <c r="AB218" s="157"/>
    </row>
    <row r="219" ht="15.75" customHeight="1">
      <c r="A219" s="241"/>
      <c r="B219" s="137"/>
      <c r="C219" s="137"/>
      <c r="D219" s="243"/>
      <c r="E219" s="157"/>
      <c r="F219" s="150"/>
      <c r="G219" s="150"/>
      <c r="H219" s="150"/>
      <c r="I219" s="164"/>
      <c r="J219" s="248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</row>
    <row r="220" ht="15.75" customHeight="1">
      <c r="A220" s="249"/>
      <c r="B220" s="250"/>
      <c r="C220" s="250"/>
      <c r="D220" s="157"/>
      <c r="E220" s="157"/>
      <c r="F220" s="150"/>
      <c r="G220" s="150"/>
      <c r="H220" s="150"/>
      <c r="I220" s="157"/>
      <c r="J220" s="248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</row>
    <row r="221" ht="15.75" customHeight="1">
      <c r="A221" s="157"/>
      <c r="B221" s="250"/>
      <c r="C221" s="250"/>
      <c r="D221" s="157"/>
      <c r="E221" s="157"/>
      <c r="F221" s="157"/>
      <c r="G221" s="157"/>
      <c r="H221" s="157"/>
      <c r="I221" s="157"/>
      <c r="J221" s="248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</row>
    <row r="222" ht="15.75" customHeight="1">
      <c r="A222" s="157"/>
      <c r="B222" s="250"/>
      <c r="C222" s="250"/>
      <c r="D222" s="157"/>
      <c r="E222" s="157"/>
      <c r="F222" s="157"/>
      <c r="G222" s="157"/>
      <c r="H222" s="157"/>
      <c r="I222" s="157"/>
      <c r="J222" s="248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</row>
    <row r="223" ht="15.75" customHeight="1">
      <c r="A223" s="157"/>
      <c r="B223" s="250"/>
      <c r="C223" s="250"/>
      <c r="D223" s="157"/>
      <c r="E223" s="157"/>
      <c r="F223" s="157"/>
      <c r="G223" s="157"/>
      <c r="H223" s="157"/>
      <c r="I223" s="157"/>
      <c r="J223" s="248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</row>
    <row r="224" ht="15.75" customHeight="1">
      <c r="A224" s="157"/>
      <c r="B224" s="250"/>
      <c r="C224" s="250"/>
      <c r="D224" s="157"/>
      <c r="E224" s="157"/>
      <c r="F224" s="157"/>
      <c r="G224" s="157"/>
      <c r="H224" s="157"/>
      <c r="I224" s="157"/>
      <c r="J224" s="248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</row>
    <row r="225" ht="15.75" customHeight="1">
      <c r="A225" s="157"/>
      <c r="B225" s="250"/>
      <c r="C225" s="250"/>
      <c r="D225" s="157"/>
      <c r="E225" s="157"/>
      <c r="F225" s="157"/>
      <c r="G225" s="157"/>
      <c r="H225" s="157"/>
      <c r="I225" s="157"/>
      <c r="J225" s="248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</row>
    <row r="226" ht="15.75" customHeight="1">
      <c r="A226" s="157"/>
      <c r="B226" s="250"/>
      <c r="C226" s="250"/>
      <c r="D226" s="157"/>
      <c r="E226" s="157"/>
      <c r="F226" s="157"/>
      <c r="G226" s="157"/>
      <c r="H226" s="157"/>
      <c r="I226" s="157"/>
      <c r="J226" s="248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</row>
    <row r="227" ht="15.75" customHeight="1">
      <c r="A227" s="157"/>
      <c r="B227" s="250"/>
      <c r="C227" s="250"/>
      <c r="D227" s="157"/>
      <c r="E227" s="157"/>
      <c r="F227" s="157"/>
      <c r="G227" s="157"/>
      <c r="H227" s="157"/>
      <c r="I227" s="157"/>
      <c r="J227" s="248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</row>
    <row r="228" ht="15.75" customHeight="1">
      <c r="A228" s="157"/>
      <c r="B228" s="250"/>
      <c r="C228" s="250"/>
      <c r="D228" s="157"/>
      <c r="E228" s="157"/>
      <c r="F228" s="157"/>
      <c r="G228" s="157"/>
      <c r="H228" s="157"/>
      <c r="I228" s="157"/>
      <c r="J228" s="248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</row>
    <row r="229" ht="15.75" customHeight="1">
      <c r="A229" s="157"/>
      <c r="B229" s="250"/>
      <c r="C229" s="250"/>
      <c r="D229" s="157"/>
      <c r="E229" s="157"/>
      <c r="F229" s="157"/>
      <c r="G229" s="157"/>
      <c r="H229" s="157"/>
      <c r="I229" s="157"/>
      <c r="J229" s="248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</row>
    <row r="230" ht="15.75" customHeight="1">
      <c r="A230" s="157"/>
      <c r="B230" s="250"/>
      <c r="C230" s="250"/>
      <c r="D230" s="157"/>
      <c r="E230" s="157"/>
      <c r="F230" s="157"/>
      <c r="G230" s="157"/>
      <c r="H230" s="157"/>
      <c r="I230" s="157"/>
      <c r="J230" s="248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</row>
    <row r="231" ht="15.75" customHeight="1">
      <c r="A231" s="157"/>
      <c r="B231" s="250"/>
      <c r="C231" s="250"/>
      <c r="D231" s="157"/>
      <c r="E231" s="157"/>
      <c r="F231" s="157"/>
      <c r="G231" s="157"/>
      <c r="H231" s="157"/>
      <c r="I231" s="157"/>
      <c r="J231" s="248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</row>
    <row r="232" ht="15.75" customHeight="1">
      <c r="A232" s="157"/>
      <c r="B232" s="250"/>
      <c r="C232" s="250"/>
      <c r="D232" s="157"/>
      <c r="E232" s="157"/>
      <c r="F232" s="157"/>
      <c r="G232" s="157"/>
      <c r="H232" s="157"/>
      <c r="I232" s="157"/>
      <c r="J232" s="248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</row>
    <row r="233" ht="15.75" customHeight="1">
      <c r="A233" s="157"/>
      <c r="B233" s="250"/>
      <c r="C233" s="250"/>
      <c r="D233" s="157"/>
      <c r="E233" s="157"/>
      <c r="F233" s="157"/>
      <c r="G233" s="157"/>
      <c r="H233" s="157"/>
      <c r="I233" s="157"/>
      <c r="J233" s="248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</row>
    <row r="234" ht="15.75" customHeight="1">
      <c r="A234" s="157"/>
      <c r="B234" s="250"/>
      <c r="C234" s="250"/>
      <c r="D234" s="157"/>
      <c r="E234" s="157"/>
      <c r="F234" s="157"/>
      <c r="G234" s="157"/>
      <c r="H234" s="157"/>
      <c r="I234" s="157"/>
      <c r="J234" s="248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</row>
    <row r="235" ht="15.75" customHeight="1">
      <c r="A235" s="157"/>
      <c r="B235" s="250"/>
      <c r="C235" s="250"/>
      <c r="D235" s="157"/>
      <c r="E235" s="157"/>
      <c r="F235" s="157"/>
      <c r="G235" s="157"/>
      <c r="H235" s="157"/>
      <c r="I235" s="157"/>
      <c r="J235" s="248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</row>
    <row r="236" ht="15.75" customHeight="1">
      <c r="A236" s="157"/>
      <c r="B236" s="250"/>
      <c r="C236" s="250"/>
      <c r="D236" s="157"/>
      <c r="E236" s="157"/>
      <c r="F236" s="157"/>
      <c r="G236" s="157"/>
      <c r="H236" s="157"/>
      <c r="I236" s="157"/>
      <c r="J236" s="248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</row>
    <row r="237" ht="15.75" customHeight="1">
      <c r="A237" s="157"/>
      <c r="B237" s="250"/>
      <c r="C237" s="250"/>
      <c r="D237" s="157"/>
      <c r="E237" s="157"/>
      <c r="F237" s="157"/>
      <c r="G237" s="157"/>
      <c r="H237" s="157"/>
      <c r="I237" s="157"/>
      <c r="J237" s="248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</row>
    <row r="238" ht="15.75" customHeight="1">
      <c r="A238" s="157"/>
      <c r="B238" s="250"/>
      <c r="C238" s="250"/>
      <c r="D238" s="157"/>
      <c r="E238" s="157"/>
      <c r="F238" s="157"/>
      <c r="G238" s="157"/>
      <c r="H238" s="157"/>
      <c r="I238" s="157"/>
      <c r="J238" s="248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</row>
    <row r="239" ht="15.75" customHeight="1">
      <c r="A239" s="157"/>
      <c r="B239" s="250"/>
      <c r="C239" s="250"/>
      <c r="D239" s="157"/>
      <c r="E239" s="157"/>
      <c r="F239" s="157"/>
      <c r="G239" s="157"/>
      <c r="H239" s="157"/>
      <c r="I239" s="157"/>
      <c r="J239" s="248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</row>
    <row r="240" ht="15.75" customHeight="1">
      <c r="A240" s="157"/>
      <c r="B240" s="250"/>
      <c r="C240" s="250"/>
      <c r="D240" s="157"/>
      <c r="E240" s="157"/>
      <c r="F240" s="157"/>
      <c r="G240" s="157"/>
      <c r="H240" s="157"/>
      <c r="I240" s="157"/>
      <c r="J240" s="248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</row>
    <row r="241" ht="15.75" customHeight="1">
      <c r="A241" s="157"/>
      <c r="B241" s="250"/>
      <c r="C241" s="250"/>
      <c r="D241" s="157"/>
      <c r="E241" s="157"/>
      <c r="F241" s="157"/>
      <c r="G241" s="157"/>
      <c r="H241" s="157"/>
      <c r="I241" s="157"/>
      <c r="J241" s="248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</row>
    <row r="242" ht="15.75" customHeight="1">
      <c r="A242" s="157"/>
      <c r="B242" s="250"/>
      <c r="C242" s="250"/>
      <c r="D242" s="157"/>
      <c r="E242" s="157"/>
      <c r="F242" s="157"/>
      <c r="G242" s="157"/>
      <c r="H242" s="157"/>
      <c r="I242" s="157"/>
      <c r="J242" s="248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</row>
    <row r="243" ht="15.75" customHeight="1">
      <c r="A243" s="157"/>
      <c r="B243" s="250"/>
      <c r="C243" s="250"/>
      <c r="D243" s="157"/>
      <c r="E243" s="157"/>
      <c r="F243" s="157"/>
      <c r="G243" s="157"/>
      <c r="H243" s="157"/>
      <c r="I243" s="157"/>
      <c r="J243" s="248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</row>
    <row r="244" ht="15.75" customHeight="1">
      <c r="A244" s="157"/>
      <c r="B244" s="250"/>
      <c r="C244" s="250"/>
      <c r="D244" s="157"/>
      <c r="E244" s="157"/>
      <c r="F244" s="157"/>
      <c r="G244" s="157"/>
      <c r="H244" s="157"/>
      <c r="I244" s="157"/>
      <c r="J244" s="248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</row>
    <row r="245" ht="15.75" customHeight="1">
      <c r="A245" s="157"/>
      <c r="B245" s="250"/>
      <c r="C245" s="250"/>
      <c r="D245" s="157"/>
      <c r="E245" s="157"/>
      <c r="F245" s="157"/>
      <c r="G245" s="157"/>
      <c r="H245" s="157"/>
      <c r="I245" s="157"/>
      <c r="J245" s="248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</row>
    <row r="246" ht="15.75" customHeight="1">
      <c r="A246" s="157"/>
      <c r="B246" s="250"/>
      <c r="C246" s="250"/>
      <c r="D246" s="157"/>
      <c r="E246" s="157"/>
      <c r="F246" s="157"/>
      <c r="G246" s="157"/>
      <c r="H246" s="157"/>
      <c r="I246" s="157"/>
      <c r="J246" s="248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</row>
    <row r="247" ht="15.75" customHeight="1">
      <c r="A247" s="157"/>
      <c r="B247" s="250"/>
      <c r="C247" s="250"/>
      <c r="D247" s="157"/>
      <c r="E247" s="157"/>
      <c r="F247" s="157"/>
      <c r="G247" s="157"/>
      <c r="H247" s="157"/>
      <c r="I247" s="157"/>
      <c r="J247" s="248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</row>
    <row r="248" ht="15.75" customHeight="1">
      <c r="A248" s="157"/>
      <c r="B248" s="250"/>
      <c r="C248" s="250"/>
      <c r="D248" s="157"/>
      <c r="E248" s="157"/>
      <c r="F248" s="157"/>
      <c r="G248" s="157"/>
      <c r="H248" s="157"/>
      <c r="I248" s="157"/>
      <c r="J248" s="248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</row>
    <row r="249" ht="15.75" customHeight="1">
      <c r="A249" s="157"/>
      <c r="B249" s="250"/>
      <c r="C249" s="250"/>
      <c r="D249" s="157"/>
      <c r="E249" s="157"/>
      <c r="F249" s="157"/>
      <c r="G249" s="157"/>
      <c r="H249" s="157"/>
      <c r="I249" s="157"/>
      <c r="J249" s="248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</row>
    <row r="250" ht="15.75" customHeight="1">
      <c r="A250" s="157"/>
      <c r="B250" s="250"/>
      <c r="C250" s="250"/>
      <c r="D250" s="157"/>
      <c r="E250" s="157"/>
      <c r="F250" s="157"/>
      <c r="G250" s="157"/>
      <c r="H250" s="157"/>
      <c r="I250" s="157"/>
      <c r="J250" s="248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</row>
    <row r="251" ht="15.75" customHeight="1">
      <c r="A251" s="157"/>
      <c r="B251" s="250"/>
      <c r="C251" s="250"/>
      <c r="D251" s="157"/>
      <c r="E251" s="157"/>
      <c r="F251" s="157"/>
      <c r="G251" s="157"/>
      <c r="H251" s="157"/>
      <c r="I251" s="157"/>
      <c r="J251" s="248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</row>
    <row r="252" ht="15.75" customHeight="1">
      <c r="A252" s="157"/>
      <c r="B252" s="250"/>
      <c r="C252" s="250"/>
      <c r="D252" s="157"/>
      <c r="E252" s="157"/>
      <c r="F252" s="157"/>
      <c r="G252" s="157"/>
      <c r="H252" s="157"/>
      <c r="I252" s="157"/>
      <c r="J252" s="248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</row>
    <row r="253" ht="15.75" customHeight="1">
      <c r="A253" s="157"/>
      <c r="B253" s="250"/>
      <c r="C253" s="250"/>
      <c r="D253" s="157"/>
      <c r="E253" s="157"/>
      <c r="F253" s="157"/>
      <c r="G253" s="157"/>
      <c r="H253" s="157"/>
      <c r="I253" s="157"/>
      <c r="J253" s="248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</row>
    <row r="254" ht="15.75" customHeight="1">
      <c r="A254" s="157"/>
      <c r="B254" s="250"/>
      <c r="C254" s="250"/>
      <c r="D254" s="157"/>
      <c r="E254" s="157"/>
      <c r="F254" s="157"/>
      <c r="G254" s="157"/>
      <c r="H254" s="157"/>
      <c r="I254" s="157"/>
      <c r="J254" s="248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</row>
    <row r="255" ht="15.75" customHeight="1">
      <c r="A255" s="157"/>
      <c r="B255" s="250"/>
      <c r="C255" s="250"/>
      <c r="D255" s="157"/>
      <c r="E255" s="157"/>
      <c r="F255" s="157"/>
      <c r="G255" s="157"/>
      <c r="H255" s="157"/>
      <c r="I255" s="157"/>
      <c r="J255" s="248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</row>
    <row r="256" ht="15.75" customHeight="1">
      <c r="A256" s="157"/>
      <c r="B256" s="250"/>
      <c r="C256" s="250"/>
      <c r="D256" s="157"/>
      <c r="E256" s="157"/>
      <c r="F256" s="157"/>
      <c r="G256" s="157"/>
      <c r="H256" s="157"/>
      <c r="I256" s="157"/>
      <c r="J256" s="248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</row>
    <row r="257" ht="15.75" customHeight="1">
      <c r="A257" s="157"/>
      <c r="B257" s="250"/>
      <c r="C257" s="250"/>
      <c r="D257" s="157"/>
      <c r="E257" s="157"/>
      <c r="F257" s="157"/>
      <c r="G257" s="157"/>
      <c r="H257" s="157"/>
      <c r="I257" s="157"/>
      <c r="J257" s="248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</row>
    <row r="258" ht="15.75" customHeight="1">
      <c r="A258" s="157"/>
      <c r="B258" s="250"/>
      <c r="C258" s="250"/>
      <c r="D258" s="157"/>
      <c r="E258" s="157"/>
      <c r="F258" s="157"/>
      <c r="G258" s="157"/>
      <c r="H258" s="157"/>
      <c r="I258" s="157"/>
      <c r="J258" s="248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</row>
    <row r="259" ht="15.75" customHeight="1">
      <c r="A259" s="157"/>
      <c r="B259" s="250"/>
      <c r="C259" s="250"/>
      <c r="D259" s="157"/>
      <c r="E259" s="157"/>
      <c r="F259" s="157"/>
      <c r="G259" s="157"/>
      <c r="H259" s="157"/>
      <c r="I259" s="157"/>
      <c r="J259" s="248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</row>
    <row r="260" ht="15.75" customHeight="1">
      <c r="A260" s="157"/>
      <c r="B260" s="250"/>
      <c r="C260" s="250"/>
      <c r="D260" s="157"/>
      <c r="E260" s="157"/>
      <c r="F260" s="157"/>
      <c r="G260" s="157"/>
      <c r="H260" s="157"/>
      <c r="I260" s="157"/>
      <c r="J260" s="248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</row>
    <row r="261" ht="15.75" customHeight="1">
      <c r="A261" s="157"/>
      <c r="B261" s="250"/>
      <c r="C261" s="250"/>
      <c r="D261" s="157"/>
      <c r="E261" s="157"/>
      <c r="F261" s="157"/>
      <c r="G261" s="157"/>
      <c r="H261" s="157"/>
      <c r="I261" s="157"/>
      <c r="J261" s="248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</row>
    <row r="262" ht="15.75" customHeight="1">
      <c r="A262" s="157"/>
      <c r="B262" s="250"/>
      <c r="C262" s="250"/>
      <c r="D262" s="157"/>
      <c r="E262" s="157"/>
      <c r="F262" s="157"/>
      <c r="G262" s="157"/>
      <c r="H262" s="157"/>
      <c r="I262" s="157"/>
      <c r="J262" s="248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</row>
    <row r="263" ht="15.75" customHeight="1">
      <c r="A263" s="157"/>
      <c r="B263" s="250"/>
      <c r="C263" s="250"/>
      <c r="D263" s="157"/>
      <c r="E263" s="157"/>
      <c r="F263" s="157"/>
      <c r="G263" s="157"/>
      <c r="H263" s="157"/>
      <c r="I263" s="157"/>
      <c r="J263" s="248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</row>
    <row r="264" ht="15.75" customHeight="1">
      <c r="A264" s="157"/>
      <c r="B264" s="250"/>
      <c r="C264" s="250"/>
      <c r="D264" s="157"/>
      <c r="E264" s="157"/>
      <c r="F264" s="157"/>
      <c r="G264" s="157"/>
      <c r="H264" s="157"/>
      <c r="I264" s="157"/>
      <c r="J264" s="248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</row>
    <row r="265" ht="15.75" customHeight="1">
      <c r="A265" s="157"/>
      <c r="B265" s="250"/>
      <c r="C265" s="250"/>
      <c r="D265" s="157"/>
      <c r="E265" s="157"/>
      <c r="F265" s="157"/>
      <c r="G265" s="157"/>
      <c r="H265" s="157"/>
      <c r="I265" s="157"/>
      <c r="J265" s="248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</row>
    <row r="266" ht="15.75" customHeight="1">
      <c r="A266" s="157"/>
      <c r="B266" s="250"/>
      <c r="C266" s="250"/>
      <c r="D266" s="157"/>
      <c r="E266" s="157"/>
      <c r="F266" s="157"/>
      <c r="G266" s="157"/>
      <c r="H266" s="157"/>
      <c r="I266" s="157"/>
      <c r="J266" s="248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</row>
    <row r="267" ht="15.75" customHeight="1">
      <c r="A267" s="157"/>
      <c r="B267" s="250"/>
      <c r="C267" s="250"/>
      <c r="D267" s="157"/>
      <c r="E267" s="157"/>
      <c r="F267" s="157"/>
      <c r="G267" s="157"/>
      <c r="H267" s="157"/>
      <c r="I267" s="157"/>
      <c r="J267" s="248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</row>
    <row r="268" ht="15.75" customHeight="1">
      <c r="A268" s="157"/>
      <c r="B268" s="250"/>
      <c r="C268" s="250"/>
      <c r="D268" s="157"/>
      <c r="E268" s="157"/>
      <c r="F268" s="157"/>
      <c r="G268" s="157"/>
      <c r="H268" s="157"/>
      <c r="I268" s="157"/>
      <c r="J268" s="248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</row>
    <row r="269" ht="15.75" customHeight="1">
      <c r="A269" s="157"/>
      <c r="B269" s="250"/>
      <c r="C269" s="250"/>
      <c r="D269" s="157"/>
      <c r="E269" s="157"/>
      <c r="F269" s="157"/>
      <c r="G269" s="157"/>
      <c r="H269" s="157"/>
      <c r="I269" s="157"/>
      <c r="J269" s="248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</row>
    <row r="270" ht="15.75" customHeight="1">
      <c r="A270" s="157"/>
      <c r="B270" s="250"/>
      <c r="C270" s="250"/>
      <c r="D270" s="157"/>
      <c r="E270" s="157"/>
      <c r="F270" s="157"/>
      <c r="G270" s="157"/>
      <c r="H270" s="157"/>
      <c r="I270" s="157"/>
      <c r="J270" s="248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</row>
    <row r="271" ht="15.75" customHeight="1">
      <c r="A271" s="157"/>
      <c r="B271" s="250"/>
      <c r="C271" s="250"/>
      <c r="D271" s="157"/>
      <c r="E271" s="157"/>
      <c r="F271" s="157"/>
      <c r="G271" s="157"/>
      <c r="H271" s="157"/>
      <c r="I271" s="157"/>
      <c r="J271" s="248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</row>
    <row r="272" ht="15.75" customHeight="1">
      <c r="A272" s="157"/>
      <c r="B272" s="250"/>
      <c r="C272" s="250"/>
      <c r="D272" s="157"/>
      <c r="E272" s="157"/>
      <c r="F272" s="157"/>
      <c r="G272" s="157"/>
      <c r="H272" s="157"/>
      <c r="I272" s="157"/>
      <c r="J272" s="248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</row>
    <row r="273" ht="15.75" customHeight="1">
      <c r="A273" s="157"/>
      <c r="B273" s="250"/>
      <c r="C273" s="250"/>
      <c r="D273" s="157"/>
      <c r="E273" s="157"/>
      <c r="F273" s="157"/>
      <c r="G273" s="157"/>
      <c r="H273" s="157"/>
      <c r="I273" s="157"/>
      <c r="J273" s="248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</row>
    <row r="274" ht="15.75" customHeight="1">
      <c r="A274" s="157"/>
      <c r="B274" s="250"/>
      <c r="C274" s="250"/>
      <c r="D274" s="157"/>
      <c r="E274" s="157"/>
      <c r="F274" s="157"/>
      <c r="G274" s="157"/>
      <c r="H274" s="157"/>
      <c r="I274" s="157"/>
      <c r="J274" s="248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</row>
    <row r="275" ht="15.75" customHeight="1">
      <c r="A275" s="157"/>
      <c r="B275" s="250"/>
      <c r="C275" s="250"/>
      <c r="D275" s="157"/>
      <c r="E275" s="157"/>
      <c r="F275" s="157"/>
      <c r="G275" s="157"/>
      <c r="H275" s="157"/>
      <c r="I275" s="157"/>
      <c r="J275" s="248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</row>
    <row r="276" ht="15.75" customHeight="1">
      <c r="A276" s="157"/>
      <c r="B276" s="250"/>
      <c r="C276" s="250"/>
      <c r="D276" s="157"/>
      <c r="E276" s="157"/>
      <c r="F276" s="157"/>
      <c r="G276" s="157"/>
      <c r="H276" s="157"/>
      <c r="I276" s="157"/>
      <c r="J276" s="248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</row>
    <row r="277" ht="15.75" customHeight="1">
      <c r="A277" s="157"/>
      <c r="B277" s="250"/>
      <c r="C277" s="250"/>
      <c r="D277" s="157"/>
      <c r="E277" s="157"/>
      <c r="F277" s="157"/>
      <c r="G277" s="157"/>
      <c r="H277" s="157"/>
      <c r="I277" s="157"/>
      <c r="J277" s="248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</row>
    <row r="278" ht="15.75" customHeight="1">
      <c r="A278" s="157"/>
      <c r="B278" s="250"/>
      <c r="C278" s="250"/>
      <c r="D278" s="157"/>
      <c r="E278" s="157"/>
      <c r="F278" s="157"/>
      <c r="G278" s="157"/>
      <c r="H278" s="157"/>
      <c r="I278" s="157"/>
      <c r="J278" s="248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</row>
    <row r="279" ht="15.75" customHeight="1">
      <c r="A279" s="157"/>
      <c r="B279" s="250"/>
      <c r="C279" s="250"/>
      <c r="D279" s="157"/>
      <c r="E279" s="157"/>
      <c r="F279" s="157"/>
      <c r="G279" s="157"/>
      <c r="H279" s="157"/>
      <c r="I279" s="157"/>
      <c r="J279" s="248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</row>
    <row r="280" ht="15.75" customHeight="1">
      <c r="A280" s="157"/>
      <c r="B280" s="250"/>
      <c r="C280" s="250"/>
      <c r="D280" s="157"/>
      <c r="E280" s="157"/>
      <c r="F280" s="157"/>
      <c r="G280" s="157"/>
      <c r="H280" s="157"/>
      <c r="I280" s="157"/>
      <c r="J280" s="248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</row>
    <row r="281" ht="15.75" customHeight="1">
      <c r="A281" s="157"/>
      <c r="B281" s="250"/>
      <c r="C281" s="250"/>
      <c r="D281" s="157"/>
      <c r="E281" s="157"/>
      <c r="F281" s="157"/>
      <c r="G281" s="157"/>
      <c r="H281" s="157"/>
      <c r="I281" s="157"/>
      <c r="J281" s="248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</row>
    <row r="282" ht="15.75" customHeight="1">
      <c r="A282" s="157"/>
      <c r="B282" s="250"/>
      <c r="C282" s="250"/>
      <c r="D282" s="157"/>
      <c r="E282" s="157"/>
      <c r="F282" s="157"/>
      <c r="G282" s="157"/>
      <c r="H282" s="157"/>
      <c r="I282" s="157"/>
      <c r="J282" s="248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</row>
    <row r="283" ht="15.75" customHeight="1">
      <c r="A283" s="157"/>
      <c r="B283" s="250"/>
      <c r="C283" s="250"/>
      <c r="D283" s="157"/>
      <c r="E283" s="157"/>
      <c r="F283" s="157"/>
      <c r="G283" s="157"/>
      <c r="H283" s="157"/>
      <c r="I283" s="157"/>
      <c r="J283" s="248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</row>
    <row r="284" ht="15.75" customHeight="1">
      <c r="A284" s="157"/>
      <c r="B284" s="250"/>
      <c r="C284" s="250"/>
      <c r="D284" s="157"/>
      <c r="E284" s="157"/>
      <c r="F284" s="157"/>
      <c r="G284" s="157"/>
      <c r="H284" s="157"/>
      <c r="I284" s="157"/>
      <c r="J284" s="248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</row>
    <row r="285" ht="15.75" customHeight="1">
      <c r="A285" s="157"/>
      <c r="B285" s="250"/>
      <c r="C285" s="250"/>
      <c r="D285" s="157"/>
      <c r="E285" s="157"/>
      <c r="F285" s="157"/>
      <c r="G285" s="157"/>
      <c r="H285" s="157"/>
      <c r="I285" s="157"/>
      <c r="J285" s="248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</row>
    <row r="286" ht="15.75" customHeight="1">
      <c r="A286" s="157"/>
      <c r="B286" s="250"/>
      <c r="C286" s="250"/>
      <c r="D286" s="157"/>
      <c r="E286" s="157"/>
      <c r="F286" s="157"/>
      <c r="G286" s="157"/>
      <c r="H286" s="157"/>
      <c r="I286" s="157"/>
      <c r="J286" s="248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</row>
    <row r="287" ht="15.75" customHeight="1">
      <c r="A287" s="157"/>
      <c r="B287" s="250"/>
      <c r="C287" s="250"/>
      <c r="D287" s="157"/>
      <c r="E287" s="157"/>
      <c r="F287" s="157"/>
      <c r="G287" s="157"/>
      <c r="H287" s="157"/>
      <c r="I287" s="157"/>
      <c r="J287" s="248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</row>
    <row r="288" ht="15.75" customHeight="1">
      <c r="A288" s="157"/>
      <c r="B288" s="250"/>
      <c r="C288" s="250"/>
      <c r="D288" s="157"/>
      <c r="E288" s="157"/>
      <c r="F288" s="157"/>
      <c r="G288" s="157"/>
      <c r="H288" s="157"/>
      <c r="I288" s="157"/>
      <c r="J288" s="248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</row>
    <row r="289" ht="15.75" customHeight="1">
      <c r="A289" s="157"/>
      <c r="B289" s="250"/>
      <c r="C289" s="250"/>
      <c r="D289" s="157"/>
      <c r="E289" s="157"/>
      <c r="F289" s="157"/>
      <c r="G289" s="157"/>
      <c r="H289" s="157"/>
      <c r="I289" s="157"/>
      <c r="J289" s="248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</row>
    <row r="290" ht="15.75" customHeight="1">
      <c r="A290" s="157"/>
      <c r="B290" s="250"/>
      <c r="C290" s="250"/>
      <c r="D290" s="157"/>
      <c r="E290" s="157"/>
      <c r="F290" s="157"/>
      <c r="G290" s="157"/>
      <c r="H290" s="157"/>
      <c r="I290" s="157"/>
      <c r="J290" s="248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</row>
    <row r="291" ht="15.75" customHeight="1">
      <c r="A291" s="157"/>
      <c r="B291" s="250"/>
      <c r="C291" s="250"/>
      <c r="D291" s="157"/>
      <c r="E291" s="157"/>
      <c r="F291" s="157"/>
      <c r="G291" s="157"/>
      <c r="H291" s="157"/>
      <c r="I291" s="157"/>
      <c r="J291" s="248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</row>
    <row r="292" ht="15.75" customHeight="1">
      <c r="A292" s="157"/>
      <c r="B292" s="250"/>
      <c r="C292" s="250"/>
      <c r="D292" s="157"/>
      <c r="E292" s="157"/>
      <c r="F292" s="157"/>
      <c r="G292" s="157"/>
      <c r="H292" s="157"/>
      <c r="I292" s="157"/>
      <c r="J292" s="248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</row>
    <row r="293" ht="15.75" customHeight="1">
      <c r="A293" s="157"/>
      <c r="B293" s="250"/>
      <c r="C293" s="250"/>
      <c r="D293" s="157"/>
      <c r="E293" s="157"/>
      <c r="F293" s="157"/>
      <c r="G293" s="157"/>
      <c r="H293" s="157"/>
      <c r="I293" s="157"/>
      <c r="J293" s="248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</row>
    <row r="294" ht="15.75" customHeight="1">
      <c r="A294" s="157"/>
      <c r="B294" s="250"/>
      <c r="C294" s="250"/>
      <c r="D294" s="157"/>
      <c r="E294" s="157"/>
      <c r="F294" s="157"/>
      <c r="G294" s="157"/>
      <c r="H294" s="157"/>
      <c r="I294" s="157"/>
      <c r="J294" s="248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</row>
    <row r="295" ht="15.75" customHeight="1">
      <c r="A295" s="157"/>
      <c r="B295" s="250"/>
      <c r="C295" s="250"/>
      <c r="D295" s="157"/>
      <c r="E295" s="157"/>
      <c r="F295" s="157"/>
      <c r="G295" s="157"/>
      <c r="H295" s="157"/>
      <c r="I295" s="157"/>
      <c r="J295" s="248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</row>
    <row r="296" ht="15.75" customHeight="1">
      <c r="A296" s="157"/>
      <c r="B296" s="250"/>
      <c r="C296" s="250"/>
      <c r="D296" s="157"/>
      <c r="E296" s="157"/>
      <c r="F296" s="157"/>
      <c r="G296" s="157"/>
      <c r="H296" s="157"/>
      <c r="I296" s="157"/>
      <c r="J296" s="248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</row>
    <row r="297" ht="15.75" customHeight="1">
      <c r="A297" s="157"/>
      <c r="B297" s="250"/>
      <c r="C297" s="250"/>
      <c r="D297" s="157"/>
      <c r="E297" s="157"/>
      <c r="F297" s="157"/>
      <c r="G297" s="157"/>
      <c r="H297" s="157"/>
      <c r="I297" s="157"/>
      <c r="J297" s="248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</row>
    <row r="298" ht="15.75" customHeight="1">
      <c r="A298" s="157"/>
      <c r="B298" s="250"/>
      <c r="C298" s="250"/>
      <c r="D298" s="157"/>
      <c r="E298" s="157"/>
      <c r="F298" s="157"/>
      <c r="G298" s="157"/>
      <c r="H298" s="157"/>
      <c r="I298" s="157"/>
      <c r="J298" s="248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</row>
    <row r="299" ht="15.75" customHeight="1">
      <c r="A299" s="157"/>
      <c r="B299" s="250"/>
      <c r="C299" s="250"/>
      <c r="D299" s="157"/>
      <c r="E299" s="157"/>
      <c r="F299" s="157"/>
      <c r="G299" s="157"/>
      <c r="H299" s="157"/>
      <c r="I299" s="157"/>
      <c r="J299" s="248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</row>
    <row r="300" ht="15.75" customHeight="1">
      <c r="A300" s="157"/>
      <c r="B300" s="250"/>
      <c r="C300" s="250"/>
      <c r="D300" s="157"/>
      <c r="E300" s="157"/>
      <c r="F300" s="157"/>
      <c r="G300" s="157"/>
      <c r="H300" s="157"/>
      <c r="I300" s="157"/>
      <c r="J300" s="248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</row>
    <row r="301" ht="15.75" customHeight="1">
      <c r="A301" s="157"/>
      <c r="B301" s="250"/>
      <c r="C301" s="250"/>
      <c r="D301" s="157"/>
      <c r="E301" s="157"/>
      <c r="F301" s="157"/>
      <c r="G301" s="157"/>
      <c r="H301" s="157"/>
      <c r="I301" s="157"/>
      <c r="J301" s="248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</row>
    <row r="302" ht="15.75" customHeight="1">
      <c r="A302" s="157"/>
      <c r="B302" s="250"/>
      <c r="C302" s="250"/>
      <c r="D302" s="157"/>
      <c r="E302" s="157"/>
      <c r="F302" s="157"/>
      <c r="G302" s="157"/>
      <c r="H302" s="157"/>
      <c r="I302" s="157"/>
      <c r="J302" s="248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</row>
    <row r="303" ht="15.75" customHeight="1">
      <c r="A303" s="157"/>
      <c r="B303" s="250"/>
      <c r="C303" s="250"/>
      <c r="D303" s="157"/>
      <c r="E303" s="157"/>
      <c r="F303" s="157"/>
      <c r="G303" s="157"/>
      <c r="H303" s="157"/>
      <c r="I303" s="157"/>
      <c r="J303" s="248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</row>
    <row r="304" ht="15.75" customHeight="1">
      <c r="A304" s="157"/>
      <c r="B304" s="250"/>
      <c r="C304" s="250"/>
      <c r="D304" s="157"/>
      <c r="E304" s="157"/>
      <c r="F304" s="157"/>
      <c r="G304" s="157"/>
      <c r="H304" s="157"/>
      <c r="I304" s="157"/>
      <c r="J304" s="248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</row>
    <row r="305" ht="15.75" customHeight="1">
      <c r="A305" s="157"/>
      <c r="B305" s="250"/>
      <c r="C305" s="250"/>
      <c r="D305" s="157"/>
      <c r="E305" s="157"/>
      <c r="F305" s="157"/>
      <c r="G305" s="157"/>
      <c r="H305" s="157"/>
      <c r="I305" s="157"/>
      <c r="J305" s="248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</row>
    <row r="306" ht="15.75" customHeight="1">
      <c r="A306" s="157"/>
      <c r="B306" s="250"/>
      <c r="C306" s="250"/>
      <c r="D306" s="157"/>
      <c r="E306" s="157"/>
      <c r="F306" s="157"/>
      <c r="G306" s="157"/>
      <c r="H306" s="157"/>
      <c r="I306" s="157"/>
      <c r="J306" s="248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</row>
    <row r="307" ht="15.75" customHeight="1">
      <c r="A307" s="157"/>
      <c r="B307" s="250"/>
      <c r="C307" s="250"/>
      <c r="D307" s="157"/>
      <c r="E307" s="157"/>
      <c r="F307" s="157"/>
      <c r="G307" s="157"/>
      <c r="H307" s="157"/>
      <c r="I307" s="157"/>
      <c r="J307" s="248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</row>
    <row r="308" ht="15.75" customHeight="1">
      <c r="A308" s="157"/>
      <c r="B308" s="250"/>
      <c r="C308" s="250"/>
      <c r="D308" s="157"/>
      <c r="E308" s="157"/>
      <c r="F308" s="157"/>
      <c r="G308" s="157"/>
      <c r="H308" s="157"/>
      <c r="I308" s="157"/>
      <c r="J308" s="248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</row>
    <row r="309" ht="15.75" customHeight="1">
      <c r="A309" s="157"/>
      <c r="B309" s="250"/>
      <c r="C309" s="250"/>
      <c r="D309" s="157"/>
      <c r="E309" s="157"/>
      <c r="F309" s="157"/>
      <c r="G309" s="157"/>
      <c r="H309" s="157"/>
      <c r="I309" s="157"/>
      <c r="J309" s="248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</row>
    <row r="310" ht="15.75" customHeight="1">
      <c r="A310" s="157"/>
      <c r="B310" s="250"/>
      <c r="C310" s="250"/>
      <c r="D310" s="157"/>
      <c r="E310" s="157"/>
      <c r="F310" s="157"/>
      <c r="G310" s="157"/>
      <c r="H310" s="157"/>
      <c r="I310" s="157"/>
      <c r="J310" s="248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</row>
    <row r="311" ht="15.75" customHeight="1">
      <c r="A311" s="157"/>
      <c r="B311" s="250"/>
      <c r="C311" s="250"/>
      <c r="D311" s="157"/>
      <c r="E311" s="157"/>
      <c r="F311" s="157"/>
      <c r="G311" s="157"/>
      <c r="H311" s="157"/>
      <c r="I311" s="157"/>
      <c r="J311" s="248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</row>
    <row r="312" ht="15.75" customHeight="1">
      <c r="A312" s="157"/>
      <c r="B312" s="250"/>
      <c r="C312" s="250"/>
      <c r="D312" s="157"/>
      <c r="E312" s="157"/>
      <c r="F312" s="157"/>
      <c r="G312" s="157"/>
      <c r="H312" s="157"/>
      <c r="I312" s="157"/>
      <c r="J312" s="248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</row>
    <row r="313" ht="15.75" customHeight="1">
      <c r="A313" s="157"/>
      <c r="B313" s="250"/>
      <c r="C313" s="250"/>
      <c r="D313" s="157"/>
      <c r="E313" s="157"/>
      <c r="F313" s="157"/>
      <c r="G313" s="157"/>
      <c r="H313" s="157"/>
      <c r="I313" s="157"/>
      <c r="J313" s="248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</row>
    <row r="314" ht="15.75" customHeight="1">
      <c r="A314" s="157"/>
      <c r="B314" s="250"/>
      <c r="C314" s="250"/>
      <c r="D314" s="157"/>
      <c r="E314" s="157"/>
      <c r="F314" s="157"/>
      <c r="G314" s="157"/>
      <c r="H314" s="157"/>
      <c r="I314" s="157"/>
      <c r="J314" s="248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</row>
    <row r="315" ht="15.75" customHeight="1">
      <c r="A315" s="157"/>
      <c r="B315" s="250"/>
      <c r="C315" s="250"/>
      <c r="D315" s="157"/>
      <c r="E315" s="157"/>
      <c r="F315" s="157"/>
      <c r="G315" s="157"/>
      <c r="H315" s="157"/>
      <c r="I315" s="157"/>
      <c r="J315" s="248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</row>
    <row r="316" ht="15.75" customHeight="1">
      <c r="A316" s="157"/>
      <c r="B316" s="250"/>
      <c r="C316" s="250"/>
      <c r="D316" s="157"/>
      <c r="E316" s="157"/>
      <c r="F316" s="157"/>
      <c r="G316" s="157"/>
      <c r="H316" s="157"/>
      <c r="I316" s="157"/>
      <c r="J316" s="248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</row>
    <row r="317" ht="15.75" customHeight="1">
      <c r="A317" s="157"/>
      <c r="B317" s="250"/>
      <c r="C317" s="250"/>
      <c r="D317" s="157"/>
      <c r="E317" s="157"/>
      <c r="F317" s="157"/>
      <c r="G317" s="157"/>
      <c r="H317" s="157"/>
      <c r="I317" s="157"/>
      <c r="J317" s="248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</row>
    <row r="318" ht="15.75" customHeight="1">
      <c r="A318" s="157"/>
      <c r="B318" s="250"/>
      <c r="C318" s="250"/>
      <c r="D318" s="157"/>
      <c r="E318" s="157"/>
      <c r="F318" s="157"/>
      <c r="G318" s="157"/>
      <c r="H318" s="157"/>
      <c r="I318" s="157"/>
      <c r="J318" s="248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</row>
    <row r="319" ht="15.75" customHeight="1">
      <c r="A319" s="157"/>
      <c r="B319" s="250"/>
      <c r="C319" s="250"/>
      <c r="D319" s="157"/>
      <c r="E319" s="157"/>
      <c r="F319" s="157"/>
      <c r="G319" s="157"/>
      <c r="H319" s="157"/>
      <c r="I319" s="157"/>
      <c r="J319" s="248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</row>
    <row r="320" ht="15.75" customHeight="1">
      <c r="A320" s="157"/>
      <c r="B320" s="250"/>
      <c r="C320" s="250"/>
      <c r="D320" s="157"/>
      <c r="E320" s="157"/>
      <c r="F320" s="157"/>
      <c r="G320" s="157"/>
      <c r="H320" s="157"/>
      <c r="I320" s="157"/>
      <c r="J320" s="248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</row>
    <row r="321" ht="15.75" customHeight="1">
      <c r="A321" s="157"/>
      <c r="B321" s="250"/>
      <c r="C321" s="250"/>
      <c r="D321" s="157"/>
      <c r="E321" s="157"/>
      <c r="F321" s="157"/>
      <c r="G321" s="157"/>
      <c r="H321" s="157"/>
      <c r="I321" s="157"/>
      <c r="J321" s="248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</row>
    <row r="322" ht="15.75" customHeight="1">
      <c r="A322" s="157"/>
      <c r="B322" s="250"/>
      <c r="C322" s="250"/>
      <c r="D322" s="157"/>
      <c r="E322" s="157"/>
      <c r="F322" s="157"/>
      <c r="G322" s="157"/>
      <c r="H322" s="157"/>
      <c r="I322" s="157"/>
      <c r="J322" s="248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</row>
    <row r="323" ht="15.75" customHeight="1">
      <c r="A323" s="157"/>
      <c r="B323" s="250"/>
      <c r="C323" s="250"/>
      <c r="D323" s="157"/>
      <c r="E323" s="157"/>
      <c r="F323" s="157"/>
      <c r="G323" s="157"/>
      <c r="H323" s="157"/>
      <c r="I323" s="157"/>
      <c r="J323" s="248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</row>
    <row r="324" ht="15.75" customHeight="1">
      <c r="A324" s="157"/>
      <c r="B324" s="250"/>
      <c r="C324" s="250"/>
      <c r="D324" s="157"/>
      <c r="E324" s="157"/>
      <c r="F324" s="157"/>
      <c r="G324" s="157"/>
      <c r="H324" s="157"/>
      <c r="I324" s="157"/>
      <c r="J324" s="248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</row>
    <row r="325" ht="15.75" customHeight="1">
      <c r="A325" s="157"/>
      <c r="B325" s="250"/>
      <c r="C325" s="250"/>
      <c r="D325" s="157"/>
      <c r="E325" s="157"/>
      <c r="F325" s="157"/>
      <c r="G325" s="157"/>
      <c r="H325" s="157"/>
      <c r="I325" s="157"/>
      <c r="J325" s="248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</row>
    <row r="326" ht="15.75" customHeight="1">
      <c r="A326" s="157"/>
      <c r="B326" s="250"/>
      <c r="C326" s="250"/>
      <c r="D326" s="157"/>
      <c r="E326" s="157"/>
      <c r="F326" s="157"/>
      <c r="G326" s="157"/>
      <c r="H326" s="157"/>
      <c r="I326" s="157"/>
      <c r="J326" s="248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</row>
    <row r="327" ht="15.75" customHeight="1">
      <c r="A327" s="157"/>
      <c r="B327" s="250"/>
      <c r="C327" s="250"/>
      <c r="D327" s="157"/>
      <c r="E327" s="157"/>
      <c r="F327" s="157"/>
      <c r="G327" s="157"/>
      <c r="H327" s="157"/>
      <c r="I327" s="157"/>
      <c r="J327" s="248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</row>
    <row r="328" ht="15.75" customHeight="1">
      <c r="A328" s="157"/>
      <c r="B328" s="250"/>
      <c r="C328" s="250"/>
      <c r="D328" s="157"/>
      <c r="E328" s="157"/>
      <c r="F328" s="157"/>
      <c r="G328" s="157"/>
      <c r="H328" s="157"/>
      <c r="I328" s="157"/>
      <c r="J328" s="248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</row>
    <row r="329" ht="15.75" customHeight="1">
      <c r="A329" s="157"/>
      <c r="B329" s="250"/>
      <c r="C329" s="250"/>
      <c r="D329" s="157"/>
      <c r="E329" s="157"/>
      <c r="F329" s="157"/>
      <c r="G329" s="157"/>
      <c r="H329" s="157"/>
      <c r="I329" s="157"/>
      <c r="J329" s="248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</row>
    <row r="330" ht="15.75" customHeight="1">
      <c r="A330" s="157"/>
      <c r="B330" s="250"/>
      <c r="C330" s="250"/>
      <c r="D330" s="157"/>
      <c r="E330" s="157"/>
      <c r="F330" s="157"/>
      <c r="G330" s="157"/>
      <c r="H330" s="157"/>
      <c r="I330" s="157"/>
      <c r="J330" s="248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</row>
    <row r="331" ht="15.75" customHeight="1">
      <c r="A331" s="157"/>
      <c r="B331" s="250"/>
      <c r="C331" s="250"/>
      <c r="D331" s="157"/>
      <c r="E331" s="157"/>
      <c r="F331" s="157"/>
      <c r="G331" s="157"/>
      <c r="H331" s="157"/>
      <c r="I331" s="157"/>
      <c r="J331" s="248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</row>
    <row r="332" ht="15.75" customHeight="1">
      <c r="A332" s="157"/>
      <c r="B332" s="250"/>
      <c r="C332" s="250"/>
      <c r="D332" s="157"/>
      <c r="E332" s="157"/>
      <c r="F332" s="157"/>
      <c r="G332" s="157"/>
      <c r="H332" s="157"/>
      <c r="I332" s="157"/>
      <c r="J332" s="248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</row>
    <row r="333" ht="15.75" customHeight="1">
      <c r="A333" s="157"/>
      <c r="B333" s="250"/>
      <c r="C333" s="250"/>
      <c r="D333" s="157"/>
      <c r="E333" s="157"/>
      <c r="F333" s="157"/>
      <c r="G333" s="157"/>
      <c r="H333" s="157"/>
      <c r="I333" s="157"/>
      <c r="J333" s="248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</row>
    <row r="334" ht="15.75" customHeight="1">
      <c r="A334" s="157"/>
      <c r="B334" s="250"/>
      <c r="C334" s="250"/>
      <c r="D334" s="157"/>
      <c r="E334" s="157"/>
      <c r="F334" s="157"/>
      <c r="G334" s="157"/>
      <c r="H334" s="157"/>
      <c r="I334" s="157"/>
      <c r="J334" s="248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</row>
    <row r="335" ht="15.75" customHeight="1">
      <c r="A335" s="157"/>
      <c r="B335" s="250"/>
      <c r="C335" s="250"/>
      <c r="D335" s="157"/>
      <c r="E335" s="157"/>
      <c r="F335" s="157"/>
      <c r="G335" s="157"/>
      <c r="H335" s="157"/>
      <c r="I335" s="157"/>
      <c r="J335" s="248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</row>
    <row r="336" ht="15.75" customHeight="1">
      <c r="A336" s="157"/>
      <c r="B336" s="250"/>
      <c r="C336" s="250"/>
      <c r="D336" s="157"/>
      <c r="E336" s="157"/>
      <c r="F336" s="157"/>
      <c r="G336" s="157"/>
      <c r="H336" s="157"/>
      <c r="I336" s="157"/>
      <c r="J336" s="248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</row>
    <row r="337" ht="15.75" customHeight="1">
      <c r="A337" s="157"/>
      <c r="B337" s="250"/>
      <c r="C337" s="250"/>
      <c r="D337" s="157"/>
      <c r="E337" s="157"/>
      <c r="F337" s="157"/>
      <c r="G337" s="157"/>
      <c r="H337" s="157"/>
      <c r="I337" s="157"/>
      <c r="J337" s="248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</row>
    <row r="338" ht="15.75" customHeight="1">
      <c r="A338" s="157"/>
      <c r="B338" s="250"/>
      <c r="C338" s="250"/>
      <c r="D338" s="157"/>
      <c r="E338" s="157"/>
      <c r="F338" s="157"/>
      <c r="G338" s="157"/>
      <c r="H338" s="157"/>
      <c r="I338" s="157"/>
      <c r="J338" s="248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</row>
    <row r="339" ht="15.75" customHeight="1">
      <c r="A339" s="157"/>
      <c r="B339" s="250"/>
      <c r="C339" s="250"/>
      <c r="D339" s="157"/>
      <c r="E339" s="157"/>
      <c r="F339" s="157"/>
      <c r="G339" s="157"/>
      <c r="H339" s="157"/>
      <c r="I339" s="157"/>
      <c r="J339" s="248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</row>
    <row r="340" ht="15.75" customHeight="1">
      <c r="A340" s="157"/>
      <c r="B340" s="250"/>
      <c r="C340" s="250"/>
      <c r="D340" s="157"/>
      <c r="E340" s="157"/>
      <c r="F340" s="157"/>
      <c r="G340" s="157"/>
      <c r="H340" s="157"/>
      <c r="I340" s="157"/>
      <c r="J340" s="248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</row>
    <row r="341" ht="15.75" customHeight="1">
      <c r="A341" s="157"/>
      <c r="B341" s="250"/>
      <c r="C341" s="250"/>
      <c r="D341" s="157"/>
      <c r="E341" s="157"/>
      <c r="F341" s="157"/>
      <c r="G341" s="157"/>
      <c r="H341" s="157"/>
      <c r="I341" s="157"/>
      <c r="J341" s="248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</row>
    <row r="342" ht="15.75" customHeight="1">
      <c r="A342" s="157"/>
      <c r="B342" s="250"/>
      <c r="C342" s="250"/>
      <c r="D342" s="157"/>
      <c r="E342" s="157"/>
      <c r="F342" s="157"/>
      <c r="G342" s="157"/>
      <c r="H342" s="157"/>
      <c r="I342" s="157"/>
      <c r="J342" s="248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</row>
    <row r="343" ht="15.75" customHeight="1">
      <c r="A343" s="157"/>
      <c r="B343" s="250"/>
      <c r="C343" s="250"/>
      <c r="D343" s="157"/>
      <c r="E343" s="157"/>
      <c r="F343" s="157"/>
      <c r="G343" s="157"/>
      <c r="H343" s="157"/>
      <c r="I343" s="157"/>
      <c r="J343" s="248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</row>
    <row r="344" ht="15.75" customHeight="1">
      <c r="A344" s="157"/>
      <c r="B344" s="250"/>
      <c r="C344" s="250"/>
      <c r="D344" s="157"/>
      <c r="E344" s="157"/>
      <c r="F344" s="157"/>
      <c r="G344" s="157"/>
      <c r="H344" s="157"/>
      <c r="I344" s="157"/>
      <c r="J344" s="248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</row>
    <row r="345" ht="15.75" customHeight="1">
      <c r="A345" s="157"/>
      <c r="B345" s="250"/>
      <c r="C345" s="250"/>
      <c r="D345" s="157"/>
      <c r="E345" s="157"/>
      <c r="F345" s="157"/>
      <c r="G345" s="157"/>
      <c r="H345" s="157"/>
      <c r="I345" s="157"/>
      <c r="J345" s="248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</row>
    <row r="346" ht="15.75" customHeight="1">
      <c r="A346" s="157"/>
      <c r="B346" s="250"/>
      <c r="C346" s="250"/>
      <c r="D346" s="157"/>
      <c r="E346" s="157"/>
      <c r="F346" s="157"/>
      <c r="G346" s="157"/>
      <c r="H346" s="157"/>
      <c r="I346" s="157"/>
      <c r="J346" s="248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</row>
    <row r="347" ht="15.75" customHeight="1">
      <c r="A347" s="157"/>
      <c r="B347" s="250"/>
      <c r="C347" s="250"/>
      <c r="D347" s="157"/>
      <c r="E347" s="157"/>
      <c r="F347" s="157"/>
      <c r="G347" s="157"/>
      <c r="H347" s="157"/>
      <c r="I347" s="157"/>
      <c r="J347" s="248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</row>
    <row r="348" ht="15.75" customHeight="1">
      <c r="A348" s="157"/>
      <c r="B348" s="250"/>
      <c r="C348" s="250"/>
      <c r="D348" s="157"/>
      <c r="E348" s="157"/>
      <c r="F348" s="157"/>
      <c r="G348" s="157"/>
      <c r="H348" s="157"/>
      <c r="I348" s="157"/>
      <c r="J348" s="248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</row>
    <row r="349" ht="15.75" customHeight="1">
      <c r="A349" s="157"/>
      <c r="B349" s="250"/>
      <c r="C349" s="250"/>
      <c r="D349" s="157"/>
      <c r="E349" s="157"/>
      <c r="F349" s="157"/>
      <c r="G349" s="157"/>
      <c r="H349" s="157"/>
      <c r="I349" s="157"/>
      <c r="J349" s="248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</row>
    <row r="350" ht="15.75" customHeight="1">
      <c r="A350" s="157"/>
      <c r="B350" s="250"/>
      <c r="C350" s="250"/>
      <c r="D350" s="157"/>
      <c r="E350" s="157"/>
      <c r="F350" s="157"/>
      <c r="G350" s="157"/>
      <c r="H350" s="157"/>
      <c r="I350" s="157"/>
      <c r="J350" s="248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</row>
    <row r="351" ht="15.75" customHeight="1">
      <c r="A351" s="157"/>
      <c r="B351" s="250"/>
      <c r="C351" s="250"/>
      <c r="D351" s="157"/>
      <c r="E351" s="157"/>
      <c r="F351" s="157"/>
      <c r="G351" s="157"/>
      <c r="H351" s="157"/>
      <c r="I351" s="157"/>
      <c r="J351" s="248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</row>
    <row r="352" ht="15.75" customHeight="1">
      <c r="A352" s="157"/>
      <c r="B352" s="250"/>
      <c r="C352" s="250"/>
      <c r="D352" s="157"/>
      <c r="E352" s="157"/>
      <c r="F352" s="157"/>
      <c r="G352" s="157"/>
      <c r="H352" s="157"/>
      <c r="I352" s="157"/>
      <c r="J352" s="248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</row>
    <row r="353" ht="15.75" customHeight="1">
      <c r="A353" s="157"/>
      <c r="B353" s="250"/>
      <c r="C353" s="250"/>
      <c r="D353" s="157"/>
      <c r="E353" s="157"/>
      <c r="F353" s="157"/>
      <c r="G353" s="157"/>
      <c r="H353" s="157"/>
      <c r="I353" s="157"/>
      <c r="J353" s="248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</row>
    <row r="354" ht="15.75" customHeight="1">
      <c r="A354" s="157"/>
      <c r="B354" s="250"/>
      <c r="C354" s="250"/>
      <c r="D354" s="157"/>
      <c r="E354" s="157"/>
      <c r="F354" s="157"/>
      <c r="G354" s="157"/>
      <c r="H354" s="157"/>
      <c r="I354" s="157"/>
      <c r="J354" s="248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</row>
    <row r="355" ht="15.75" customHeight="1">
      <c r="A355" s="157"/>
      <c r="B355" s="250"/>
      <c r="C355" s="250"/>
      <c r="D355" s="157"/>
      <c r="E355" s="157"/>
      <c r="F355" s="157"/>
      <c r="G355" s="157"/>
      <c r="H355" s="157"/>
      <c r="I355" s="157"/>
      <c r="J355" s="248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</row>
    <row r="356" ht="15.75" customHeight="1">
      <c r="A356" s="157"/>
      <c r="B356" s="250"/>
      <c r="C356" s="250"/>
      <c r="D356" s="157"/>
      <c r="E356" s="157"/>
      <c r="F356" s="157"/>
      <c r="G356" s="157"/>
      <c r="H356" s="157"/>
      <c r="I356" s="157"/>
      <c r="J356" s="248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</row>
    <row r="357" ht="15.75" customHeight="1">
      <c r="A357" s="157"/>
      <c r="B357" s="250"/>
      <c r="C357" s="250"/>
      <c r="D357" s="157"/>
      <c r="E357" s="157"/>
      <c r="F357" s="157"/>
      <c r="G357" s="157"/>
      <c r="H357" s="157"/>
      <c r="I357" s="157"/>
      <c r="J357" s="248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</row>
    <row r="358" ht="15.75" customHeight="1">
      <c r="A358" s="157"/>
      <c r="B358" s="250"/>
      <c r="C358" s="250"/>
      <c r="D358" s="157"/>
      <c r="E358" s="157"/>
      <c r="F358" s="157"/>
      <c r="G358" s="157"/>
      <c r="H358" s="157"/>
      <c r="I358" s="157"/>
      <c r="J358" s="248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</row>
    <row r="359" ht="15.75" customHeight="1">
      <c r="A359" s="157"/>
      <c r="B359" s="250"/>
      <c r="C359" s="250"/>
      <c r="D359" s="157"/>
      <c r="E359" s="157"/>
      <c r="F359" s="157"/>
      <c r="G359" s="157"/>
      <c r="H359" s="157"/>
      <c r="I359" s="157"/>
      <c r="J359" s="248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</row>
    <row r="360" ht="15.75" customHeight="1">
      <c r="A360" s="157"/>
      <c r="B360" s="250"/>
      <c r="C360" s="250"/>
      <c r="D360" s="157"/>
      <c r="E360" s="157"/>
      <c r="F360" s="157"/>
      <c r="G360" s="157"/>
      <c r="H360" s="157"/>
      <c r="I360" s="157"/>
      <c r="J360" s="248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</row>
    <row r="361" ht="15.75" customHeight="1">
      <c r="A361" s="157"/>
      <c r="B361" s="250"/>
      <c r="C361" s="250"/>
      <c r="D361" s="157"/>
      <c r="E361" s="157"/>
      <c r="F361" s="157"/>
      <c r="G361" s="157"/>
      <c r="H361" s="157"/>
      <c r="I361" s="157"/>
      <c r="J361" s="248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</row>
    <row r="362" ht="15.75" customHeight="1">
      <c r="A362" s="157"/>
      <c r="B362" s="250"/>
      <c r="C362" s="250"/>
      <c r="D362" s="157"/>
      <c r="E362" s="157"/>
      <c r="F362" s="157"/>
      <c r="G362" s="157"/>
      <c r="H362" s="157"/>
      <c r="I362" s="157"/>
      <c r="J362" s="248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</row>
    <row r="363" ht="15.75" customHeight="1">
      <c r="A363" s="157"/>
      <c r="B363" s="250"/>
      <c r="C363" s="250"/>
      <c r="D363" s="157"/>
      <c r="E363" s="157"/>
      <c r="F363" s="157"/>
      <c r="G363" s="157"/>
      <c r="H363" s="157"/>
      <c r="I363" s="157"/>
      <c r="J363" s="248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</row>
    <row r="364" ht="15.75" customHeight="1">
      <c r="A364" s="157"/>
      <c r="B364" s="250"/>
      <c r="C364" s="250"/>
      <c r="D364" s="157"/>
      <c r="E364" s="157"/>
      <c r="F364" s="157"/>
      <c r="G364" s="157"/>
      <c r="H364" s="157"/>
      <c r="I364" s="157"/>
      <c r="J364" s="248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</row>
    <row r="365" ht="15.75" customHeight="1">
      <c r="A365" s="157"/>
      <c r="B365" s="250"/>
      <c r="C365" s="250"/>
      <c r="D365" s="157"/>
      <c r="E365" s="157"/>
      <c r="F365" s="157"/>
      <c r="G365" s="157"/>
      <c r="H365" s="157"/>
      <c r="I365" s="157"/>
      <c r="J365" s="248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</row>
    <row r="366" ht="15.75" customHeight="1">
      <c r="A366" s="157"/>
      <c r="B366" s="250"/>
      <c r="C366" s="250"/>
      <c r="D366" s="157"/>
      <c r="E366" s="157"/>
      <c r="F366" s="157"/>
      <c r="G366" s="157"/>
      <c r="H366" s="157"/>
      <c r="I366" s="157"/>
      <c r="J366" s="248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</row>
    <row r="367" ht="15.75" customHeight="1">
      <c r="A367" s="157"/>
      <c r="B367" s="250"/>
      <c r="C367" s="250"/>
      <c r="D367" s="157"/>
      <c r="E367" s="157"/>
      <c r="F367" s="157"/>
      <c r="G367" s="157"/>
      <c r="H367" s="157"/>
      <c r="I367" s="157"/>
      <c r="J367" s="248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</row>
    <row r="368" ht="15.75" customHeight="1">
      <c r="A368" s="157"/>
      <c r="B368" s="250"/>
      <c r="C368" s="250"/>
      <c r="D368" s="157"/>
      <c r="E368" s="157"/>
      <c r="F368" s="157"/>
      <c r="G368" s="157"/>
      <c r="H368" s="157"/>
      <c r="I368" s="157"/>
      <c r="J368" s="248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</row>
    <row r="369" ht="15.75" customHeight="1">
      <c r="A369" s="157"/>
      <c r="B369" s="250"/>
      <c r="C369" s="250"/>
      <c r="D369" s="157"/>
      <c r="E369" s="157"/>
      <c r="F369" s="157"/>
      <c r="G369" s="157"/>
      <c r="H369" s="157"/>
      <c r="I369" s="157"/>
      <c r="J369" s="248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</row>
    <row r="370" ht="15.75" customHeight="1">
      <c r="A370" s="157"/>
      <c r="B370" s="250"/>
      <c r="C370" s="250"/>
      <c r="D370" s="157"/>
      <c r="E370" s="157"/>
      <c r="F370" s="157"/>
      <c r="G370" s="157"/>
      <c r="H370" s="157"/>
      <c r="I370" s="157"/>
      <c r="J370" s="248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</row>
    <row r="371" ht="15.75" customHeight="1">
      <c r="A371" s="157"/>
      <c r="B371" s="250"/>
      <c r="C371" s="250"/>
      <c r="D371" s="157"/>
      <c r="E371" s="157"/>
      <c r="F371" s="157"/>
      <c r="G371" s="157"/>
      <c r="H371" s="157"/>
      <c r="I371" s="157"/>
      <c r="J371" s="248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</row>
    <row r="372" ht="15.75" customHeight="1">
      <c r="A372" s="157"/>
      <c r="B372" s="250"/>
      <c r="C372" s="250"/>
      <c r="D372" s="157"/>
      <c r="E372" s="157"/>
      <c r="F372" s="157"/>
      <c r="G372" s="157"/>
      <c r="H372" s="157"/>
      <c r="I372" s="157"/>
      <c r="J372" s="248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</row>
    <row r="373" ht="15.75" customHeight="1">
      <c r="A373" s="157"/>
      <c r="B373" s="250"/>
      <c r="C373" s="250"/>
      <c r="D373" s="157"/>
      <c r="E373" s="157"/>
      <c r="F373" s="157"/>
      <c r="G373" s="157"/>
      <c r="H373" s="157"/>
      <c r="I373" s="157"/>
      <c r="J373" s="248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</row>
    <row r="374" ht="15.75" customHeight="1">
      <c r="A374" s="157"/>
      <c r="B374" s="250"/>
      <c r="C374" s="250"/>
      <c r="D374" s="157"/>
      <c r="E374" s="157"/>
      <c r="F374" s="157"/>
      <c r="G374" s="157"/>
      <c r="H374" s="157"/>
      <c r="I374" s="157"/>
      <c r="J374" s="248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</row>
    <row r="375" ht="15.75" customHeight="1">
      <c r="A375" s="157"/>
      <c r="B375" s="250"/>
      <c r="C375" s="250"/>
      <c r="D375" s="157"/>
      <c r="E375" s="157"/>
      <c r="F375" s="157"/>
      <c r="G375" s="157"/>
      <c r="H375" s="157"/>
      <c r="I375" s="157"/>
      <c r="J375" s="248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</row>
    <row r="376" ht="15.75" customHeight="1">
      <c r="A376" s="157"/>
      <c r="B376" s="250"/>
      <c r="C376" s="250"/>
      <c r="D376" s="157"/>
      <c r="E376" s="157"/>
      <c r="F376" s="157"/>
      <c r="G376" s="157"/>
      <c r="H376" s="157"/>
      <c r="I376" s="157"/>
      <c r="J376" s="248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</row>
    <row r="377" ht="15.75" customHeight="1">
      <c r="A377" s="157"/>
      <c r="B377" s="250"/>
      <c r="C377" s="250"/>
      <c r="D377" s="157"/>
      <c r="E377" s="157"/>
      <c r="F377" s="157"/>
      <c r="G377" s="157"/>
      <c r="H377" s="157"/>
      <c r="I377" s="157"/>
      <c r="J377" s="248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</row>
    <row r="378" ht="15.75" customHeight="1">
      <c r="A378" s="157"/>
      <c r="B378" s="250"/>
      <c r="C378" s="250"/>
      <c r="D378" s="157"/>
      <c r="E378" s="157"/>
      <c r="F378" s="157"/>
      <c r="G378" s="157"/>
      <c r="H378" s="157"/>
      <c r="I378" s="157"/>
      <c r="J378" s="248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</row>
    <row r="379" ht="15.75" customHeight="1">
      <c r="A379" s="157"/>
      <c r="B379" s="250"/>
      <c r="C379" s="250"/>
      <c r="D379" s="157"/>
      <c r="E379" s="157"/>
      <c r="F379" s="157"/>
      <c r="G379" s="157"/>
      <c r="H379" s="157"/>
      <c r="I379" s="157"/>
      <c r="J379" s="248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</row>
    <row r="380" ht="15.75" customHeight="1">
      <c r="A380" s="157"/>
      <c r="B380" s="250"/>
      <c r="C380" s="250"/>
      <c r="D380" s="157"/>
      <c r="E380" s="157"/>
      <c r="F380" s="157"/>
      <c r="G380" s="157"/>
      <c r="H380" s="157"/>
      <c r="I380" s="157"/>
      <c r="J380" s="248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</row>
    <row r="381" ht="15.75" customHeight="1">
      <c r="A381" s="157"/>
      <c r="B381" s="250"/>
      <c r="C381" s="250"/>
      <c r="D381" s="157"/>
      <c r="E381" s="157"/>
      <c r="F381" s="157"/>
      <c r="G381" s="157"/>
      <c r="H381" s="157"/>
      <c r="I381" s="157"/>
      <c r="J381" s="248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</row>
    <row r="382" ht="15.75" customHeight="1">
      <c r="A382" s="157"/>
      <c r="B382" s="250"/>
      <c r="C382" s="250"/>
      <c r="D382" s="157"/>
      <c r="E382" s="157"/>
      <c r="F382" s="157"/>
      <c r="G382" s="157"/>
      <c r="H382" s="157"/>
      <c r="I382" s="157"/>
      <c r="J382" s="248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</row>
    <row r="383" ht="15.75" customHeight="1">
      <c r="A383" s="157"/>
      <c r="B383" s="250"/>
      <c r="C383" s="250"/>
      <c r="D383" s="157"/>
      <c r="E383" s="157"/>
      <c r="F383" s="157"/>
      <c r="G383" s="157"/>
      <c r="H383" s="157"/>
      <c r="I383" s="157"/>
      <c r="J383" s="248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</row>
    <row r="384" ht="15.75" customHeight="1">
      <c r="A384" s="157"/>
      <c r="B384" s="250"/>
      <c r="C384" s="250"/>
      <c r="D384" s="157"/>
      <c r="E384" s="157"/>
      <c r="F384" s="157"/>
      <c r="G384" s="157"/>
      <c r="H384" s="157"/>
      <c r="I384" s="157"/>
      <c r="J384" s="248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</row>
    <row r="385" ht="15.75" customHeight="1">
      <c r="A385" s="157"/>
      <c r="B385" s="250"/>
      <c r="C385" s="250"/>
      <c r="D385" s="157"/>
      <c r="E385" s="157"/>
      <c r="F385" s="157"/>
      <c r="G385" s="157"/>
      <c r="H385" s="157"/>
      <c r="I385" s="157"/>
      <c r="J385" s="248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</row>
    <row r="386" ht="15.75" customHeight="1">
      <c r="A386" s="157"/>
      <c r="B386" s="250"/>
      <c r="C386" s="250"/>
      <c r="D386" s="157"/>
      <c r="E386" s="157"/>
      <c r="F386" s="157"/>
      <c r="G386" s="157"/>
      <c r="H386" s="157"/>
      <c r="I386" s="157"/>
      <c r="J386" s="248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</row>
    <row r="387" ht="15.75" customHeight="1">
      <c r="A387" s="157"/>
      <c r="B387" s="250"/>
      <c r="C387" s="250"/>
      <c r="D387" s="157"/>
      <c r="E387" s="157"/>
      <c r="F387" s="157"/>
      <c r="G387" s="157"/>
      <c r="H387" s="157"/>
      <c r="I387" s="157"/>
      <c r="J387" s="248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</row>
    <row r="388" ht="15.75" customHeight="1">
      <c r="A388" s="157"/>
      <c r="B388" s="250"/>
      <c r="C388" s="250"/>
      <c r="D388" s="157"/>
      <c r="E388" s="157"/>
      <c r="F388" s="157"/>
      <c r="G388" s="157"/>
      <c r="H388" s="157"/>
      <c r="I388" s="157"/>
      <c r="J388" s="248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</row>
    <row r="389" ht="15.75" customHeight="1">
      <c r="A389" s="157"/>
      <c r="B389" s="250"/>
      <c r="C389" s="250"/>
      <c r="D389" s="157"/>
      <c r="E389" s="157"/>
      <c r="F389" s="157"/>
      <c r="G389" s="157"/>
      <c r="H389" s="157"/>
      <c r="I389" s="157"/>
      <c r="J389" s="248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</row>
    <row r="390" ht="15.75" customHeight="1">
      <c r="A390" s="157"/>
      <c r="B390" s="250"/>
      <c r="C390" s="250"/>
      <c r="D390" s="157"/>
      <c r="E390" s="157"/>
      <c r="F390" s="157"/>
      <c r="G390" s="157"/>
      <c r="H390" s="157"/>
      <c r="I390" s="157"/>
      <c r="J390" s="248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</row>
    <row r="391" ht="15.75" customHeight="1">
      <c r="A391" s="157"/>
      <c r="B391" s="250"/>
      <c r="C391" s="250"/>
      <c r="D391" s="157"/>
      <c r="E391" s="157"/>
      <c r="F391" s="157"/>
      <c r="G391" s="157"/>
      <c r="H391" s="157"/>
      <c r="I391" s="157"/>
      <c r="J391" s="248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</row>
    <row r="392" ht="15.75" customHeight="1">
      <c r="A392" s="157"/>
      <c r="B392" s="250"/>
      <c r="C392" s="250"/>
      <c r="D392" s="157"/>
      <c r="E392" s="157"/>
      <c r="F392" s="157"/>
      <c r="G392" s="157"/>
      <c r="H392" s="157"/>
      <c r="I392" s="157"/>
      <c r="J392" s="248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</row>
    <row r="393" ht="15.75" customHeight="1">
      <c r="A393" s="157"/>
      <c r="B393" s="250"/>
      <c r="C393" s="250"/>
      <c r="D393" s="157"/>
      <c r="E393" s="157"/>
      <c r="F393" s="157"/>
      <c r="G393" s="157"/>
      <c r="H393" s="157"/>
      <c r="I393" s="157"/>
      <c r="J393" s="248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</row>
    <row r="394" ht="15.75" customHeight="1">
      <c r="A394" s="157"/>
      <c r="B394" s="250"/>
      <c r="C394" s="250"/>
      <c r="D394" s="157"/>
      <c r="E394" s="157"/>
      <c r="F394" s="157"/>
      <c r="G394" s="157"/>
      <c r="H394" s="157"/>
      <c r="I394" s="157"/>
      <c r="J394" s="248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</row>
    <row r="395" ht="15.75" customHeight="1">
      <c r="A395" s="157"/>
      <c r="B395" s="250"/>
      <c r="C395" s="250"/>
      <c r="D395" s="157"/>
      <c r="E395" s="157"/>
      <c r="F395" s="157"/>
      <c r="G395" s="157"/>
      <c r="H395" s="157"/>
      <c r="I395" s="157"/>
      <c r="J395" s="248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</row>
    <row r="396" ht="15.75" customHeight="1">
      <c r="A396" s="157"/>
      <c r="B396" s="250"/>
      <c r="C396" s="250"/>
      <c r="D396" s="157"/>
      <c r="E396" s="157"/>
      <c r="F396" s="157"/>
      <c r="G396" s="157"/>
      <c r="H396" s="157"/>
      <c r="I396" s="157"/>
      <c r="J396" s="248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</row>
    <row r="397" ht="15.75" customHeight="1">
      <c r="A397" s="157"/>
      <c r="B397" s="250"/>
      <c r="C397" s="250"/>
      <c r="D397" s="157"/>
      <c r="E397" s="157"/>
      <c r="F397" s="157"/>
      <c r="G397" s="157"/>
      <c r="H397" s="157"/>
      <c r="I397" s="157"/>
      <c r="J397" s="248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</row>
    <row r="398" ht="15.75" customHeight="1">
      <c r="A398" s="157"/>
      <c r="B398" s="250"/>
      <c r="C398" s="250"/>
      <c r="D398" s="157"/>
      <c r="E398" s="157"/>
      <c r="F398" s="157"/>
      <c r="G398" s="157"/>
      <c r="H398" s="157"/>
      <c r="I398" s="157"/>
      <c r="J398" s="248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</row>
    <row r="399" ht="15.75" customHeight="1">
      <c r="A399" s="157"/>
      <c r="B399" s="250"/>
      <c r="C399" s="250"/>
      <c r="D399" s="157"/>
      <c r="E399" s="157"/>
      <c r="F399" s="157"/>
      <c r="G399" s="157"/>
      <c r="H399" s="157"/>
      <c r="I399" s="157"/>
      <c r="J399" s="248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</row>
    <row r="400" ht="15.75" customHeight="1">
      <c r="A400" s="157"/>
      <c r="B400" s="250"/>
      <c r="C400" s="250"/>
      <c r="D400" s="157"/>
      <c r="E400" s="157"/>
      <c r="F400" s="157"/>
      <c r="G400" s="157"/>
      <c r="H400" s="157"/>
      <c r="I400" s="157"/>
      <c r="J400" s="248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</row>
    <row r="401" ht="15.75" customHeight="1">
      <c r="A401" s="157"/>
      <c r="B401" s="250"/>
      <c r="C401" s="250"/>
      <c r="D401" s="157"/>
      <c r="E401" s="157"/>
      <c r="F401" s="157"/>
      <c r="G401" s="157"/>
      <c r="H401" s="157"/>
      <c r="I401" s="157"/>
      <c r="J401" s="248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</row>
    <row r="402" ht="15.75" customHeight="1">
      <c r="A402" s="157"/>
      <c r="B402" s="250"/>
      <c r="C402" s="250"/>
      <c r="D402" s="157"/>
      <c r="E402" s="157"/>
      <c r="F402" s="157"/>
      <c r="G402" s="157"/>
      <c r="H402" s="157"/>
      <c r="I402" s="157"/>
      <c r="J402" s="248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</row>
    <row r="403" ht="15.75" customHeight="1">
      <c r="A403" s="157"/>
      <c r="B403" s="250"/>
      <c r="C403" s="250"/>
      <c r="D403" s="157"/>
      <c r="E403" s="157"/>
      <c r="F403" s="157"/>
      <c r="G403" s="157"/>
      <c r="H403" s="157"/>
      <c r="I403" s="157"/>
      <c r="J403" s="248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</row>
    <row r="404" ht="15.75" customHeight="1">
      <c r="A404" s="157"/>
      <c r="B404" s="250"/>
      <c r="C404" s="250"/>
      <c r="D404" s="157"/>
      <c r="E404" s="157"/>
      <c r="F404" s="157"/>
      <c r="G404" s="157"/>
      <c r="H404" s="157"/>
      <c r="I404" s="157"/>
      <c r="J404" s="248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</row>
    <row r="405" ht="15.75" customHeight="1">
      <c r="A405" s="157"/>
      <c r="B405" s="250"/>
      <c r="C405" s="250"/>
      <c r="D405" s="157"/>
      <c r="E405" s="157"/>
      <c r="F405" s="157"/>
      <c r="G405" s="157"/>
      <c r="H405" s="157"/>
      <c r="I405" s="157"/>
      <c r="J405" s="248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</row>
    <row r="406" ht="15.75" customHeight="1">
      <c r="A406" s="157"/>
      <c r="B406" s="250"/>
      <c r="C406" s="250"/>
      <c r="D406" s="157"/>
      <c r="E406" s="157"/>
      <c r="F406" s="157"/>
      <c r="G406" s="157"/>
      <c r="H406" s="157"/>
      <c r="I406" s="157"/>
      <c r="J406" s="248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</row>
    <row r="407" ht="15.75" customHeight="1">
      <c r="A407" s="157"/>
      <c r="B407" s="250"/>
      <c r="C407" s="250"/>
      <c r="D407" s="157"/>
      <c r="E407" s="157"/>
      <c r="F407" s="157"/>
      <c r="G407" s="157"/>
      <c r="H407" s="157"/>
      <c r="I407" s="157"/>
      <c r="J407" s="248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</row>
    <row r="408" ht="15.75" customHeight="1">
      <c r="A408" s="157"/>
      <c r="B408" s="250"/>
      <c r="C408" s="250"/>
      <c r="D408" s="157"/>
      <c r="E408" s="157"/>
      <c r="F408" s="157"/>
      <c r="G408" s="157"/>
      <c r="H408" s="157"/>
      <c r="I408" s="157"/>
      <c r="J408" s="248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</row>
    <row r="409" ht="15.75" customHeight="1">
      <c r="A409" s="157"/>
      <c r="B409" s="250"/>
      <c r="C409" s="250"/>
      <c r="D409" s="157"/>
      <c r="E409" s="157"/>
      <c r="F409" s="157"/>
      <c r="G409" s="157"/>
      <c r="H409" s="157"/>
      <c r="I409" s="157"/>
      <c r="J409" s="248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</row>
    <row r="410" ht="15.75" customHeight="1">
      <c r="A410" s="157"/>
      <c r="B410" s="250"/>
      <c r="C410" s="250"/>
      <c r="D410" s="157"/>
      <c r="E410" s="157"/>
      <c r="F410" s="157"/>
      <c r="G410" s="157"/>
      <c r="H410" s="157"/>
      <c r="I410" s="157"/>
      <c r="J410" s="248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</row>
    <row r="411" ht="15.75" customHeight="1">
      <c r="A411" s="157"/>
      <c r="B411" s="250"/>
      <c r="C411" s="250"/>
      <c r="D411" s="157"/>
      <c r="E411" s="157"/>
      <c r="F411" s="157"/>
      <c r="G411" s="157"/>
      <c r="H411" s="157"/>
      <c r="I411" s="157"/>
      <c r="J411" s="248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</row>
    <row r="412" ht="15.75" customHeight="1">
      <c r="A412" s="157"/>
      <c r="B412" s="250"/>
      <c r="C412" s="250"/>
      <c r="D412" s="157"/>
      <c r="E412" s="157"/>
      <c r="F412" s="157"/>
      <c r="G412" s="157"/>
      <c r="H412" s="157"/>
      <c r="I412" s="157"/>
      <c r="J412" s="248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</row>
    <row r="413" ht="15.75" customHeight="1">
      <c r="A413" s="157"/>
      <c r="B413" s="250"/>
      <c r="C413" s="250"/>
      <c r="D413" s="157"/>
      <c r="E413" s="157"/>
      <c r="F413" s="157"/>
      <c r="G413" s="157"/>
      <c r="H413" s="157"/>
      <c r="I413" s="157"/>
      <c r="J413" s="248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</row>
    <row r="414" ht="15.75" customHeight="1">
      <c r="A414" s="157"/>
      <c r="B414" s="250"/>
      <c r="C414" s="250"/>
      <c r="D414" s="157"/>
      <c r="E414" s="157"/>
      <c r="F414" s="157"/>
      <c r="G414" s="157"/>
      <c r="H414" s="157"/>
      <c r="I414" s="157"/>
      <c r="J414" s="248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</row>
    <row r="415" ht="15.75" customHeight="1">
      <c r="A415" s="157"/>
      <c r="B415" s="250"/>
      <c r="C415" s="250"/>
      <c r="D415" s="157"/>
      <c r="E415" s="157"/>
      <c r="F415" s="157"/>
      <c r="G415" s="157"/>
      <c r="H415" s="157"/>
      <c r="I415" s="157"/>
      <c r="J415" s="248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</row>
    <row r="416" ht="15.75" customHeight="1">
      <c r="A416" s="157"/>
      <c r="B416" s="250"/>
      <c r="C416" s="250"/>
      <c r="D416" s="157"/>
      <c r="E416" s="157"/>
      <c r="F416" s="157"/>
      <c r="G416" s="157"/>
      <c r="H416" s="157"/>
      <c r="I416" s="157"/>
      <c r="J416" s="248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</row>
    <row r="417" ht="15.75" customHeight="1">
      <c r="A417" s="157"/>
      <c r="B417" s="250"/>
      <c r="C417" s="250"/>
      <c r="D417" s="157"/>
      <c r="E417" s="157"/>
      <c r="F417" s="157"/>
      <c r="G417" s="157"/>
      <c r="H417" s="157"/>
      <c r="I417" s="157"/>
      <c r="J417" s="248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</row>
    <row r="418" ht="15.75" customHeight="1">
      <c r="A418" s="157"/>
      <c r="B418" s="250"/>
      <c r="C418" s="250"/>
      <c r="D418" s="157"/>
      <c r="E418" s="157"/>
      <c r="F418" s="157"/>
      <c r="G418" s="157"/>
      <c r="H418" s="157"/>
      <c r="I418" s="157"/>
      <c r="J418" s="248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</row>
    <row r="419" ht="15.75" customHeight="1">
      <c r="A419" s="157"/>
      <c r="B419" s="250"/>
      <c r="C419" s="250"/>
      <c r="D419" s="157"/>
      <c r="E419" s="157"/>
      <c r="F419" s="157"/>
      <c r="G419" s="157"/>
      <c r="H419" s="157"/>
      <c r="I419" s="157"/>
      <c r="J419" s="248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</row>
    <row r="420" ht="15.75" customHeight="1">
      <c r="A420" s="157"/>
      <c r="B420" s="250"/>
      <c r="C420" s="250"/>
      <c r="D420" s="157"/>
      <c r="E420" s="157"/>
      <c r="F420" s="157"/>
      <c r="G420" s="157"/>
      <c r="H420" s="157"/>
      <c r="I420" s="157"/>
      <c r="J420" s="248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</row>
    <row r="421" ht="15.75" customHeight="1">
      <c r="A421" s="157"/>
      <c r="B421" s="250"/>
      <c r="C421" s="250"/>
      <c r="D421" s="157"/>
      <c r="E421" s="157"/>
      <c r="F421" s="157"/>
      <c r="G421" s="157"/>
      <c r="H421" s="157"/>
      <c r="I421" s="157"/>
      <c r="J421" s="248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</row>
    <row r="422" ht="15.75" customHeight="1">
      <c r="A422" s="157"/>
      <c r="B422" s="250"/>
      <c r="C422" s="250"/>
      <c r="D422" s="157"/>
      <c r="E422" s="157"/>
      <c r="F422" s="157"/>
      <c r="G422" s="157"/>
      <c r="H422" s="157"/>
      <c r="I422" s="157"/>
      <c r="J422" s="248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</row>
    <row r="423" ht="15.75" customHeight="1">
      <c r="A423" s="157"/>
      <c r="B423" s="250"/>
      <c r="C423" s="250"/>
      <c r="D423" s="157"/>
      <c r="E423" s="157"/>
      <c r="F423" s="157"/>
      <c r="G423" s="157"/>
      <c r="H423" s="157"/>
      <c r="I423" s="157"/>
      <c r="J423" s="248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</row>
    <row r="424" ht="15.75" customHeight="1">
      <c r="A424" s="157"/>
      <c r="B424" s="250"/>
      <c r="C424" s="250"/>
      <c r="D424" s="157"/>
      <c r="E424" s="157"/>
      <c r="F424" s="157"/>
      <c r="G424" s="157"/>
      <c r="H424" s="157"/>
      <c r="I424" s="157"/>
      <c r="J424" s="248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</row>
    <row r="425" ht="15.75" customHeight="1">
      <c r="A425" s="157"/>
      <c r="B425" s="250"/>
      <c r="C425" s="250"/>
      <c r="D425" s="157"/>
      <c r="E425" s="157"/>
      <c r="F425" s="157"/>
      <c r="G425" s="157"/>
      <c r="H425" s="157"/>
      <c r="I425" s="157"/>
      <c r="J425" s="248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</row>
    <row r="426" ht="15.75" customHeight="1">
      <c r="A426" s="157"/>
      <c r="B426" s="250"/>
      <c r="C426" s="250"/>
      <c r="D426" s="157"/>
      <c r="E426" s="157"/>
      <c r="F426" s="157"/>
      <c r="G426" s="157"/>
      <c r="H426" s="157"/>
      <c r="I426" s="157"/>
      <c r="J426" s="248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</row>
    <row r="427" ht="15.75" customHeight="1">
      <c r="A427" s="157"/>
      <c r="B427" s="250"/>
      <c r="C427" s="250"/>
      <c r="D427" s="157"/>
      <c r="E427" s="157"/>
      <c r="F427" s="157"/>
      <c r="G427" s="157"/>
      <c r="H427" s="157"/>
      <c r="I427" s="157"/>
      <c r="J427" s="248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</row>
    <row r="428" ht="15.75" customHeight="1">
      <c r="A428" s="157"/>
      <c r="B428" s="250"/>
      <c r="C428" s="250"/>
      <c r="D428" s="157"/>
      <c r="E428" s="157"/>
      <c r="F428" s="157"/>
      <c r="G428" s="157"/>
      <c r="H428" s="157"/>
      <c r="I428" s="157"/>
      <c r="J428" s="248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</row>
    <row r="429" ht="15.75" customHeight="1">
      <c r="A429" s="157"/>
      <c r="B429" s="250"/>
      <c r="C429" s="250"/>
      <c r="D429" s="157"/>
      <c r="E429" s="157"/>
      <c r="F429" s="157"/>
      <c r="G429" s="157"/>
      <c r="H429" s="157"/>
      <c r="I429" s="157"/>
      <c r="J429" s="248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</row>
    <row r="430" ht="15.75" customHeight="1">
      <c r="A430" s="157"/>
      <c r="B430" s="250"/>
      <c r="C430" s="250"/>
      <c r="D430" s="157"/>
      <c r="E430" s="157"/>
      <c r="F430" s="157"/>
      <c r="G430" s="157"/>
      <c r="H430" s="157"/>
      <c r="I430" s="157"/>
      <c r="J430" s="248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</row>
    <row r="431" ht="15.75" customHeight="1">
      <c r="A431" s="157"/>
      <c r="B431" s="250"/>
      <c r="C431" s="250"/>
      <c r="D431" s="157"/>
      <c r="E431" s="157"/>
      <c r="F431" s="157"/>
      <c r="G431" s="157"/>
      <c r="H431" s="157"/>
      <c r="I431" s="157"/>
      <c r="J431" s="248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</row>
    <row r="432" ht="15.75" customHeight="1">
      <c r="A432" s="157"/>
      <c r="B432" s="250"/>
      <c r="C432" s="250"/>
      <c r="D432" s="157"/>
      <c r="E432" s="157"/>
      <c r="F432" s="157"/>
      <c r="G432" s="157"/>
      <c r="H432" s="157"/>
      <c r="I432" s="157"/>
      <c r="J432" s="248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</row>
    <row r="433" ht="15.75" customHeight="1">
      <c r="A433" s="157"/>
      <c r="B433" s="250"/>
      <c r="C433" s="250"/>
      <c r="D433" s="157"/>
      <c r="E433" s="157"/>
      <c r="F433" s="157"/>
      <c r="G433" s="157"/>
      <c r="H433" s="157"/>
      <c r="I433" s="157"/>
      <c r="J433" s="248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</row>
    <row r="434" ht="15.75" customHeight="1">
      <c r="A434" s="157"/>
      <c r="B434" s="250"/>
      <c r="C434" s="250"/>
      <c r="D434" s="157"/>
      <c r="E434" s="157"/>
      <c r="F434" s="157"/>
      <c r="G434" s="157"/>
      <c r="H434" s="157"/>
      <c r="I434" s="157"/>
      <c r="J434" s="248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</row>
    <row r="435" ht="15.75" customHeight="1">
      <c r="A435" s="157"/>
      <c r="B435" s="250"/>
      <c r="C435" s="250"/>
      <c r="D435" s="157"/>
      <c r="E435" s="157"/>
      <c r="F435" s="157"/>
      <c r="G435" s="157"/>
      <c r="H435" s="157"/>
      <c r="I435" s="157"/>
      <c r="J435" s="248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</row>
    <row r="436" ht="15.75" customHeight="1">
      <c r="A436" s="157"/>
      <c r="B436" s="250"/>
      <c r="C436" s="250"/>
      <c r="D436" s="157"/>
      <c r="E436" s="157"/>
      <c r="F436" s="157"/>
      <c r="G436" s="157"/>
      <c r="H436" s="157"/>
      <c r="I436" s="157"/>
      <c r="J436" s="248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</row>
    <row r="437" ht="15.75" customHeight="1">
      <c r="A437" s="157"/>
      <c r="B437" s="250"/>
      <c r="C437" s="250"/>
      <c r="D437" s="157"/>
      <c r="E437" s="157"/>
      <c r="F437" s="157"/>
      <c r="G437" s="157"/>
      <c r="H437" s="157"/>
      <c r="I437" s="157"/>
      <c r="J437" s="248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</row>
    <row r="438" ht="15.75" customHeight="1">
      <c r="A438" s="157"/>
      <c r="B438" s="250"/>
      <c r="C438" s="250"/>
      <c r="D438" s="157"/>
      <c r="E438" s="157"/>
      <c r="F438" s="157"/>
      <c r="G438" s="157"/>
      <c r="H438" s="157"/>
      <c r="I438" s="157"/>
      <c r="J438" s="248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</row>
    <row r="439" ht="15.75" customHeight="1">
      <c r="A439" s="157"/>
      <c r="B439" s="250"/>
      <c r="C439" s="250"/>
      <c r="D439" s="157"/>
      <c r="E439" s="157"/>
      <c r="F439" s="157"/>
      <c r="G439" s="157"/>
      <c r="H439" s="157"/>
      <c r="I439" s="157"/>
      <c r="J439" s="248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</row>
    <row r="440" ht="15.75" customHeight="1">
      <c r="A440" s="157"/>
      <c r="B440" s="250"/>
      <c r="C440" s="250"/>
      <c r="D440" s="157"/>
      <c r="E440" s="157"/>
      <c r="F440" s="157"/>
      <c r="G440" s="157"/>
      <c r="H440" s="157"/>
      <c r="I440" s="157"/>
      <c r="J440" s="248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</row>
    <row r="441" ht="15.75" customHeight="1">
      <c r="A441" s="157"/>
      <c r="B441" s="250"/>
      <c r="C441" s="250"/>
      <c r="D441" s="157"/>
      <c r="E441" s="157"/>
      <c r="F441" s="157"/>
      <c r="G441" s="157"/>
      <c r="H441" s="157"/>
      <c r="I441" s="157"/>
      <c r="J441" s="248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</row>
    <row r="442" ht="15.75" customHeight="1">
      <c r="A442" s="157"/>
      <c r="B442" s="250"/>
      <c r="C442" s="250"/>
      <c r="D442" s="157"/>
      <c r="E442" s="157"/>
      <c r="F442" s="157"/>
      <c r="G442" s="157"/>
      <c r="H442" s="157"/>
      <c r="I442" s="157"/>
      <c r="J442" s="248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</row>
    <row r="443" ht="15.75" customHeight="1">
      <c r="A443" s="157"/>
      <c r="B443" s="250"/>
      <c r="C443" s="250"/>
      <c r="D443" s="157"/>
      <c r="E443" s="157"/>
      <c r="F443" s="157"/>
      <c r="G443" s="157"/>
      <c r="H443" s="157"/>
      <c r="I443" s="157"/>
      <c r="J443" s="248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</row>
    <row r="444" ht="15.75" customHeight="1">
      <c r="A444" s="157"/>
      <c r="B444" s="250"/>
      <c r="C444" s="250"/>
      <c r="D444" s="157"/>
      <c r="E444" s="157"/>
      <c r="F444" s="157"/>
      <c r="G444" s="157"/>
      <c r="H444" s="157"/>
      <c r="I444" s="157"/>
      <c r="J444" s="248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</row>
    <row r="445" ht="15.75" customHeight="1">
      <c r="A445" s="157"/>
      <c r="B445" s="250"/>
      <c r="C445" s="250"/>
      <c r="D445" s="157"/>
      <c r="E445" s="157"/>
      <c r="F445" s="157"/>
      <c r="G445" s="157"/>
      <c r="H445" s="157"/>
      <c r="I445" s="157"/>
      <c r="J445" s="248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</row>
    <row r="446" ht="15.75" customHeight="1">
      <c r="A446" s="157"/>
      <c r="B446" s="250"/>
      <c r="C446" s="250"/>
      <c r="D446" s="157"/>
      <c r="E446" s="157"/>
      <c r="F446" s="157"/>
      <c r="G446" s="157"/>
      <c r="H446" s="157"/>
      <c r="I446" s="157"/>
      <c r="J446" s="248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</row>
    <row r="447" ht="15.75" customHeight="1">
      <c r="A447" s="157"/>
      <c r="B447" s="250"/>
      <c r="C447" s="250"/>
      <c r="D447" s="157"/>
      <c r="E447" s="157"/>
      <c r="F447" s="157"/>
      <c r="G447" s="157"/>
      <c r="H447" s="157"/>
      <c r="I447" s="157"/>
      <c r="J447" s="248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</row>
    <row r="448" ht="15.75" customHeight="1">
      <c r="A448" s="157"/>
      <c r="B448" s="250"/>
      <c r="C448" s="250"/>
      <c r="D448" s="157"/>
      <c r="E448" s="157"/>
      <c r="F448" s="157"/>
      <c r="G448" s="157"/>
      <c r="H448" s="157"/>
      <c r="I448" s="157"/>
      <c r="J448" s="248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</row>
    <row r="449" ht="15.75" customHeight="1">
      <c r="A449" s="157"/>
      <c r="B449" s="250"/>
      <c r="C449" s="250"/>
      <c r="D449" s="157"/>
      <c r="E449" s="157"/>
      <c r="F449" s="157"/>
      <c r="G449" s="157"/>
      <c r="H449" s="157"/>
      <c r="I449" s="157"/>
      <c r="J449" s="248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</row>
    <row r="450" ht="15.75" customHeight="1">
      <c r="A450" s="157"/>
      <c r="B450" s="250"/>
      <c r="C450" s="250"/>
      <c r="D450" s="157"/>
      <c r="E450" s="157"/>
      <c r="F450" s="157"/>
      <c r="G450" s="157"/>
      <c r="H450" s="157"/>
      <c r="I450" s="157"/>
      <c r="J450" s="248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</row>
    <row r="451" ht="15.75" customHeight="1">
      <c r="A451" s="157"/>
      <c r="B451" s="250"/>
      <c r="C451" s="250"/>
      <c r="D451" s="157"/>
      <c r="E451" s="157"/>
      <c r="F451" s="157"/>
      <c r="G451" s="157"/>
      <c r="H451" s="157"/>
      <c r="I451" s="157"/>
      <c r="J451" s="248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</row>
    <row r="452" ht="15.75" customHeight="1">
      <c r="A452" s="157"/>
      <c r="B452" s="250"/>
      <c r="C452" s="250"/>
      <c r="D452" s="157"/>
      <c r="E452" s="157"/>
      <c r="F452" s="157"/>
      <c r="G452" s="157"/>
      <c r="H452" s="157"/>
      <c r="I452" s="157"/>
      <c r="J452" s="248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</row>
    <row r="453" ht="15.75" customHeight="1">
      <c r="A453" s="157"/>
      <c r="B453" s="250"/>
      <c r="C453" s="250"/>
      <c r="D453" s="157"/>
      <c r="E453" s="157"/>
      <c r="F453" s="157"/>
      <c r="G453" s="157"/>
      <c r="H453" s="157"/>
      <c r="I453" s="157"/>
      <c r="J453" s="248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</row>
    <row r="454" ht="15.75" customHeight="1">
      <c r="A454" s="157"/>
      <c r="B454" s="250"/>
      <c r="C454" s="250"/>
      <c r="D454" s="157"/>
      <c r="E454" s="157"/>
      <c r="F454" s="157"/>
      <c r="G454" s="157"/>
      <c r="H454" s="157"/>
      <c r="I454" s="157"/>
      <c r="J454" s="248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</row>
    <row r="455" ht="15.75" customHeight="1">
      <c r="A455" s="157"/>
      <c r="B455" s="250"/>
      <c r="C455" s="250"/>
      <c r="D455" s="157"/>
      <c r="E455" s="157"/>
      <c r="F455" s="157"/>
      <c r="G455" s="157"/>
      <c r="H455" s="157"/>
      <c r="I455" s="157"/>
      <c r="J455" s="248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</row>
    <row r="456" ht="15.75" customHeight="1">
      <c r="A456" s="157"/>
      <c r="B456" s="250"/>
      <c r="C456" s="250"/>
      <c r="D456" s="157"/>
      <c r="E456" s="157"/>
      <c r="F456" s="157"/>
      <c r="G456" s="157"/>
      <c r="H456" s="157"/>
      <c r="I456" s="157"/>
      <c r="J456" s="248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</row>
    <row r="457" ht="15.75" customHeight="1">
      <c r="A457" s="157"/>
      <c r="B457" s="250"/>
      <c r="C457" s="250"/>
      <c r="D457" s="157"/>
      <c r="E457" s="157"/>
      <c r="F457" s="157"/>
      <c r="G457" s="157"/>
      <c r="H457" s="157"/>
      <c r="I457" s="157"/>
      <c r="J457" s="248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</row>
    <row r="458" ht="15.75" customHeight="1">
      <c r="A458" s="157"/>
      <c r="B458" s="250"/>
      <c r="C458" s="250"/>
      <c r="D458" s="157"/>
      <c r="E458" s="157"/>
      <c r="F458" s="157"/>
      <c r="G458" s="157"/>
      <c r="H458" s="157"/>
      <c r="I458" s="157"/>
      <c r="J458" s="248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</row>
    <row r="459" ht="15.75" customHeight="1">
      <c r="A459" s="157"/>
      <c r="B459" s="250"/>
      <c r="C459" s="250"/>
      <c r="D459" s="157"/>
      <c r="E459" s="157"/>
      <c r="F459" s="157"/>
      <c r="G459" s="157"/>
      <c r="H459" s="157"/>
      <c r="I459" s="157"/>
      <c r="J459" s="248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</row>
    <row r="460" ht="15.75" customHeight="1">
      <c r="A460" s="157"/>
      <c r="B460" s="250"/>
      <c r="C460" s="250"/>
      <c r="D460" s="157"/>
      <c r="E460" s="157"/>
      <c r="F460" s="157"/>
      <c r="G460" s="157"/>
      <c r="H460" s="157"/>
      <c r="I460" s="157"/>
      <c r="J460" s="248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</row>
    <row r="461" ht="15.75" customHeight="1">
      <c r="A461" s="157"/>
      <c r="B461" s="250"/>
      <c r="C461" s="250"/>
      <c r="D461" s="157"/>
      <c r="E461" s="157"/>
      <c r="F461" s="157"/>
      <c r="G461" s="157"/>
      <c r="H461" s="157"/>
      <c r="I461" s="157"/>
      <c r="J461" s="248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</row>
    <row r="462" ht="15.75" customHeight="1">
      <c r="A462" s="157"/>
      <c r="B462" s="250"/>
      <c r="C462" s="250"/>
      <c r="D462" s="157"/>
      <c r="E462" s="157"/>
      <c r="F462" s="157"/>
      <c r="G462" s="157"/>
      <c r="H462" s="157"/>
      <c r="I462" s="157"/>
      <c r="J462" s="248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</row>
    <row r="463" ht="15.75" customHeight="1">
      <c r="A463" s="157"/>
      <c r="B463" s="250"/>
      <c r="C463" s="250"/>
      <c r="D463" s="157"/>
      <c r="E463" s="157"/>
      <c r="F463" s="157"/>
      <c r="G463" s="157"/>
      <c r="H463" s="157"/>
      <c r="I463" s="157"/>
      <c r="J463" s="248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</row>
    <row r="464" ht="15.75" customHeight="1">
      <c r="A464" s="157"/>
      <c r="B464" s="250"/>
      <c r="C464" s="250"/>
      <c r="D464" s="157"/>
      <c r="E464" s="157"/>
      <c r="F464" s="157"/>
      <c r="G464" s="157"/>
      <c r="H464" s="157"/>
      <c r="I464" s="157"/>
      <c r="J464" s="248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</row>
    <row r="465" ht="15.75" customHeight="1">
      <c r="A465" s="157"/>
      <c r="B465" s="250"/>
      <c r="C465" s="250"/>
      <c r="D465" s="157"/>
      <c r="E465" s="157"/>
      <c r="F465" s="157"/>
      <c r="G465" s="157"/>
      <c r="H465" s="157"/>
      <c r="I465" s="157"/>
      <c r="J465" s="248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</row>
    <row r="466" ht="15.75" customHeight="1">
      <c r="A466" s="157"/>
      <c r="B466" s="250"/>
      <c r="C466" s="250"/>
      <c r="D466" s="157"/>
      <c r="E466" s="157"/>
      <c r="F466" s="157"/>
      <c r="G466" s="157"/>
      <c r="H466" s="157"/>
      <c r="I466" s="157"/>
      <c r="J466" s="248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</row>
    <row r="467" ht="15.75" customHeight="1">
      <c r="A467" s="157"/>
      <c r="B467" s="250"/>
      <c r="C467" s="250"/>
      <c r="D467" s="157"/>
      <c r="E467" s="157"/>
      <c r="F467" s="157"/>
      <c r="G467" s="157"/>
      <c r="H467" s="157"/>
      <c r="I467" s="157"/>
      <c r="J467" s="248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</row>
    <row r="468" ht="15.75" customHeight="1">
      <c r="A468" s="157"/>
      <c r="B468" s="250"/>
      <c r="C468" s="250"/>
      <c r="D468" s="157"/>
      <c r="E468" s="157"/>
      <c r="F468" s="157"/>
      <c r="G468" s="157"/>
      <c r="H468" s="157"/>
      <c r="I468" s="157"/>
      <c r="J468" s="248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</row>
    <row r="469" ht="15.75" customHeight="1">
      <c r="A469" s="157"/>
      <c r="B469" s="250"/>
      <c r="C469" s="250"/>
      <c r="D469" s="157"/>
      <c r="E469" s="157"/>
      <c r="F469" s="157"/>
      <c r="G469" s="157"/>
      <c r="H469" s="157"/>
      <c r="I469" s="157"/>
      <c r="J469" s="248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</row>
    <row r="470" ht="15.75" customHeight="1">
      <c r="A470" s="157"/>
      <c r="B470" s="250"/>
      <c r="C470" s="250"/>
      <c r="D470" s="157"/>
      <c r="E470" s="157"/>
      <c r="F470" s="157"/>
      <c r="G470" s="157"/>
      <c r="H470" s="157"/>
      <c r="I470" s="157"/>
      <c r="J470" s="248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</row>
    <row r="471" ht="15.75" customHeight="1">
      <c r="A471" s="157"/>
      <c r="B471" s="250"/>
      <c r="C471" s="250"/>
      <c r="D471" s="157"/>
      <c r="E471" s="157"/>
      <c r="F471" s="157"/>
      <c r="G471" s="157"/>
      <c r="H471" s="157"/>
      <c r="I471" s="157"/>
      <c r="J471" s="248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</row>
    <row r="472" ht="15.75" customHeight="1">
      <c r="A472" s="157"/>
      <c r="B472" s="250"/>
      <c r="C472" s="250"/>
      <c r="D472" s="157"/>
      <c r="E472" s="157"/>
      <c r="F472" s="157"/>
      <c r="G472" s="157"/>
      <c r="H472" s="157"/>
      <c r="I472" s="157"/>
      <c r="J472" s="248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</row>
    <row r="473" ht="15.75" customHeight="1">
      <c r="A473" s="157"/>
      <c r="B473" s="250"/>
      <c r="C473" s="250"/>
      <c r="D473" s="157"/>
      <c r="E473" s="157"/>
      <c r="F473" s="157"/>
      <c r="G473" s="157"/>
      <c r="H473" s="157"/>
      <c r="I473" s="157"/>
      <c r="J473" s="248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</row>
    <row r="474" ht="15.75" customHeight="1">
      <c r="A474" s="157"/>
      <c r="B474" s="250"/>
      <c r="C474" s="250"/>
      <c r="D474" s="157"/>
      <c r="E474" s="157"/>
      <c r="F474" s="157"/>
      <c r="G474" s="157"/>
      <c r="H474" s="157"/>
      <c r="I474" s="157"/>
      <c r="J474" s="248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</row>
    <row r="475" ht="15.75" customHeight="1">
      <c r="A475" s="157"/>
      <c r="B475" s="250"/>
      <c r="C475" s="250"/>
      <c r="D475" s="157"/>
      <c r="E475" s="157"/>
      <c r="F475" s="157"/>
      <c r="G475" s="157"/>
      <c r="H475" s="157"/>
      <c r="I475" s="157"/>
      <c r="J475" s="248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</row>
    <row r="476" ht="15.75" customHeight="1">
      <c r="A476" s="157"/>
      <c r="B476" s="250"/>
      <c r="C476" s="250"/>
      <c r="D476" s="157"/>
      <c r="E476" s="157"/>
      <c r="F476" s="157"/>
      <c r="G476" s="157"/>
      <c r="H476" s="157"/>
      <c r="I476" s="157"/>
      <c r="J476" s="248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</row>
    <row r="477" ht="15.75" customHeight="1">
      <c r="A477" s="157"/>
      <c r="B477" s="250"/>
      <c r="C477" s="250"/>
      <c r="D477" s="157"/>
      <c r="E477" s="157"/>
      <c r="F477" s="157"/>
      <c r="G477" s="157"/>
      <c r="H477" s="157"/>
      <c r="I477" s="157"/>
      <c r="J477" s="248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</row>
    <row r="478" ht="15.75" customHeight="1">
      <c r="A478" s="157"/>
      <c r="B478" s="250"/>
      <c r="C478" s="250"/>
      <c r="D478" s="157"/>
      <c r="E478" s="157"/>
      <c r="F478" s="157"/>
      <c r="G478" s="157"/>
      <c r="H478" s="157"/>
      <c r="I478" s="157"/>
      <c r="J478" s="248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</row>
    <row r="479" ht="15.75" customHeight="1">
      <c r="A479" s="157"/>
      <c r="B479" s="250"/>
      <c r="C479" s="250"/>
      <c r="D479" s="157"/>
      <c r="E479" s="157"/>
      <c r="F479" s="157"/>
      <c r="G479" s="157"/>
      <c r="H479" s="157"/>
      <c r="I479" s="157"/>
      <c r="J479" s="248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</row>
    <row r="480" ht="15.75" customHeight="1">
      <c r="A480" s="157"/>
      <c r="B480" s="250"/>
      <c r="C480" s="250"/>
      <c r="D480" s="157"/>
      <c r="E480" s="157"/>
      <c r="F480" s="157"/>
      <c r="G480" s="157"/>
      <c r="H480" s="157"/>
      <c r="I480" s="157"/>
      <c r="J480" s="248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</row>
    <row r="481" ht="15.75" customHeight="1">
      <c r="A481" s="157"/>
      <c r="B481" s="250"/>
      <c r="C481" s="250"/>
      <c r="D481" s="157"/>
      <c r="E481" s="157"/>
      <c r="F481" s="157"/>
      <c r="G481" s="157"/>
      <c r="H481" s="157"/>
      <c r="I481" s="157"/>
      <c r="J481" s="248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</row>
    <row r="482" ht="15.75" customHeight="1">
      <c r="A482" s="157"/>
      <c r="B482" s="250"/>
      <c r="C482" s="250"/>
      <c r="D482" s="157"/>
      <c r="E482" s="157"/>
      <c r="F482" s="157"/>
      <c r="G482" s="157"/>
      <c r="H482" s="157"/>
      <c r="I482" s="157"/>
      <c r="J482" s="248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</row>
    <row r="483" ht="15.75" customHeight="1">
      <c r="A483" s="157"/>
      <c r="B483" s="250"/>
      <c r="C483" s="250"/>
      <c r="D483" s="157"/>
      <c r="E483" s="157"/>
      <c r="F483" s="157"/>
      <c r="G483" s="157"/>
      <c r="H483" s="157"/>
      <c r="I483" s="157"/>
      <c r="J483" s="248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</row>
    <row r="484" ht="15.75" customHeight="1">
      <c r="A484" s="157"/>
      <c r="B484" s="250"/>
      <c r="C484" s="250"/>
      <c r="D484" s="157"/>
      <c r="E484" s="157"/>
      <c r="F484" s="157"/>
      <c r="G484" s="157"/>
      <c r="H484" s="157"/>
      <c r="I484" s="157"/>
      <c r="J484" s="248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</row>
    <row r="485" ht="15.75" customHeight="1">
      <c r="A485" s="157"/>
      <c r="B485" s="250"/>
      <c r="C485" s="250"/>
      <c r="D485" s="157"/>
      <c r="E485" s="157"/>
      <c r="F485" s="157"/>
      <c r="G485" s="157"/>
      <c r="H485" s="157"/>
      <c r="I485" s="157"/>
      <c r="J485" s="248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</row>
    <row r="486" ht="15.75" customHeight="1">
      <c r="A486" s="157"/>
      <c r="B486" s="250"/>
      <c r="C486" s="250"/>
      <c r="D486" s="157"/>
      <c r="E486" s="157"/>
      <c r="F486" s="157"/>
      <c r="G486" s="157"/>
      <c r="H486" s="157"/>
      <c r="I486" s="157"/>
      <c r="J486" s="248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</row>
    <row r="487" ht="15.75" customHeight="1">
      <c r="A487" s="157"/>
      <c r="B487" s="250"/>
      <c r="C487" s="250"/>
      <c r="D487" s="157"/>
      <c r="E487" s="157"/>
      <c r="F487" s="157"/>
      <c r="G487" s="157"/>
      <c r="H487" s="157"/>
      <c r="I487" s="157"/>
      <c r="J487" s="248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</row>
    <row r="488" ht="15.75" customHeight="1">
      <c r="A488" s="157"/>
      <c r="B488" s="250"/>
      <c r="C488" s="250"/>
      <c r="D488" s="157"/>
      <c r="E488" s="157"/>
      <c r="F488" s="157"/>
      <c r="G488" s="157"/>
      <c r="H488" s="157"/>
      <c r="I488" s="157"/>
      <c r="J488" s="248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</row>
    <row r="489" ht="15.75" customHeight="1">
      <c r="A489" s="157"/>
      <c r="B489" s="250"/>
      <c r="C489" s="250"/>
      <c r="D489" s="157"/>
      <c r="E489" s="157"/>
      <c r="F489" s="157"/>
      <c r="G489" s="157"/>
      <c r="H489" s="157"/>
      <c r="I489" s="157"/>
      <c r="J489" s="248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</row>
    <row r="490" ht="15.75" customHeight="1">
      <c r="A490" s="157"/>
      <c r="B490" s="250"/>
      <c r="C490" s="250"/>
      <c r="D490" s="157"/>
      <c r="E490" s="157"/>
      <c r="F490" s="157"/>
      <c r="G490" s="157"/>
      <c r="H490" s="157"/>
      <c r="I490" s="157"/>
      <c r="J490" s="248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</row>
    <row r="491" ht="15.75" customHeight="1">
      <c r="A491" s="157"/>
      <c r="B491" s="250"/>
      <c r="C491" s="250"/>
      <c r="D491" s="157"/>
      <c r="E491" s="157"/>
      <c r="F491" s="157"/>
      <c r="G491" s="157"/>
      <c r="H491" s="157"/>
      <c r="I491" s="157"/>
      <c r="J491" s="248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</row>
    <row r="492" ht="15.75" customHeight="1">
      <c r="A492" s="157"/>
      <c r="B492" s="250"/>
      <c r="C492" s="250"/>
      <c r="D492" s="157"/>
      <c r="E492" s="157"/>
      <c r="F492" s="157"/>
      <c r="G492" s="157"/>
      <c r="H492" s="157"/>
      <c r="I492" s="157"/>
      <c r="J492" s="248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</row>
    <row r="493" ht="15.75" customHeight="1">
      <c r="A493" s="157"/>
      <c r="B493" s="250"/>
      <c r="C493" s="250"/>
      <c r="D493" s="157"/>
      <c r="E493" s="157"/>
      <c r="F493" s="157"/>
      <c r="G493" s="157"/>
      <c r="H493" s="157"/>
      <c r="I493" s="157"/>
      <c r="J493" s="248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</row>
    <row r="494" ht="15.75" customHeight="1">
      <c r="A494" s="157"/>
      <c r="B494" s="250"/>
      <c r="C494" s="250"/>
      <c r="D494" s="157"/>
      <c r="E494" s="157"/>
      <c r="F494" s="157"/>
      <c r="G494" s="157"/>
      <c r="H494" s="157"/>
      <c r="I494" s="157"/>
      <c r="J494" s="248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</row>
    <row r="495" ht="15.75" customHeight="1">
      <c r="A495" s="157"/>
      <c r="B495" s="250"/>
      <c r="C495" s="250"/>
      <c r="D495" s="157"/>
      <c r="E495" s="157"/>
      <c r="F495" s="157"/>
      <c r="G495" s="157"/>
      <c r="H495" s="157"/>
      <c r="I495" s="157"/>
      <c r="J495" s="248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</row>
    <row r="496" ht="15.75" customHeight="1">
      <c r="A496" s="157"/>
      <c r="B496" s="250"/>
      <c r="C496" s="250"/>
      <c r="D496" s="157"/>
      <c r="E496" s="157"/>
      <c r="F496" s="157"/>
      <c r="G496" s="157"/>
      <c r="H496" s="157"/>
      <c r="I496" s="157"/>
      <c r="J496" s="248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</row>
    <row r="497" ht="15.75" customHeight="1">
      <c r="A497" s="157"/>
      <c r="B497" s="250"/>
      <c r="C497" s="250"/>
      <c r="D497" s="157"/>
      <c r="E497" s="157"/>
      <c r="F497" s="157"/>
      <c r="G497" s="157"/>
      <c r="H497" s="157"/>
      <c r="I497" s="157"/>
      <c r="J497" s="248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</row>
    <row r="498" ht="15.75" customHeight="1">
      <c r="A498" s="157"/>
      <c r="B498" s="250"/>
      <c r="C498" s="250"/>
      <c r="D498" s="157"/>
      <c r="E498" s="157"/>
      <c r="F498" s="157"/>
      <c r="G498" s="157"/>
      <c r="H498" s="157"/>
      <c r="I498" s="157"/>
      <c r="J498" s="248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</row>
    <row r="499" ht="15.75" customHeight="1">
      <c r="A499" s="157"/>
      <c r="B499" s="250"/>
      <c r="C499" s="250"/>
      <c r="D499" s="157"/>
      <c r="E499" s="157"/>
      <c r="F499" s="157"/>
      <c r="G499" s="157"/>
      <c r="H499" s="157"/>
      <c r="I499" s="157"/>
      <c r="J499" s="248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</row>
    <row r="500" ht="15.75" customHeight="1">
      <c r="A500" s="157"/>
      <c r="B500" s="250"/>
      <c r="C500" s="250"/>
      <c r="D500" s="157"/>
      <c r="E500" s="157"/>
      <c r="F500" s="157"/>
      <c r="G500" s="157"/>
      <c r="H500" s="157"/>
      <c r="I500" s="157"/>
      <c r="J500" s="248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</row>
    <row r="501" ht="15.75" customHeight="1">
      <c r="A501" s="157"/>
      <c r="B501" s="250"/>
      <c r="C501" s="250"/>
      <c r="D501" s="157"/>
      <c r="E501" s="157"/>
      <c r="F501" s="157"/>
      <c r="G501" s="157"/>
      <c r="H501" s="157"/>
      <c r="I501" s="157"/>
      <c r="J501" s="248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</row>
    <row r="502" ht="15.75" customHeight="1">
      <c r="A502" s="157"/>
      <c r="B502" s="250"/>
      <c r="C502" s="250"/>
      <c r="D502" s="157"/>
      <c r="E502" s="157"/>
      <c r="F502" s="157"/>
      <c r="G502" s="157"/>
      <c r="H502" s="157"/>
      <c r="I502" s="157"/>
      <c r="J502" s="248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</row>
    <row r="503" ht="15.75" customHeight="1">
      <c r="A503" s="157"/>
      <c r="B503" s="250"/>
      <c r="C503" s="250"/>
      <c r="D503" s="157"/>
      <c r="E503" s="157"/>
      <c r="F503" s="157"/>
      <c r="G503" s="157"/>
      <c r="H503" s="157"/>
      <c r="I503" s="157"/>
      <c r="J503" s="248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</row>
    <row r="504" ht="15.75" customHeight="1">
      <c r="A504" s="157"/>
      <c r="B504" s="250"/>
      <c r="C504" s="250"/>
      <c r="D504" s="157"/>
      <c r="E504" s="157"/>
      <c r="F504" s="157"/>
      <c r="G504" s="157"/>
      <c r="H504" s="157"/>
      <c r="I504" s="157"/>
      <c r="J504" s="248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</row>
    <row r="505" ht="15.75" customHeight="1">
      <c r="A505" s="157"/>
      <c r="B505" s="250"/>
      <c r="C505" s="250"/>
      <c r="D505" s="157"/>
      <c r="E505" s="157"/>
      <c r="F505" s="157"/>
      <c r="G505" s="157"/>
      <c r="H505" s="157"/>
      <c r="I505" s="157"/>
      <c r="J505" s="248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</row>
    <row r="506" ht="15.75" customHeight="1">
      <c r="A506" s="157"/>
      <c r="B506" s="250"/>
      <c r="C506" s="250"/>
      <c r="D506" s="157"/>
      <c r="E506" s="157"/>
      <c r="F506" s="157"/>
      <c r="G506" s="157"/>
      <c r="H506" s="157"/>
      <c r="I506" s="157"/>
      <c r="J506" s="248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</row>
    <row r="507" ht="15.75" customHeight="1">
      <c r="A507" s="157"/>
      <c r="B507" s="250"/>
      <c r="C507" s="250"/>
      <c r="D507" s="157"/>
      <c r="E507" s="157"/>
      <c r="F507" s="157"/>
      <c r="G507" s="157"/>
      <c r="H507" s="157"/>
      <c r="I507" s="157"/>
      <c r="J507" s="248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</row>
    <row r="508" ht="15.75" customHeight="1">
      <c r="A508" s="157"/>
      <c r="B508" s="250"/>
      <c r="C508" s="250"/>
      <c r="D508" s="157"/>
      <c r="E508" s="157"/>
      <c r="F508" s="157"/>
      <c r="G508" s="157"/>
      <c r="H508" s="157"/>
      <c r="I508" s="157"/>
      <c r="J508" s="248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</row>
    <row r="509" ht="15.75" customHeight="1">
      <c r="A509" s="157"/>
      <c r="B509" s="250"/>
      <c r="C509" s="250"/>
      <c r="D509" s="157"/>
      <c r="E509" s="157"/>
      <c r="F509" s="157"/>
      <c r="G509" s="157"/>
      <c r="H509" s="157"/>
      <c r="I509" s="157"/>
      <c r="J509" s="248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</row>
    <row r="510" ht="15.75" customHeight="1">
      <c r="A510" s="157"/>
      <c r="B510" s="250"/>
      <c r="C510" s="250"/>
      <c r="D510" s="157"/>
      <c r="E510" s="157"/>
      <c r="F510" s="157"/>
      <c r="G510" s="157"/>
      <c r="H510" s="157"/>
      <c r="I510" s="157"/>
      <c r="J510" s="248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</row>
    <row r="511" ht="15.75" customHeight="1">
      <c r="A511" s="157"/>
      <c r="B511" s="250"/>
      <c r="C511" s="250"/>
      <c r="D511" s="157"/>
      <c r="E511" s="157"/>
      <c r="F511" s="157"/>
      <c r="G511" s="157"/>
      <c r="H511" s="157"/>
      <c r="I511" s="157"/>
      <c r="J511" s="248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</row>
    <row r="512" ht="15.75" customHeight="1">
      <c r="A512" s="157"/>
      <c r="B512" s="250"/>
      <c r="C512" s="250"/>
      <c r="D512" s="157"/>
      <c r="E512" s="157"/>
      <c r="F512" s="157"/>
      <c r="G512" s="157"/>
      <c r="H512" s="157"/>
      <c r="I512" s="157"/>
      <c r="J512" s="248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</row>
    <row r="513" ht="15.75" customHeight="1">
      <c r="A513" s="157"/>
      <c r="B513" s="250"/>
      <c r="C513" s="250"/>
      <c r="D513" s="157"/>
      <c r="E513" s="157"/>
      <c r="F513" s="157"/>
      <c r="G513" s="157"/>
      <c r="H513" s="157"/>
      <c r="I513" s="157"/>
      <c r="J513" s="248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</row>
    <row r="514" ht="15.75" customHeight="1">
      <c r="A514" s="157"/>
      <c r="B514" s="250"/>
      <c r="C514" s="250"/>
      <c r="D514" s="157"/>
      <c r="E514" s="157"/>
      <c r="F514" s="157"/>
      <c r="G514" s="157"/>
      <c r="H514" s="157"/>
      <c r="I514" s="157"/>
      <c r="J514" s="248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</row>
    <row r="515" ht="15.75" customHeight="1">
      <c r="A515" s="157"/>
      <c r="B515" s="250"/>
      <c r="C515" s="250"/>
      <c r="D515" s="157"/>
      <c r="E515" s="157"/>
      <c r="F515" s="157"/>
      <c r="G515" s="157"/>
      <c r="H515" s="157"/>
      <c r="I515" s="157"/>
      <c r="J515" s="248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</row>
    <row r="516" ht="15.75" customHeight="1">
      <c r="A516" s="157"/>
      <c r="B516" s="250"/>
      <c r="C516" s="250"/>
      <c r="D516" s="157"/>
      <c r="E516" s="157"/>
      <c r="F516" s="157"/>
      <c r="G516" s="157"/>
      <c r="H516" s="157"/>
      <c r="I516" s="157"/>
      <c r="J516" s="248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</row>
    <row r="517" ht="15.75" customHeight="1">
      <c r="A517" s="157"/>
      <c r="B517" s="250"/>
      <c r="C517" s="250"/>
      <c r="D517" s="157"/>
      <c r="E517" s="157"/>
      <c r="F517" s="157"/>
      <c r="G517" s="157"/>
      <c r="H517" s="157"/>
      <c r="I517" s="157"/>
      <c r="J517" s="248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</row>
    <row r="518" ht="15.75" customHeight="1">
      <c r="A518" s="157"/>
      <c r="B518" s="250"/>
      <c r="C518" s="250"/>
      <c r="D518" s="157"/>
      <c r="E518" s="157"/>
      <c r="F518" s="157"/>
      <c r="G518" s="157"/>
      <c r="H518" s="157"/>
      <c r="I518" s="157"/>
      <c r="J518" s="248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</row>
    <row r="519" ht="15.75" customHeight="1">
      <c r="A519" s="157"/>
      <c r="B519" s="250"/>
      <c r="C519" s="250"/>
      <c r="D519" s="157"/>
      <c r="E519" s="157"/>
      <c r="F519" s="157"/>
      <c r="G519" s="157"/>
      <c r="H519" s="157"/>
      <c r="I519" s="157"/>
      <c r="J519" s="248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</row>
    <row r="520" ht="15.75" customHeight="1">
      <c r="A520" s="157"/>
      <c r="B520" s="250"/>
      <c r="C520" s="250"/>
      <c r="D520" s="157"/>
      <c r="E520" s="157"/>
      <c r="F520" s="157"/>
      <c r="G520" s="157"/>
      <c r="H520" s="157"/>
      <c r="I520" s="157"/>
      <c r="J520" s="248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</row>
    <row r="521" ht="15.75" customHeight="1">
      <c r="A521" s="157"/>
      <c r="B521" s="250"/>
      <c r="C521" s="250"/>
      <c r="D521" s="157"/>
      <c r="E521" s="157"/>
      <c r="F521" s="157"/>
      <c r="G521" s="157"/>
      <c r="H521" s="157"/>
      <c r="I521" s="157"/>
      <c r="J521" s="248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</row>
    <row r="522" ht="15.75" customHeight="1">
      <c r="A522" s="157"/>
      <c r="B522" s="250"/>
      <c r="C522" s="250"/>
      <c r="D522" s="157"/>
      <c r="E522" s="157"/>
      <c r="F522" s="157"/>
      <c r="G522" s="157"/>
      <c r="H522" s="157"/>
      <c r="I522" s="157"/>
      <c r="J522" s="248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</row>
    <row r="523" ht="15.75" customHeight="1">
      <c r="A523" s="157"/>
      <c r="B523" s="250"/>
      <c r="C523" s="250"/>
      <c r="D523" s="157"/>
      <c r="E523" s="157"/>
      <c r="F523" s="157"/>
      <c r="G523" s="157"/>
      <c r="H523" s="157"/>
      <c r="I523" s="157"/>
      <c r="J523" s="248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</row>
    <row r="524" ht="15.75" customHeight="1">
      <c r="A524" s="157"/>
      <c r="B524" s="250"/>
      <c r="C524" s="250"/>
      <c r="D524" s="157"/>
      <c r="E524" s="157"/>
      <c r="F524" s="157"/>
      <c r="G524" s="157"/>
      <c r="H524" s="157"/>
      <c r="I524" s="157"/>
      <c r="J524" s="248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</row>
    <row r="525" ht="15.75" customHeight="1">
      <c r="A525" s="157"/>
      <c r="B525" s="250"/>
      <c r="C525" s="250"/>
      <c r="D525" s="157"/>
      <c r="E525" s="157"/>
      <c r="F525" s="157"/>
      <c r="G525" s="157"/>
      <c r="H525" s="157"/>
      <c r="I525" s="157"/>
      <c r="J525" s="248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</row>
    <row r="526" ht="15.75" customHeight="1">
      <c r="A526" s="157"/>
      <c r="B526" s="250"/>
      <c r="C526" s="250"/>
      <c r="D526" s="157"/>
      <c r="E526" s="157"/>
      <c r="F526" s="157"/>
      <c r="G526" s="157"/>
      <c r="H526" s="157"/>
      <c r="I526" s="157"/>
      <c r="J526" s="248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</row>
    <row r="527" ht="15.75" customHeight="1">
      <c r="A527" s="157"/>
      <c r="B527" s="250"/>
      <c r="C527" s="250"/>
      <c r="D527" s="157"/>
      <c r="E527" s="157"/>
      <c r="F527" s="157"/>
      <c r="G527" s="157"/>
      <c r="H527" s="157"/>
      <c r="I527" s="157"/>
      <c r="J527" s="248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</row>
    <row r="528" ht="15.75" customHeight="1">
      <c r="A528" s="157"/>
      <c r="B528" s="250"/>
      <c r="C528" s="250"/>
      <c r="D528" s="157"/>
      <c r="E528" s="157"/>
      <c r="F528" s="157"/>
      <c r="G528" s="157"/>
      <c r="H528" s="157"/>
      <c r="I528" s="157"/>
      <c r="J528" s="248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</row>
    <row r="529" ht="15.75" customHeight="1">
      <c r="A529" s="157"/>
      <c r="B529" s="250"/>
      <c r="C529" s="250"/>
      <c r="D529" s="157"/>
      <c r="E529" s="157"/>
      <c r="F529" s="157"/>
      <c r="G529" s="157"/>
      <c r="H529" s="157"/>
      <c r="I529" s="157"/>
      <c r="J529" s="248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</row>
    <row r="530" ht="15.75" customHeight="1">
      <c r="A530" s="157"/>
      <c r="B530" s="250"/>
      <c r="C530" s="250"/>
      <c r="D530" s="157"/>
      <c r="E530" s="157"/>
      <c r="F530" s="157"/>
      <c r="G530" s="157"/>
      <c r="H530" s="157"/>
      <c r="I530" s="157"/>
      <c r="J530" s="248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</row>
    <row r="531" ht="15.75" customHeight="1">
      <c r="A531" s="157"/>
      <c r="B531" s="250"/>
      <c r="C531" s="250"/>
      <c r="D531" s="157"/>
      <c r="E531" s="157"/>
      <c r="F531" s="157"/>
      <c r="G531" s="157"/>
      <c r="H531" s="157"/>
      <c r="I531" s="157"/>
      <c r="J531" s="248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</row>
    <row r="532" ht="15.75" customHeight="1">
      <c r="A532" s="157"/>
      <c r="B532" s="250"/>
      <c r="C532" s="250"/>
      <c r="D532" s="157"/>
      <c r="E532" s="157"/>
      <c r="F532" s="157"/>
      <c r="G532" s="157"/>
      <c r="H532" s="157"/>
      <c r="I532" s="157"/>
      <c r="J532" s="248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</row>
    <row r="533" ht="15.75" customHeight="1">
      <c r="A533" s="157"/>
      <c r="B533" s="250"/>
      <c r="C533" s="250"/>
      <c r="D533" s="157"/>
      <c r="E533" s="157"/>
      <c r="F533" s="157"/>
      <c r="G533" s="157"/>
      <c r="H533" s="157"/>
      <c r="I533" s="157"/>
      <c r="J533" s="248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</row>
    <row r="534" ht="15.75" customHeight="1">
      <c r="A534" s="157"/>
      <c r="B534" s="250"/>
      <c r="C534" s="250"/>
      <c r="D534" s="157"/>
      <c r="E534" s="157"/>
      <c r="F534" s="157"/>
      <c r="G534" s="157"/>
      <c r="H534" s="157"/>
      <c r="I534" s="157"/>
      <c r="J534" s="248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</row>
    <row r="535" ht="15.75" customHeight="1">
      <c r="A535" s="157"/>
      <c r="B535" s="250"/>
      <c r="C535" s="250"/>
      <c r="D535" s="157"/>
      <c r="E535" s="157"/>
      <c r="F535" s="157"/>
      <c r="G535" s="157"/>
      <c r="H535" s="157"/>
      <c r="I535" s="157"/>
      <c r="J535" s="248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</row>
    <row r="536" ht="15.75" customHeight="1">
      <c r="A536" s="157"/>
      <c r="B536" s="250"/>
      <c r="C536" s="250"/>
      <c r="D536" s="157"/>
      <c r="E536" s="157"/>
      <c r="F536" s="157"/>
      <c r="G536" s="157"/>
      <c r="H536" s="157"/>
      <c r="I536" s="157"/>
      <c r="J536" s="248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</row>
    <row r="537" ht="15.75" customHeight="1">
      <c r="A537" s="157"/>
      <c r="B537" s="250"/>
      <c r="C537" s="250"/>
      <c r="D537" s="157"/>
      <c r="E537" s="157"/>
      <c r="F537" s="157"/>
      <c r="G537" s="157"/>
      <c r="H537" s="157"/>
      <c r="I537" s="157"/>
      <c r="J537" s="248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</row>
    <row r="538" ht="15.75" customHeight="1">
      <c r="A538" s="157"/>
      <c r="B538" s="250"/>
      <c r="C538" s="250"/>
      <c r="D538" s="157"/>
      <c r="E538" s="157"/>
      <c r="F538" s="157"/>
      <c r="G538" s="157"/>
      <c r="H538" s="157"/>
      <c r="I538" s="157"/>
      <c r="J538" s="248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</row>
    <row r="539" ht="15.75" customHeight="1">
      <c r="A539" s="157"/>
      <c r="B539" s="250"/>
      <c r="C539" s="250"/>
      <c r="D539" s="157"/>
      <c r="E539" s="157"/>
      <c r="F539" s="157"/>
      <c r="G539" s="157"/>
      <c r="H539" s="157"/>
      <c r="I539" s="157"/>
      <c r="J539" s="248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</row>
    <row r="540" ht="15.75" customHeight="1">
      <c r="A540" s="157"/>
      <c r="B540" s="250"/>
      <c r="C540" s="250"/>
      <c r="D540" s="157"/>
      <c r="E540" s="157"/>
      <c r="F540" s="157"/>
      <c r="G540" s="157"/>
      <c r="H540" s="157"/>
      <c r="I540" s="157"/>
      <c r="J540" s="248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</row>
    <row r="541" ht="15.75" customHeight="1">
      <c r="A541" s="157"/>
      <c r="B541" s="250"/>
      <c r="C541" s="250"/>
      <c r="D541" s="157"/>
      <c r="E541" s="157"/>
      <c r="F541" s="157"/>
      <c r="G541" s="157"/>
      <c r="H541" s="157"/>
      <c r="I541" s="157"/>
      <c r="J541" s="248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</row>
    <row r="542" ht="15.75" customHeight="1">
      <c r="A542" s="157"/>
      <c r="B542" s="250"/>
      <c r="C542" s="250"/>
      <c r="D542" s="157"/>
      <c r="E542" s="157"/>
      <c r="F542" s="157"/>
      <c r="G542" s="157"/>
      <c r="H542" s="157"/>
      <c r="I542" s="157"/>
      <c r="J542" s="248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</row>
    <row r="543" ht="15.75" customHeight="1">
      <c r="A543" s="157"/>
      <c r="B543" s="250"/>
      <c r="C543" s="250"/>
      <c r="D543" s="157"/>
      <c r="E543" s="157"/>
      <c r="F543" s="157"/>
      <c r="G543" s="157"/>
      <c r="H543" s="157"/>
      <c r="I543" s="157"/>
      <c r="J543" s="248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</row>
    <row r="544" ht="15.75" customHeight="1">
      <c r="A544" s="157"/>
      <c r="B544" s="250"/>
      <c r="C544" s="250"/>
      <c r="D544" s="157"/>
      <c r="E544" s="157"/>
      <c r="F544" s="157"/>
      <c r="G544" s="157"/>
      <c r="H544" s="157"/>
      <c r="I544" s="157"/>
      <c r="J544" s="248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</row>
    <row r="545" ht="15.75" customHeight="1">
      <c r="A545" s="157"/>
      <c r="B545" s="250"/>
      <c r="C545" s="250"/>
      <c r="D545" s="157"/>
      <c r="E545" s="157"/>
      <c r="F545" s="157"/>
      <c r="G545" s="157"/>
      <c r="H545" s="157"/>
      <c r="I545" s="157"/>
      <c r="J545" s="248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</row>
    <row r="546" ht="15.75" customHeight="1">
      <c r="A546" s="157"/>
      <c r="B546" s="250"/>
      <c r="C546" s="250"/>
      <c r="D546" s="157"/>
      <c r="E546" s="157"/>
      <c r="F546" s="157"/>
      <c r="G546" s="157"/>
      <c r="H546" s="157"/>
      <c r="I546" s="157"/>
      <c r="J546" s="248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</row>
    <row r="547" ht="15.75" customHeight="1">
      <c r="A547" s="157"/>
      <c r="B547" s="250"/>
      <c r="C547" s="250"/>
      <c r="D547" s="157"/>
      <c r="E547" s="157"/>
      <c r="F547" s="157"/>
      <c r="G547" s="157"/>
      <c r="H547" s="157"/>
      <c r="I547" s="157"/>
      <c r="J547" s="248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</row>
    <row r="548" ht="15.75" customHeight="1">
      <c r="A548" s="157"/>
      <c r="B548" s="250"/>
      <c r="C548" s="250"/>
      <c r="D548" s="157"/>
      <c r="E548" s="157"/>
      <c r="F548" s="157"/>
      <c r="G548" s="157"/>
      <c r="H548" s="157"/>
      <c r="I548" s="157"/>
      <c r="J548" s="248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</row>
    <row r="549" ht="15.75" customHeight="1">
      <c r="A549" s="157"/>
      <c r="B549" s="250"/>
      <c r="C549" s="250"/>
      <c r="D549" s="157"/>
      <c r="E549" s="157"/>
      <c r="F549" s="157"/>
      <c r="G549" s="157"/>
      <c r="H549" s="157"/>
      <c r="I549" s="157"/>
      <c r="J549" s="248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</row>
    <row r="550" ht="15.75" customHeight="1">
      <c r="A550" s="157"/>
      <c r="B550" s="250"/>
      <c r="C550" s="250"/>
      <c r="D550" s="157"/>
      <c r="E550" s="157"/>
      <c r="F550" s="157"/>
      <c r="G550" s="157"/>
      <c r="H550" s="157"/>
      <c r="I550" s="157"/>
      <c r="J550" s="248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</row>
    <row r="551" ht="15.75" customHeight="1">
      <c r="A551" s="157"/>
      <c r="B551" s="250"/>
      <c r="C551" s="250"/>
      <c r="D551" s="157"/>
      <c r="E551" s="157"/>
      <c r="F551" s="157"/>
      <c r="G551" s="157"/>
      <c r="H551" s="157"/>
      <c r="I551" s="157"/>
      <c r="J551" s="248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</row>
    <row r="552" ht="15.75" customHeight="1">
      <c r="A552" s="157"/>
      <c r="B552" s="250"/>
      <c r="C552" s="250"/>
      <c r="D552" s="157"/>
      <c r="E552" s="157"/>
      <c r="F552" s="157"/>
      <c r="G552" s="157"/>
      <c r="H552" s="157"/>
      <c r="I552" s="157"/>
      <c r="J552" s="248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</row>
    <row r="553" ht="15.75" customHeight="1">
      <c r="A553" s="157"/>
      <c r="B553" s="250"/>
      <c r="C553" s="250"/>
      <c r="D553" s="157"/>
      <c r="E553" s="157"/>
      <c r="F553" s="157"/>
      <c r="G553" s="157"/>
      <c r="H553" s="157"/>
      <c r="I553" s="157"/>
      <c r="J553" s="248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</row>
    <row r="554" ht="15.75" customHeight="1">
      <c r="A554" s="157"/>
      <c r="B554" s="250"/>
      <c r="C554" s="250"/>
      <c r="D554" s="157"/>
      <c r="E554" s="157"/>
      <c r="F554" s="157"/>
      <c r="G554" s="157"/>
      <c r="H554" s="157"/>
      <c r="I554" s="157"/>
      <c r="J554" s="248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</row>
    <row r="555" ht="15.75" customHeight="1">
      <c r="A555" s="157"/>
      <c r="B555" s="250"/>
      <c r="C555" s="250"/>
      <c r="D555" s="157"/>
      <c r="E555" s="157"/>
      <c r="F555" s="157"/>
      <c r="G555" s="157"/>
      <c r="H555" s="157"/>
      <c r="I555" s="157"/>
      <c r="J555" s="248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</row>
    <row r="556" ht="15.75" customHeight="1">
      <c r="A556" s="157"/>
      <c r="B556" s="250"/>
      <c r="C556" s="250"/>
      <c r="D556" s="157"/>
      <c r="E556" s="157"/>
      <c r="F556" s="157"/>
      <c r="G556" s="157"/>
      <c r="H556" s="157"/>
      <c r="I556" s="157"/>
      <c r="J556" s="248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</row>
    <row r="557" ht="15.75" customHeight="1">
      <c r="A557" s="157"/>
      <c r="B557" s="250"/>
      <c r="C557" s="250"/>
      <c r="D557" s="157"/>
      <c r="E557" s="157"/>
      <c r="F557" s="157"/>
      <c r="G557" s="157"/>
      <c r="H557" s="157"/>
      <c r="I557" s="157"/>
      <c r="J557" s="248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</row>
    <row r="558" ht="15.75" customHeight="1">
      <c r="A558" s="157"/>
      <c r="B558" s="250"/>
      <c r="C558" s="250"/>
      <c r="D558" s="157"/>
      <c r="E558" s="157"/>
      <c r="F558" s="157"/>
      <c r="G558" s="157"/>
      <c r="H558" s="157"/>
      <c r="I558" s="157"/>
      <c r="J558" s="248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</row>
    <row r="559" ht="15.75" customHeight="1">
      <c r="A559" s="157"/>
      <c r="B559" s="250"/>
      <c r="C559" s="250"/>
      <c r="D559" s="157"/>
      <c r="E559" s="157"/>
      <c r="F559" s="157"/>
      <c r="G559" s="157"/>
      <c r="H559" s="157"/>
      <c r="I559" s="157"/>
      <c r="J559" s="248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</row>
    <row r="560" ht="15.75" customHeight="1">
      <c r="A560" s="157"/>
      <c r="B560" s="250"/>
      <c r="C560" s="250"/>
      <c r="D560" s="157"/>
      <c r="E560" s="157"/>
      <c r="F560" s="157"/>
      <c r="G560" s="157"/>
      <c r="H560" s="157"/>
      <c r="I560" s="157"/>
      <c r="J560" s="248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</row>
    <row r="561" ht="15.75" customHeight="1">
      <c r="A561" s="157"/>
      <c r="B561" s="250"/>
      <c r="C561" s="250"/>
      <c r="D561" s="157"/>
      <c r="E561" s="157"/>
      <c r="F561" s="157"/>
      <c r="G561" s="157"/>
      <c r="H561" s="157"/>
      <c r="I561" s="157"/>
      <c r="J561" s="248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</row>
    <row r="562" ht="15.75" customHeight="1">
      <c r="A562" s="157"/>
      <c r="B562" s="250"/>
      <c r="C562" s="250"/>
      <c r="D562" s="157"/>
      <c r="E562" s="157"/>
      <c r="F562" s="157"/>
      <c r="G562" s="157"/>
      <c r="H562" s="157"/>
      <c r="I562" s="157"/>
      <c r="J562" s="248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</row>
    <row r="563" ht="15.75" customHeight="1">
      <c r="A563" s="157"/>
      <c r="B563" s="250"/>
      <c r="C563" s="250"/>
      <c r="D563" s="157"/>
      <c r="E563" s="157"/>
      <c r="F563" s="157"/>
      <c r="G563" s="157"/>
      <c r="H563" s="157"/>
      <c r="I563" s="157"/>
      <c r="J563" s="248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</row>
    <row r="564" ht="15.75" customHeight="1">
      <c r="A564" s="157"/>
      <c r="B564" s="250"/>
      <c r="C564" s="250"/>
      <c r="D564" s="157"/>
      <c r="E564" s="157"/>
      <c r="F564" s="157"/>
      <c r="G564" s="157"/>
      <c r="H564" s="157"/>
      <c r="I564" s="157"/>
      <c r="J564" s="248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</row>
    <row r="565" ht="15.75" customHeight="1">
      <c r="A565" s="157"/>
      <c r="B565" s="250"/>
      <c r="C565" s="250"/>
      <c r="D565" s="157"/>
      <c r="E565" s="157"/>
      <c r="F565" s="157"/>
      <c r="G565" s="157"/>
      <c r="H565" s="157"/>
      <c r="I565" s="157"/>
      <c r="J565" s="248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</row>
    <row r="566" ht="15.75" customHeight="1">
      <c r="A566" s="157"/>
      <c r="B566" s="250"/>
      <c r="C566" s="250"/>
      <c r="D566" s="157"/>
      <c r="E566" s="157"/>
      <c r="F566" s="157"/>
      <c r="G566" s="157"/>
      <c r="H566" s="157"/>
      <c r="I566" s="157"/>
      <c r="J566" s="248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</row>
    <row r="567" ht="15.75" customHeight="1">
      <c r="A567" s="157"/>
      <c r="B567" s="250"/>
      <c r="C567" s="250"/>
      <c r="D567" s="157"/>
      <c r="E567" s="157"/>
      <c r="F567" s="157"/>
      <c r="G567" s="157"/>
      <c r="H567" s="157"/>
      <c r="I567" s="157"/>
      <c r="J567" s="248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</row>
    <row r="568" ht="15.75" customHeight="1">
      <c r="A568" s="157"/>
      <c r="B568" s="250"/>
      <c r="C568" s="250"/>
      <c r="D568" s="157"/>
      <c r="E568" s="157"/>
      <c r="F568" s="157"/>
      <c r="G568" s="157"/>
      <c r="H568" s="157"/>
      <c r="I568" s="157"/>
      <c r="J568" s="248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</row>
    <row r="569" ht="15.75" customHeight="1">
      <c r="A569" s="157"/>
      <c r="B569" s="250"/>
      <c r="C569" s="250"/>
      <c r="D569" s="157"/>
      <c r="E569" s="157"/>
      <c r="F569" s="157"/>
      <c r="G569" s="157"/>
      <c r="H569" s="157"/>
      <c r="I569" s="157"/>
      <c r="J569" s="248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</row>
    <row r="570" ht="15.75" customHeight="1">
      <c r="A570" s="157"/>
      <c r="B570" s="250"/>
      <c r="C570" s="250"/>
      <c r="D570" s="157"/>
      <c r="E570" s="157"/>
      <c r="F570" s="157"/>
      <c r="G570" s="157"/>
      <c r="H570" s="157"/>
      <c r="I570" s="157"/>
      <c r="J570" s="248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</row>
    <row r="571" ht="15.75" customHeight="1">
      <c r="A571" s="157"/>
      <c r="B571" s="250"/>
      <c r="C571" s="250"/>
      <c r="D571" s="157"/>
      <c r="E571" s="157"/>
      <c r="F571" s="157"/>
      <c r="G571" s="157"/>
      <c r="H571" s="157"/>
      <c r="I571" s="157"/>
      <c r="J571" s="248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</row>
    <row r="572" ht="15.75" customHeight="1">
      <c r="A572" s="157"/>
      <c r="B572" s="250"/>
      <c r="C572" s="250"/>
      <c r="D572" s="157"/>
      <c r="E572" s="157"/>
      <c r="F572" s="157"/>
      <c r="G572" s="157"/>
      <c r="H572" s="157"/>
      <c r="I572" s="157"/>
      <c r="J572" s="248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</row>
    <row r="573" ht="15.75" customHeight="1">
      <c r="A573" s="157"/>
      <c r="B573" s="250"/>
      <c r="C573" s="250"/>
      <c r="D573" s="157"/>
      <c r="E573" s="157"/>
      <c r="F573" s="157"/>
      <c r="G573" s="157"/>
      <c r="H573" s="157"/>
      <c r="I573" s="157"/>
      <c r="J573" s="248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</row>
    <row r="574" ht="15.75" customHeight="1">
      <c r="A574" s="157"/>
      <c r="B574" s="250"/>
      <c r="C574" s="250"/>
      <c r="D574" s="157"/>
      <c r="E574" s="157"/>
      <c r="F574" s="157"/>
      <c r="G574" s="157"/>
      <c r="H574" s="157"/>
      <c r="I574" s="157"/>
      <c r="J574" s="248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</row>
    <row r="575" ht="15.75" customHeight="1">
      <c r="A575" s="157"/>
      <c r="B575" s="250"/>
      <c r="C575" s="250"/>
      <c r="D575" s="157"/>
      <c r="E575" s="157"/>
      <c r="F575" s="157"/>
      <c r="G575" s="157"/>
      <c r="H575" s="157"/>
      <c r="I575" s="157"/>
      <c r="J575" s="248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</row>
    <row r="576" ht="15.75" customHeight="1">
      <c r="A576" s="157"/>
      <c r="B576" s="250"/>
      <c r="C576" s="250"/>
      <c r="D576" s="157"/>
      <c r="E576" s="157"/>
      <c r="F576" s="157"/>
      <c r="G576" s="157"/>
      <c r="H576" s="157"/>
      <c r="I576" s="157"/>
      <c r="J576" s="248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</row>
    <row r="577" ht="15.75" customHeight="1">
      <c r="A577" s="157"/>
      <c r="B577" s="250"/>
      <c r="C577" s="250"/>
      <c r="D577" s="157"/>
      <c r="E577" s="157"/>
      <c r="F577" s="157"/>
      <c r="G577" s="157"/>
      <c r="H577" s="157"/>
      <c r="I577" s="157"/>
      <c r="J577" s="248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</row>
    <row r="578" ht="15.75" customHeight="1">
      <c r="A578" s="157"/>
      <c r="B578" s="250"/>
      <c r="C578" s="250"/>
      <c r="D578" s="157"/>
      <c r="E578" s="157"/>
      <c r="F578" s="157"/>
      <c r="G578" s="157"/>
      <c r="H578" s="157"/>
      <c r="I578" s="157"/>
      <c r="J578" s="248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</row>
    <row r="579" ht="15.75" customHeight="1">
      <c r="A579" s="157"/>
      <c r="B579" s="250"/>
      <c r="C579" s="250"/>
      <c r="D579" s="157"/>
      <c r="E579" s="157"/>
      <c r="F579" s="157"/>
      <c r="G579" s="157"/>
      <c r="H579" s="157"/>
      <c r="I579" s="157"/>
      <c r="J579" s="248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</row>
    <row r="580" ht="15.75" customHeight="1">
      <c r="A580" s="157"/>
      <c r="B580" s="250"/>
      <c r="C580" s="250"/>
      <c r="D580" s="157"/>
      <c r="E580" s="157"/>
      <c r="F580" s="157"/>
      <c r="G580" s="157"/>
      <c r="H580" s="157"/>
      <c r="I580" s="157"/>
      <c r="J580" s="248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</row>
    <row r="581" ht="15.75" customHeight="1">
      <c r="A581" s="157"/>
      <c r="B581" s="250"/>
      <c r="C581" s="250"/>
      <c r="D581" s="157"/>
      <c r="E581" s="157"/>
      <c r="F581" s="157"/>
      <c r="G581" s="157"/>
      <c r="H581" s="157"/>
      <c r="I581" s="157"/>
      <c r="J581" s="248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</row>
    <row r="582" ht="15.75" customHeight="1">
      <c r="A582" s="157"/>
      <c r="B582" s="250"/>
      <c r="C582" s="250"/>
      <c r="D582" s="157"/>
      <c r="E582" s="157"/>
      <c r="F582" s="157"/>
      <c r="G582" s="157"/>
      <c r="H582" s="157"/>
      <c r="I582" s="157"/>
      <c r="J582" s="248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</row>
    <row r="583" ht="15.75" customHeight="1">
      <c r="A583" s="157"/>
      <c r="B583" s="250"/>
      <c r="C583" s="250"/>
      <c r="D583" s="157"/>
      <c r="E583" s="157"/>
      <c r="F583" s="157"/>
      <c r="G583" s="157"/>
      <c r="H583" s="157"/>
      <c r="I583" s="157"/>
      <c r="J583" s="248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</row>
    <row r="584" ht="15.75" customHeight="1">
      <c r="A584" s="157"/>
      <c r="B584" s="250"/>
      <c r="C584" s="250"/>
      <c r="D584" s="157"/>
      <c r="E584" s="157"/>
      <c r="F584" s="157"/>
      <c r="G584" s="157"/>
      <c r="H584" s="157"/>
      <c r="I584" s="157"/>
      <c r="J584" s="248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</row>
    <row r="585" ht="15.75" customHeight="1">
      <c r="A585" s="157"/>
      <c r="B585" s="250"/>
      <c r="C585" s="250"/>
      <c r="D585" s="157"/>
      <c r="E585" s="157"/>
      <c r="F585" s="157"/>
      <c r="G585" s="157"/>
      <c r="H585" s="157"/>
      <c r="I585" s="157"/>
      <c r="J585" s="248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</row>
    <row r="586" ht="15.75" customHeight="1">
      <c r="A586" s="157"/>
      <c r="B586" s="250"/>
      <c r="C586" s="250"/>
      <c r="D586" s="157"/>
      <c r="E586" s="157"/>
      <c r="F586" s="157"/>
      <c r="G586" s="157"/>
      <c r="H586" s="157"/>
      <c r="I586" s="157"/>
      <c r="J586" s="248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</row>
    <row r="587" ht="15.75" customHeight="1">
      <c r="A587" s="157"/>
      <c r="B587" s="250"/>
      <c r="C587" s="250"/>
      <c r="D587" s="157"/>
      <c r="E587" s="157"/>
      <c r="F587" s="157"/>
      <c r="G587" s="157"/>
      <c r="H587" s="157"/>
      <c r="I587" s="157"/>
      <c r="J587" s="248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</row>
    <row r="588" ht="15.75" customHeight="1">
      <c r="A588" s="157"/>
      <c r="B588" s="250"/>
      <c r="C588" s="250"/>
      <c r="D588" s="157"/>
      <c r="E588" s="157"/>
      <c r="F588" s="157"/>
      <c r="G588" s="157"/>
      <c r="H588" s="157"/>
      <c r="I588" s="157"/>
      <c r="J588" s="248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</row>
    <row r="589" ht="15.75" customHeight="1">
      <c r="A589" s="157"/>
      <c r="B589" s="250"/>
      <c r="C589" s="250"/>
      <c r="D589" s="157"/>
      <c r="E589" s="157"/>
      <c r="F589" s="157"/>
      <c r="G589" s="157"/>
      <c r="H589" s="157"/>
      <c r="I589" s="157"/>
      <c r="J589" s="248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</row>
    <row r="590" ht="15.75" customHeight="1">
      <c r="A590" s="157"/>
      <c r="B590" s="250"/>
      <c r="C590" s="250"/>
      <c r="D590" s="157"/>
      <c r="E590" s="157"/>
      <c r="F590" s="157"/>
      <c r="G590" s="157"/>
      <c r="H590" s="157"/>
      <c r="I590" s="157"/>
      <c r="J590" s="248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</row>
    <row r="591" ht="15.75" customHeight="1">
      <c r="A591" s="157"/>
      <c r="B591" s="250"/>
      <c r="C591" s="250"/>
      <c r="D591" s="157"/>
      <c r="E591" s="157"/>
      <c r="F591" s="157"/>
      <c r="G591" s="157"/>
      <c r="H591" s="157"/>
      <c r="I591" s="157"/>
      <c r="J591" s="248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</row>
    <row r="592" ht="15.75" customHeight="1">
      <c r="A592" s="157"/>
      <c r="B592" s="250"/>
      <c r="C592" s="250"/>
      <c r="D592" s="157"/>
      <c r="E592" s="157"/>
      <c r="F592" s="157"/>
      <c r="G592" s="157"/>
      <c r="H592" s="157"/>
      <c r="I592" s="157"/>
      <c r="J592" s="248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</row>
    <row r="593" ht="15.75" customHeight="1">
      <c r="A593" s="157"/>
      <c r="B593" s="250"/>
      <c r="C593" s="250"/>
      <c r="D593" s="157"/>
      <c r="E593" s="157"/>
      <c r="F593" s="157"/>
      <c r="G593" s="157"/>
      <c r="H593" s="157"/>
      <c r="I593" s="157"/>
      <c r="J593" s="248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</row>
    <row r="594" ht="15.75" customHeight="1">
      <c r="A594" s="157"/>
      <c r="B594" s="250"/>
      <c r="C594" s="250"/>
      <c r="D594" s="157"/>
      <c r="E594" s="157"/>
      <c r="F594" s="157"/>
      <c r="G594" s="157"/>
      <c r="H594" s="157"/>
      <c r="I594" s="157"/>
      <c r="J594" s="248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</row>
    <row r="595" ht="15.75" customHeight="1">
      <c r="A595" s="157"/>
      <c r="B595" s="250"/>
      <c r="C595" s="250"/>
      <c r="D595" s="157"/>
      <c r="E595" s="157"/>
      <c r="F595" s="157"/>
      <c r="G595" s="157"/>
      <c r="H595" s="157"/>
      <c r="I595" s="157"/>
      <c r="J595" s="248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</row>
    <row r="596" ht="15.75" customHeight="1">
      <c r="A596" s="157"/>
      <c r="B596" s="250"/>
      <c r="C596" s="250"/>
      <c r="D596" s="157"/>
      <c r="E596" s="157"/>
      <c r="F596" s="157"/>
      <c r="G596" s="157"/>
      <c r="H596" s="157"/>
      <c r="I596" s="157"/>
      <c r="J596" s="248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</row>
    <row r="597" ht="15.75" customHeight="1">
      <c r="A597" s="157"/>
      <c r="B597" s="250"/>
      <c r="C597" s="250"/>
      <c r="D597" s="157"/>
      <c r="E597" s="157"/>
      <c r="F597" s="157"/>
      <c r="G597" s="157"/>
      <c r="H597" s="157"/>
      <c r="I597" s="157"/>
      <c r="J597" s="248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</row>
    <row r="598" ht="15.75" customHeight="1">
      <c r="A598" s="157"/>
      <c r="B598" s="250"/>
      <c r="C598" s="250"/>
      <c r="D598" s="157"/>
      <c r="E598" s="157"/>
      <c r="F598" s="157"/>
      <c r="G598" s="157"/>
      <c r="H598" s="157"/>
      <c r="I598" s="157"/>
      <c r="J598" s="248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</row>
    <row r="599" ht="15.75" customHeight="1">
      <c r="A599" s="157"/>
      <c r="B599" s="250"/>
      <c r="C599" s="250"/>
      <c r="D599" s="157"/>
      <c r="E599" s="157"/>
      <c r="F599" s="157"/>
      <c r="G599" s="157"/>
      <c r="H599" s="157"/>
      <c r="I599" s="157"/>
      <c r="J599" s="248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</row>
    <row r="600" ht="15.75" customHeight="1">
      <c r="A600" s="157"/>
      <c r="B600" s="250"/>
      <c r="C600" s="250"/>
      <c r="D600" s="157"/>
      <c r="E600" s="157"/>
      <c r="F600" s="157"/>
      <c r="G600" s="157"/>
      <c r="H600" s="157"/>
      <c r="I600" s="157"/>
      <c r="J600" s="248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</row>
    <row r="601" ht="15.75" customHeight="1">
      <c r="A601" s="157"/>
      <c r="B601" s="250"/>
      <c r="C601" s="250"/>
      <c r="D601" s="157"/>
      <c r="E601" s="157"/>
      <c r="F601" s="157"/>
      <c r="G601" s="157"/>
      <c r="H601" s="157"/>
      <c r="I601" s="157"/>
      <c r="J601" s="248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</row>
    <row r="602" ht="15.75" customHeight="1">
      <c r="A602" s="157"/>
      <c r="B602" s="250"/>
      <c r="C602" s="250"/>
      <c r="D602" s="157"/>
      <c r="E602" s="157"/>
      <c r="F602" s="157"/>
      <c r="G602" s="157"/>
      <c r="H602" s="157"/>
      <c r="I602" s="157"/>
      <c r="J602" s="248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</row>
    <row r="603" ht="15.75" customHeight="1">
      <c r="A603" s="157"/>
      <c r="B603" s="250"/>
      <c r="C603" s="250"/>
      <c r="D603" s="157"/>
      <c r="E603" s="157"/>
      <c r="F603" s="157"/>
      <c r="G603" s="157"/>
      <c r="H603" s="157"/>
      <c r="I603" s="157"/>
      <c r="J603" s="248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</row>
    <row r="604" ht="15.75" customHeight="1">
      <c r="A604" s="157"/>
      <c r="B604" s="250"/>
      <c r="C604" s="250"/>
      <c r="D604" s="157"/>
      <c r="E604" s="157"/>
      <c r="F604" s="157"/>
      <c r="G604" s="157"/>
      <c r="H604" s="157"/>
      <c r="I604" s="157"/>
      <c r="J604" s="248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</row>
    <row r="605" ht="15.75" customHeight="1">
      <c r="A605" s="157"/>
      <c r="B605" s="250"/>
      <c r="C605" s="250"/>
      <c r="D605" s="157"/>
      <c r="E605" s="157"/>
      <c r="F605" s="157"/>
      <c r="G605" s="157"/>
      <c r="H605" s="157"/>
      <c r="I605" s="157"/>
      <c r="J605" s="248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</row>
    <row r="606" ht="15.75" customHeight="1">
      <c r="A606" s="157"/>
      <c r="B606" s="250"/>
      <c r="C606" s="250"/>
      <c r="D606" s="157"/>
      <c r="E606" s="157"/>
      <c r="F606" s="157"/>
      <c r="G606" s="157"/>
      <c r="H606" s="157"/>
      <c r="I606" s="157"/>
      <c r="J606" s="248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</row>
    <row r="607" ht="15.75" customHeight="1">
      <c r="A607" s="157"/>
      <c r="B607" s="250"/>
      <c r="C607" s="250"/>
      <c r="D607" s="157"/>
      <c r="E607" s="157"/>
      <c r="F607" s="157"/>
      <c r="G607" s="157"/>
      <c r="H607" s="157"/>
      <c r="I607" s="157"/>
      <c r="J607" s="248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</row>
    <row r="608" ht="15.75" customHeight="1">
      <c r="A608" s="157"/>
      <c r="B608" s="250"/>
      <c r="C608" s="250"/>
      <c r="D608" s="157"/>
      <c r="E608" s="157"/>
      <c r="F608" s="157"/>
      <c r="G608" s="157"/>
      <c r="H608" s="157"/>
      <c r="I608" s="157"/>
      <c r="J608" s="248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</row>
    <row r="609" ht="15.75" customHeight="1">
      <c r="A609" s="157"/>
      <c r="B609" s="250"/>
      <c r="C609" s="250"/>
      <c r="D609" s="157"/>
      <c r="E609" s="157"/>
      <c r="F609" s="157"/>
      <c r="G609" s="157"/>
      <c r="H609" s="157"/>
      <c r="I609" s="157"/>
      <c r="J609" s="248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</row>
    <row r="610" ht="15.75" customHeight="1">
      <c r="A610" s="157"/>
      <c r="B610" s="250"/>
      <c r="C610" s="250"/>
      <c r="D610" s="157"/>
      <c r="E610" s="157"/>
      <c r="F610" s="157"/>
      <c r="G610" s="157"/>
      <c r="H610" s="157"/>
      <c r="I610" s="157"/>
      <c r="J610" s="248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</row>
    <row r="611" ht="15.75" customHeight="1">
      <c r="A611" s="157"/>
      <c r="B611" s="250"/>
      <c r="C611" s="250"/>
      <c r="D611" s="157"/>
      <c r="E611" s="157"/>
      <c r="F611" s="157"/>
      <c r="G611" s="157"/>
      <c r="H611" s="157"/>
      <c r="I611" s="157"/>
      <c r="J611" s="248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</row>
    <row r="612" ht="15.75" customHeight="1">
      <c r="A612" s="157"/>
      <c r="B612" s="250"/>
      <c r="C612" s="250"/>
      <c r="D612" s="157"/>
      <c r="E612" s="157"/>
      <c r="F612" s="157"/>
      <c r="G612" s="157"/>
      <c r="H612" s="157"/>
      <c r="I612" s="157"/>
      <c r="J612" s="248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</row>
    <row r="613" ht="15.75" customHeight="1">
      <c r="A613" s="157"/>
      <c r="B613" s="250"/>
      <c r="C613" s="250"/>
      <c r="D613" s="157"/>
      <c r="E613" s="157"/>
      <c r="F613" s="157"/>
      <c r="G613" s="157"/>
      <c r="H613" s="157"/>
      <c r="I613" s="157"/>
      <c r="J613" s="248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</row>
    <row r="614" ht="15.75" customHeight="1">
      <c r="A614" s="157"/>
      <c r="B614" s="250"/>
      <c r="C614" s="250"/>
      <c r="D614" s="157"/>
      <c r="E614" s="157"/>
      <c r="F614" s="157"/>
      <c r="G614" s="157"/>
      <c r="H614" s="157"/>
      <c r="I614" s="157"/>
      <c r="J614" s="248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</row>
    <row r="615" ht="15.75" customHeight="1">
      <c r="A615" s="157"/>
      <c r="B615" s="250"/>
      <c r="C615" s="250"/>
      <c r="D615" s="157"/>
      <c r="E615" s="157"/>
      <c r="F615" s="157"/>
      <c r="G615" s="157"/>
      <c r="H615" s="157"/>
      <c r="I615" s="157"/>
      <c r="J615" s="248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</row>
    <row r="616" ht="15.75" customHeight="1">
      <c r="A616" s="157"/>
      <c r="B616" s="250"/>
      <c r="C616" s="250"/>
      <c r="D616" s="157"/>
      <c r="E616" s="157"/>
      <c r="F616" s="157"/>
      <c r="G616" s="157"/>
      <c r="H616" s="157"/>
      <c r="I616" s="157"/>
      <c r="J616" s="248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</row>
    <row r="617" ht="15.75" customHeight="1">
      <c r="A617" s="157"/>
      <c r="B617" s="250"/>
      <c r="C617" s="250"/>
      <c r="D617" s="157"/>
      <c r="E617" s="157"/>
      <c r="F617" s="157"/>
      <c r="G617" s="157"/>
      <c r="H617" s="157"/>
      <c r="I617" s="157"/>
      <c r="J617" s="248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</row>
    <row r="618" ht="15.75" customHeight="1">
      <c r="A618" s="157"/>
      <c r="B618" s="250"/>
      <c r="C618" s="250"/>
      <c r="D618" s="157"/>
      <c r="E618" s="157"/>
      <c r="F618" s="157"/>
      <c r="G618" s="157"/>
      <c r="H618" s="157"/>
      <c r="I618" s="157"/>
      <c r="J618" s="248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</row>
    <row r="619" ht="15.75" customHeight="1">
      <c r="A619" s="157"/>
      <c r="B619" s="250"/>
      <c r="C619" s="250"/>
      <c r="D619" s="157"/>
      <c r="E619" s="157"/>
      <c r="F619" s="157"/>
      <c r="G619" s="157"/>
      <c r="H619" s="157"/>
      <c r="I619" s="157"/>
      <c r="J619" s="248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</row>
    <row r="620" ht="15.75" customHeight="1">
      <c r="A620" s="157"/>
      <c r="B620" s="250"/>
      <c r="C620" s="250"/>
      <c r="D620" s="157"/>
      <c r="E620" s="157"/>
      <c r="F620" s="157"/>
      <c r="G620" s="157"/>
      <c r="H620" s="157"/>
      <c r="I620" s="157"/>
      <c r="J620" s="248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</row>
    <row r="621" ht="15.75" customHeight="1">
      <c r="A621" s="157"/>
      <c r="B621" s="250"/>
      <c r="C621" s="250"/>
      <c r="D621" s="157"/>
      <c r="E621" s="157"/>
      <c r="F621" s="157"/>
      <c r="G621" s="157"/>
      <c r="H621" s="157"/>
      <c r="I621" s="157"/>
      <c r="J621" s="248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</row>
    <row r="622" ht="15.75" customHeight="1">
      <c r="A622" s="157"/>
      <c r="B622" s="250"/>
      <c r="C622" s="250"/>
      <c r="D622" s="157"/>
      <c r="E622" s="157"/>
      <c r="F622" s="157"/>
      <c r="G622" s="157"/>
      <c r="H622" s="157"/>
      <c r="I622" s="157"/>
      <c r="J622" s="248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</row>
    <row r="623" ht="15.75" customHeight="1">
      <c r="A623" s="157"/>
      <c r="B623" s="250"/>
      <c r="C623" s="250"/>
      <c r="D623" s="157"/>
      <c r="E623" s="157"/>
      <c r="F623" s="157"/>
      <c r="G623" s="157"/>
      <c r="H623" s="157"/>
      <c r="I623" s="157"/>
      <c r="J623" s="248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</row>
    <row r="624" ht="15.75" customHeight="1">
      <c r="A624" s="157"/>
      <c r="B624" s="250"/>
      <c r="C624" s="250"/>
      <c r="D624" s="157"/>
      <c r="E624" s="157"/>
      <c r="F624" s="157"/>
      <c r="G624" s="157"/>
      <c r="H624" s="157"/>
      <c r="I624" s="157"/>
      <c r="J624" s="248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</row>
    <row r="625" ht="15.75" customHeight="1">
      <c r="A625" s="157"/>
      <c r="B625" s="250"/>
      <c r="C625" s="250"/>
      <c r="D625" s="157"/>
      <c r="E625" s="157"/>
      <c r="F625" s="157"/>
      <c r="G625" s="157"/>
      <c r="H625" s="157"/>
      <c r="I625" s="157"/>
      <c r="J625" s="248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</row>
    <row r="626" ht="15.75" customHeight="1">
      <c r="A626" s="157"/>
      <c r="B626" s="250"/>
      <c r="C626" s="250"/>
      <c r="D626" s="157"/>
      <c r="E626" s="157"/>
      <c r="F626" s="157"/>
      <c r="G626" s="157"/>
      <c r="H626" s="157"/>
      <c r="I626" s="157"/>
      <c r="J626" s="248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</row>
    <row r="627" ht="15.75" customHeight="1">
      <c r="A627" s="157"/>
      <c r="B627" s="250"/>
      <c r="C627" s="250"/>
      <c r="D627" s="157"/>
      <c r="E627" s="157"/>
      <c r="F627" s="157"/>
      <c r="G627" s="157"/>
      <c r="H627" s="157"/>
      <c r="I627" s="157"/>
      <c r="J627" s="248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</row>
    <row r="628" ht="15.75" customHeight="1">
      <c r="A628" s="157"/>
      <c r="B628" s="250"/>
      <c r="C628" s="250"/>
      <c r="D628" s="157"/>
      <c r="E628" s="157"/>
      <c r="F628" s="157"/>
      <c r="G628" s="157"/>
      <c r="H628" s="157"/>
      <c r="I628" s="157"/>
      <c r="J628" s="248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</row>
    <row r="629" ht="15.75" customHeight="1">
      <c r="A629" s="157"/>
      <c r="B629" s="250"/>
      <c r="C629" s="250"/>
      <c r="D629" s="157"/>
      <c r="E629" s="157"/>
      <c r="F629" s="157"/>
      <c r="G629" s="157"/>
      <c r="H629" s="157"/>
      <c r="I629" s="157"/>
      <c r="J629" s="248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</row>
    <row r="630" ht="15.75" customHeight="1">
      <c r="A630" s="157"/>
      <c r="B630" s="250"/>
      <c r="C630" s="250"/>
      <c r="D630" s="157"/>
      <c r="E630" s="157"/>
      <c r="F630" s="157"/>
      <c r="G630" s="157"/>
      <c r="H630" s="157"/>
      <c r="I630" s="157"/>
      <c r="J630" s="248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</row>
    <row r="631" ht="15.75" customHeight="1">
      <c r="A631" s="157"/>
      <c r="B631" s="250"/>
      <c r="C631" s="250"/>
      <c r="D631" s="157"/>
      <c r="E631" s="157"/>
      <c r="F631" s="157"/>
      <c r="G631" s="157"/>
      <c r="H631" s="157"/>
      <c r="I631" s="157"/>
      <c r="J631" s="248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</row>
    <row r="632" ht="15.75" customHeight="1">
      <c r="A632" s="157"/>
      <c r="B632" s="250"/>
      <c r="C632" s="250"/>
      <c r="D632" s="157"/>
      <c r="E632" s="157"/>
      <c r="F632" s="157"/>
      <c r="G632" s="157"/>
      <c r="H632" s="157"/>
      <c r="I632" s="157"/>
      <c r="J632" s="248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</row>
    <row r="633" ht="15.75" customHeight="1">
      <c r="A633" s="157"/>
      <c r="B633" s="250"/>
      <c r="C633" s="250"/>
      <c r="D633" s="157"/>
      <c r="E633" s="157"/>
      <c r="F633" s="157"/>
      <c r="G633" s="157"/>
      <c r="H633" s="157"/>
      <c r="I633" s="157"/>
      <c r="J633" s="248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</row>
    <row r="634" ht="15.75" customHeight="1">
      <c r="A634" s="157"/>
      <c r="B634" s="250"/>
      <c r="C634" s="250"/>
      <c r="D634" s="157"/>
      <c r="E634" s="157"/>
      <c r="F634" s="157"/>
      <c r="G634" s="157"/>
      <c r="H634" s="157"/>
      <c r="I634" s="157"/>
      <c r="J634" s="248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</row>
    <row r="635" ht="15.75" customHeight="1">
      <c r="A635" s="157"/>
      <c r="B635" s="250"/>
      <c r="C635" s="250"/>
      <c r="D635" s="157"/>
      <c r="E635" s="157"/>
      <c r="F635" s="157"/>
      <c r="G635" s="157"/>
      <c r="H635" s="157"/>
      <c r="I635" s="157"/>
      <c r="J635" s="248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</row>
    <row r="636" ht="15.75" customHeight="1">
      <c r="A636" s="157"/>
      <c r="B636" s="250"/>
      <c r="C636" s="250"/>
      <c r="D636" s="157"/>
      <c r="E636" s="157"/>
      <c r="F636" s="157"/>
      <c r="G636" s="157"/>
      <c r="H636" s="157"/>
      <c r="I636" s="157"/>
      <c r="J636" s="248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</row>
    <row r="637" ht="15.75" customHeight="1">
      <c r="A637" s="157"/>
      <c r="B637" s="250"/>
      <c r="C637" s="250"/>
      <c r="D637" s="157"/>
      <c r="E637" s="157"/>
      <c r="F637" s="157"/>
      <c r="G637" s="157"/>
      <c r="H637" s="157"/>
      <c r="I637" s="157"/>
      <c r="J637" s="248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</row>
    <row r="638" ht="15.75" customHeight="1">
      <c r="A638" s="157"/>
      <c r="B638" s="250"/>
      <c r="C638" s="250"/>
      <c r="D638" s="157"/>
      <c r="E638" s="157"/>
      <c r="F638" s="157"/>
      <c r="G638" s="157"/>
      <c r="H638" s="157"/>
      <c r="I638" s="157"/>
      <c r="J638" s="248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</row>
    <row r="639" ht="15.75" customHeight="1">
      <c r="A639" s="157"/>
      <c r="B639" s="250"/>
      <c r="C639" s="250"/>
      <c r="D639" s="157"/>
      <c r="E639" s="157"/>
      <c r="F639" s="157"/>
      <c r="G639" s="157"/>
      <c r="H639" s="157"/>
      <c r="I639" s="157"/>
      <c r="J639" s="248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</row>
    <row r="640" ht="15.75" customHeight="1">
      <c r="A640" s="157"/>
      <c r="B640" s="250"/>
      <c r="C640" s="250"/>
      <c r="D640" s="157"/>
      <c r="E640" s="157"/>
      <c r="F640" s="157"/>
      <c r="G640" s="157"/>
      <c r="H640" s="157"/>
      <c r="I640" s="157"/>
      <c r="J640" s="248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</row>
    <row r="641" ht="15.75" customHeight="1">
      <c r="A641" s="157"/>
      <c r="B641" s="250"/>
      <c r="C641" s="250"/>
      <c r="D641" s="157"/>
      <c r="E641" s="157"/>
      <c r="F641" s="157"/>
      <c r="G641" s="157"/>
      <c r="H641" s="157"/>
      <c r="I641" s="157"/>
      <c r="J641" s="248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</row>
    <row r="642" ht="15.75" customHeight="1">
      <c r="A642" s="157"/>
      <c r="B642" s="250"/>
      <c r="C642" s="250"/>
      <c r="D642" s="157"/>
      <c r="E642" s="157"/>
      <c r="F642" s="157"/>
      <c r="G642" s="157"/>
      <c r="H642" s="157"/>
      <c r="I642" s="157"/>
      <c r="J642" s="248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</row>
    <row r="643" ht="15.75" customHeight="1">
      <c r="A643" s="157"/>
      <c r="B643" s="250"/>
      <c r="C643" s="250"/>
      <c r="D643" s="157"/>
      <c r="E643" s="157"/>
      <c r="F643" s="157"/>
      <c r="G643" s="157"/>
      <c r="H643" s="157"/>
      <c r="I643" s="157"/>
      <c r="J643" s="248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</row>
    <row r="644" ht="15.75" customHeight="1">
      <c r="A644" s="157"/>
      <c r="B644" s="250"/>
      <c r="C644" s="250"/>
      <c r="D644" s="157"/>
      <c r="E644" s="157"/>
      <c r="F644" s="157"/>
      <c r="G644" s="157"/>
      <c r="H644" s="157"/>
      <c r="I644" s="157"/>
      <c r="J644" s="248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</row>
    <row r="645" ht="15.75" customHeight="1">
      <c r="A645" s="157"/>
      <c r="B645" s="250"/>
      <c r="C645" s="250"/>
      <c r="D645" s="157"/>
      <c r="E645" s="157"/>
      <c r="F645" s="157"/>
      <c r="G645" s="157"/>
      <c r="H645" s="157"/>
      <c r="I645" s="157"/>
      <c r="J645" s="248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</row>
    <row r="646" ht="15.75" customHeight="1">
      <c r="A646" s="157"/>
      <c r="B646" s="250"/>
      <c r="C646" s="250"/>
      <c r="D646" s="157"/>
      <c r="E646" s="157"/>
      <c r="F646" s="157"/>
      <c r="G646" s="157"/>
      <c r="H646" s="157"/>
      <c r="I646" s="157"/>
      <c r="J646" s="248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</row>
    <row r="647" ht="15.75" customHeight="1">
      <c r="A647" s="157"/>
      <c r="B647" s="250"/>
      <c r="C647" s="250"/>
      <c r="D647" s="157"/>
      <c r="E647" s="157"/>
      <c r="F647" s="157"/>
      <c r="G647" s="157"/>
      <c r="H647" s="157"/>
      <c r="I647" s="157"/>
      <c r="J647" s="248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</row>
    <row r="648" ht="15.75" customHeight="1">
      <c r="A648" s="157"/>
      <c r="B648" s="250"/>
      <c r="C648" s="250"/>
      <c r="D648" s="157"/>
      <c r="E648" s="157"/>
      <c r="F648" s="157"/>
      <c r="G648" s="157"/>
      <c r="H648" s="157"/>
      <c r="I648" s="157"/>
      <c r="J648" s="248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</row>
    <row r="649" ht="15.75" customHeight="1">
      <c r="A649" s="157"/>
      <c r="B649" s="250"/>
      <c r="C649" s="250"/>
      <c r="D649" s="157"/>
      <c r="E649" s="157"/>
      <c r="F649" s="157"/>
      <c r="G649" s="157"/>
      <c r="H649" s="157"/>
      <c r="I649" s="157"/>
      <c r="J649" s="248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</row>
    <row r="650" ht="15.75" customHeight="1">
      <c r="A650" s="157"/>
      <c r="B650" s="250"/>
      <c r="C650" s="250"/>
      <c r="D650" s="157"/>
      <c r="E650" s="157"/>
      <c r="F650" s="157"/>
      <c r="G650" s="157"/>
      <c r="H650" s="157"/>
      <c r="I650" s="157"/>
      <c r="J650" s="248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</row>
    <row r="651" ht="15.75" customHeight="1">
      <c r="A651" s="157"/>
      <c r="B651" s="250"/>
      <c r="C651" s="250"/>
      <c r="D651" s="157"/>
      <c r="E651" s="157"/>
      <c r="F651" s="157"/>
      <c r="G651" s="157"/>
      <c r="H651" s="157"/>
      <c r="I651" s="157"/>
      <c r="J651" s="248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</row>
    <row r="652" ht="15.75" customHeight="1">
      <c r="A652" s="157"/>
      <c r="B652" s="250"/>
      <c r="C652" s="250"/>
      <c r="D652" s="157"/>
      <c r="E652" s="157"/>
      <c r="F652" s="157"/>
      <c r="G652" s="157"/>
      <c r="H652" s="157"/>
      <c r="I652" s="157"/>
      <c r="J652" s="248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</row>
    <row r="653" ht="15.75" customHeight="1">
      <c r="A653" s="157"/>
      <c r="B653" s="250"/>
      <c r="C653" s="250"/>
      <c r="D653" s="157"/>
      <c r="E653" s="157"/>
      <c r="F653" s="157"/>
      <c r="G653" s="157"/>
      <c r="H653" s="157"/>
      <c r="I653" s="157"/>
      <c r="J653" s="248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</row>
    <row r="654" ht="15.75" customHeight="1">
      <c r="A654" s="157"/>
      <c r="B654" s="250"/>
      <c r="C654" s="250"/>
      <c r="D654" s="157"/>
      <c r="E654" s="157"/>
      <c r="F654" s="157"/>
      <c r="G654" s="157"/>
      <c r="H654" s="157"/>
      <c r="I654" s="157"/>
      <c r="J654" s="248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</row>
    <row r="655" ht="15.75" customHeight="1">
      <c r="A655" s="157"/>
      <c r="B655" s="250"/>
      <c r="C655" s="250"/>
      <c r="D655" s="157"/>
      <c r="E655" s="157"/>
      <c r="F655" s="157"/>
      <c r="G655" s="157"/>
      <c r="H655" s="157"/>
      <c r="I655" s="157"/>
      <c r="J655" s="248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</row>
    <row r="656" ht="15.75" customHeight="1">
      <c r="A656" s="157"/>
      <c r="B656" s="250"/>
      <c r="C656" s="250"/>
      <c r="D656" s="157"/>
      <c r="E656" s="157"/>
      <c r="F656" s="157"/>
      <c r="G656" s="157"/>
      <c r="H656" s="157"/>
      <c r="I656" s="157"/>
      <c r="J656" s="248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</row>
    <row r="657" ht="15.75" customHeight="1">
      <c r="A657" s="157"/>
      <c r="B657" s="250"/>
      <c r="C657" s="250"/>
      <c r="D657" s="157"/>
      <c r="E657" s="157"/>
      <c r="F657" s="157"/>
      <c r="G657" s="157"/>
      <c r="H657" s="157"/>
      <c r="I657" s="157"/>
      <c r="J657" s="248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</row>
    <row r="658" ht="15.75" customHeight="1">
      <c r="A658" s="157"/>
      <c r="B658" s="250"/>
      <c r="C658" s="250"/>
      <c r="D658" s="157"/>
      <c r="E658" s="157"/>
      <c r="F658" s="157"/>
      <c r="G658" s="157"/>
      <c r="H658" s="157"/>
      <c r="I658" s="157"/>
      <c r="J658" s="248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</row>
    <row r="659" ht="15.75" customHeight="1">
      <c r="A659" s="157"/>
      <c r="B659" s="250"/>
      <c r="C659" s="250"/>
      <c r="D659" s="157"/>
      <c r="E659" s="157"/>
      <c r="F659" s="157"/>
      <c r="G659" s="157"/>
      <c r="H659" s="157"/>
      <c r="I659" s="157"/>
      <c r="J659" s="248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</row>
    <row r="660" ht="15.75" customHeight="1">
      <c r="A660" s="157"/>
      <c r="B660" s="250"/>
      <c r="C660" s="250"/>
      <c r="D660" s="157"/>
      <c r="E660" s="157"/>
      <c r="F660" s="157"/>
      <c r="G660" s="157"/>
      <c r="H660" s="157"/>
      <c r="I660" s="157"/>
      <c r="J660" s="248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</row>
    <row r="661" ht="15.75" customHeight="1">
      <c r="A661" s="157"/>
      <c r="B661" s="250"/>
      <c r="C661" s="250"/>
      <c r="D661" s="157"/>
      <c r="E661" s="157"/>
      <c r="F661" s="157"/>
      <c r="G661" s="157"/>
      <c r="H661" s="157"/>
      <c r="I661" s="157"/>
      <c r="J661" s="248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</row>
    <row r="662" ht="15.75" customHeight="1">
      <c r="A662" s="157"/>
      <c r="B662" s="250"/>
      <c r="C662" s="250"/>
      <c r="D662" s="157"/>
      <c r="E662" s="157"/>
      <c r="F662" s="157"/>
      <c r="G662" s="157"/>
      <c r="H662" s="157"/>
      <c r="I662" s="157"/>
      <c r="J662" s="248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</row>
    <row r="663" ht="15.75" customHeight="1">
      <c r="A663" s="157"/>
      <c r="B663" s="250"/>
      <c r="C663" s="250"/>
      <c r="D663" s="157"/>
      <c r="E663" s="157"/>
      <c r="F663" s="157"/>
      <c r="G663" s="157"/>
      <c r="H663" s="157"/>
      <c r="I663" s="157"/>
      <c r="J663" s="248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</row>
    <row r="664" ht="15.75" customHeight="1">
      <c r="A664" s="157"/>
      <c r="B664" s="250"/>
      <c r="C664" s="250"/>
      <c r="D664" s="157"/>
      <c r="E664" s="157"/>
      <c r="F664" s="157"/>
      <c r="G664" s="157"/>
      <c r="H664" s="157"/>
      <c r="I664" s="157"/>
      <c r="J664" s="248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</row>
    <row r="665" ht="15.75" customHeight="1">
      <c r="A665" s="157"/>
      <c r="B665" s="250"/>
      <c r="C665" s="250"/>
      <c r="D665" s="157"/>
      <c r="E665" s="157"/>
      <c r="F665" s="157"/>
      <c r="G665" s="157"/>
      <c r="H665" s="157"/>
      <c r="I665" s="157"/>
      <c r="J665" s="248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</row>
    <row r="666" ht="15.75" customHeight="1">
      <c r="A666" s="157"/>
      <c r="B666" s="250"/>
      <c r="C666" s="250"/>
      <c r="D666" s="157"/>
      <c r="E666" s="157"/>
      <c r="F666" s="157"/>
      <c r="G666" s="157"/>
      <c r="H666" s="157"/>
      <c r="I666" s="157"/>
      <c r="J666" s="248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</row>
    <row r="667" ht="15.75" customHeight="1">
      <c r="A667" s="157"/>
      <c r="B667" s="250"/>
      <c r="C667" s="250"/>
      <c r="D667" s="157"/>
      <c r="E667" s="157"/>
      <c r="F667" s="157"/>
      <c r="G667" s="157"/>
      <c r="H667" s="157"/>
      <c r="I667" s="157"/>
      <c r="J667" s="248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</row>
    <row r="668" ht="15.75" customHeight="1">
      <c r="A668" s="157"/>
      <c r="B668" s="250"/>
      <c r="C668" s="250"/>
      <c r="D668" s="157"/>
      <c r="E668" s="157"/>
      <c r="F668" s="157"/>
      <c r="G668" s="157"/>
      <c r="H668" s="157"/>
      <c r="I668" s="157"/>
      <c r="J668" s="248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</row>
    <row r="669" ht="15.75" customHeight="1">
      <c r="A669" s="157"/>
      <c r="B669" s="250"/>
      <c r="C669" s="250"/>
      <c r="D669" s="157"/>
      <c r="E669" s="157"/>
      <c r="F669" s="157"/>
      <c r="G669" s="157"/>
      <c r="H669" s="157"/>
      <c r="I669" s="157"/>
      <c r="J669" s="248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</row>
    <row r="670" ht="15.75" customHeight="1">
      <c r="A670" s="157"/>
      <c r="B670" s="250"/>
      <c r="C670" s="250"/>
      <c r="D670" s="157"/>
      <c r="E670" s="157"/>
      <c r="F670" s="157"/>
      <c r="G670" s="157"/>
      <c r="H670" s="157"/>
      <c r="I670" s="157"/>
      <c r="J670" s="248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</row>
    <row r="671" ht="15.75" customHeight="1">
      <c r="A671" s="157"/>
      <c r="B671" s="250"/>
      <c r="C671" s="250"/>
      <c r="D671" s="157"/>
      <c r="E671" s="157"/>
      <c r="F671" s="157"/>
      <c r="G671" s="157"/>
      <c r="H671" s="157"/>
      <c r="I671" s="157"/>
      <c r="J671" s="248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</row>
    <row r="672" ht="15.75" customHeight="1">
      <c r="A672" s="157"/>
      <c r="B672" s="250"/>
      <c r="C672" s="250"/>
      <c r="D672" s="157"/>
      <c r="E672" s="157"/>
      <c r="F672" s="157"/>
      <c r="G672" s="157"/>
      <c r="H672" s="157"/>
      <c r="I672" s="157"/>
      <c r="J672" s="248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</row>
    <row r="673" ht="15.75" customHeight="1">
      <c r="A673" s="157"/>
      <c r="B673" s="250"/>
      <c r="C673" s="250"/>
      <c r="D673" s="157"/>
      <c r="E673" s="157"/>
      <c r="F673" s="157"/>
      <c r="G673" s="157"/>
      <c r="H673" s="157"/>
      <c r="I673" s="157"/>
      <c r="J673" s="248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</row>
    <row r="674" ht="15.75" customHeight="1">
      <c r="A674" s="157"/>
      <c r="B674" s="250"/>
      <c r="C674" s="250"/>
      <c r="D674" s="157"/>
      <c r="E674" s="157"/>
      <c r="F674" s="157"/>
      <c r="G674" s="157"/>
      <c r="H674" s="157"/>
      <c r="I674" s="157"/>
      <c r="J674" s="248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</row>
    <row r="675" ht="15.75" customHeight="1">
      <c r="A675" s="157"/>
      <c r="B675" s="250"/>
      <c r="C675" s="250"/>
      <c r="D675" s="157"/>
      <c r="E675" s="157"/>
      <c r="F675" s="157"/>
      <c r="G675" s="157"/>
      <c r="H675" s="157"/>
      <c r="I675" s="157"/>
      <c r="J675" s="248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</row>
    <row r="676" ht="15.75" customHeight="1">
      <c r="A676" s="157"/>
      <c r="B676" s="250"/>
      <c r="C676" s="250"/>
      <c r="D676" s="157"/>
      <c r="E676" s="157"/>
      <c r="F676" s="157"/>
      <c r="G676" s="157"/>
      <c r="H676" s="157"/>
      <c r="I676" s="157"/>
      <c r="J676" s="248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</row>
    <row r="677" ht="15.75" customHeight="1">
      <c r="A677" s="157"/>
      <c r="B677" s="250"/>
      <c r="C677" s="250"/>
      <c r="D677" s="157"/>
      <c r="E677" s="157"/>
      <c r="F677" s="157"/>
      <c r="G677" s="157"/>
      <c r="H677" s="157"/>
      <c r="I677" s="157"/>
      <c r="J677" s="248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</row>
    <row r="678" ht="15.75" customHeight="1">
      <c r="A678" s="157"/>
      <c r="B678" s="250"/>
      <c r="C678" s="250"/>
      <c r="D678" s="157"/>
      <c r="E678" s="157"/>
      <c r="F678" s="157"/>
      <c r="G678" s="157"/>
      <c r="H678" s="157"/>
      <c r="I678" s="157"/>
      <c r="J678" s="248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</row>
    <row r="679" ht="15.75" customHeight="1">
      <c r="A679" s="157"/>
      <c r="B679" s="250"/>
      <c r="C679" s="250"/>
      <c r="D679" s="157"/>
      <c r="E679" s="157"/>
      <c r="F679" s="157"/>
      <c r="G679" s="157"/>
      <c r="H679" s="157"/>
      <c r="I679" s="157"/>
      <c r="J679" s="248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</row>
    <row r="680" ht="15.75" customHeight="1">
      <c r="A680" s="157"/>
      <c r="B680" s="250"/>
      <c r="C680" s="250"/>
      <c r="D680" s="157"/>
      <c r="E680" s="157"/>
      <c r="F680" s="157"/>
      <c r="G680" s="157"/>
      <c r="H680" s="157"/>
      <c r="I680" s="157"/>
      <c r="J680" s="248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</row>
    <row r="681" ht="15.75" customHeight="1">
      <c r="A681" s="157"/>
      <c r="B681" s="250"/>
      <c r="C681" s="250"/>
      <c r="D681" s="157"/>
      <c r="E681" s="157"/>
      <c r="F681" s="157"/>
      <c r="G681" s="157"/>
      <c r="H681" s="157"/>
      <c r="I681" s="157"/>
      <c r="J681" s="248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</row>
    <row r="682" ht="15.75" customHeight="1">
      <c r="A682" s="157"/>
      <c r="B682" s="250"/>
      <c r="C682" s="250"/>
      <c r="D682" s="157"/>
      <c r="E682" s="157"/>
      <c r="F682" s="157"/>
      <c r="G682" s="157"/>
      <c r="H682" s="157"/>
      <c r="I682" s="157"/>
      <c r="J682" s="248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</row>
    <row r="683" ht="15.75" customHeight="1">
      <c r="A683" s="157"/>
      <c r="B683" s="250"/>
      <c r="C683" s="250"/>
      <c r="D683" s="157"/>
      <c r="E683" s="157"/>
      <c r="F683" s="157"/>
      <c r="G683" s="157"/>
      <c r="H683" s="157"/>
      <c r="I683" s="157"/>
      <c r="J683" s="248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</row>
    <row r="684" ht="15.75" customHeight="1">
      <c r="A684" s="157"/>
      <c r="B684" s="250"/>
      <c r="C684" s="250"/>
      <c r="D684" s="157"/>
      <c r="E684" s="157"/>
      <c r="F684" s="157"/>
      <c r="G684" s="157"/>
      <c r="H684" s="157"/>
      <c r="I684" s="157"/>
      <c r="J684" s="248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</row>
    <row r="685" ht="15.75" customHeight="1">
      <c r="A685" s="157"/>
      <c r="B685" s="250"/>
      <c r="C685" s="250"/>
      <c r="D685" s="157"/>
      <c r="E685" s="157"/>
      <c r="F685" s="157"/>
      <c r="G685" s="157"/>
      <c r="H685" s="157"/>
      <c r="I685" s="157"/>
      <c r="J685" s="248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</row>
    <row r="686" ht="15.75" customHeight="1">
      <c r="A686" s="157"/>
      <c r="B686" s="250"/>
      <c r="C686" s="250"/>
      <c r="D686" s="157"/>
      <c r="E686" s="157"/>
      <c r="F686" s="157"/>
      <c r="G686" s="157"/>
      <c r="H686" s="157"/>
      <c r="I686" s="157"/>
      <c r="J686" s="248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</row>
    <row r="687" ht="15.75" customHeight="1">
      <c r="A687" s="157"/>
      <c r="B687" s="250"/>
      <c r="C687" s="250"/>
      <c r="D687" s="157"/>
      <c r="E687" s="157"/>
      <c r="F687" s="157"/>
      <c r="G687" s="157"/>
      <c r="H687" s="157"/>
      <c r="I687" s="157"/>
      <c r="J687" s="248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</row>
    <row r="688" ht="15.75" customHeight="1">
      <c r="A688" s="157"/>
      <c r="B688" s="250"/>
      <c r="C688" s="250"/>
      <c r="D688" s="157"/>
      <c r="E688" s="157"/>
      <c r="F688" s="157"/>
      <c r="G688" s="157"/>
      <c r="H688" s="157"/>
      <c r="I688" s="157"/>
      <c r="J688" s="248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</row>
    <row r="689" ht="15.75" customHeight="1">
      <c r="A689" s="157"/>
      <c r="B689" s="250"/>
      <c r="C689" s="250"/>
      <c r="D689" s="157"/>
      <c r="E689" s="157"/>
      <c r="F689" s="157"/>
      <c r="G689" s="157"/>
      <c r="H689" s="157"/>
      <c r="I689" s="157"/>
      <c r="J689" s="248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</row>
    <row r="690" ht="15.75" customHeight="1">
      <c r="A690" s="157"/>
      <c r="B690" s="250"/>
      <c r="C690" s="250"/>
      <c r="D690" s="157"/>
      <c r="E690" s="157"/>
      <c r="F690" s="157"/>
      <c r="G690" s="157"/>
      <c r="H690" s="157"/>
      <c r="I690" s="157"/>
      <c r="J690" s="248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</row>
    <row r="691" ht="15.75" customHeight="1">
      <c r="A691" s="157"/>
      <c r="B691" s="250"/>
      <c r="C691" s="250"/>
      <c r="D691" s="157"/>
      <c r="E691" s="157"/>
      <c r="F691" s="157"/>
      <c r="G691" s="157"/>
      <c r="H691" s="157"/>
      <c r="I691" s="157"/>
      <c r="J691" s="248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</row>
    <row r="692" ht="15.75" customHeight="1">
      <c r="A692" s="157"/>
      <c r="B692" s="250"/>
      <c r="C692" s="250"/>
      <c r="D692" s="157"/>
      <c r="E692" s="157"/>
      <c r="F692" s="157"/>
      <c r="G692" s="157"/>
      <c r="H692" s="157"/>
      <c r="I692" s="157"/>
      <c r="J692" s="248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</row>
    <row r="693" ht="15.75" customHeight="1">
      <c r="A693" s="157"/>
      <c r="B693" s="250"/>
      <c r="C693" s="250"/>
      <c r="D693" s="157"/>
      <c r="E693" s="157"/>
      <c r="F693" s="157"/>
      <c r="G693" s="157"/>
      <c r="H693" s="157"/>
      <c r="I693" s="157"/>
      <c r="J693" s="248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</row>
    <row r="694" ht="15.75" customHeight="1">
      <c r="A694" s="157"/>
      <c r="B694" s="250"/>
      <c r="C694" s="250"/>
      <c r="D694" s="157"/>
      <c r="E694" s="157"/>
      <c r="F694" s="157"/>
      <c r="G694" s="157"/>
      <c r="H694" s="157"/>
      <c r="I694" s="157"/>
      <c r="J694" s="248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</row>
    <row r="695" ht="15.75" customHeight="1">
      <c r="A695" s="157"/>
      <c r="B695" s="250"/>
      <c r="C695" s="250"/>
      <c r="D695" s="157"/>
      <c r="E695" s="157"/>
      <c r="F695" s="157"/>
      <c r="G695" s="157"/>
      <c r="H695" s="157"/>
      <c r="I695" s="157"/>
      <c r="J695" s="248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</row>
    <row r="696" ht="15.75" customHeight="1">
      <c r="A696" s="157"/>
      <c r="B696" s="250"/>
      <c r="C696" s="250"/>
      <c r="D696" s="157"/>
      <c r="E696" s="157"/>
      <c r="F696" s="157"/>
      <c r="G696" s="157"/>
      <c r="H696" s="157"/>
      <c r="I696" s="157"/>
      <c r="J696" s="248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</row>
    <row r="697" ht="15.75" customHeight="1">
      <c r="A697" s="157"/>
      <c r="B697" s="250"/>
      <c r="C697" s="250"/>
      <c r="D697" s="157"/>
      <c r="E697" s="157"/>
      <c r="F697" s="157"/>
      <c r="G697" s="157"/>
      <c r="H697" s="157"/>
      <c r="I697" s="157"/>
      <c r="J697" s="248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</row>
    <row r="698" ht="15.75" customHeight="1">
      <c r="A698" s="157"/>
      <c r="B698" s="250"/>
      <c r="C698" s="250"/>
      <c r="D698" s="157"/>
      <c r="E698" s="157"/>
      <c r="F698" s="157"/>
      <c r="G698" s="157"/>
      <c r="H698" s="157"/>
      <c r="I698" s="157"/>
      <c r="J698" s="248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</row>
    <row r="699" ht="15.75" customHeight="1">
      <c r="A699" s="157"/>
      <c r="B699" s="250"/>
      <c r="C699" s="250"/>
      <c r="D699" s="157"/>
      <c r="E699" s="157"/>
      <c r="F699" s="157"/>
      <c r="G699" s="157"/>
      <c r="H699" s="157"/>
      <c r="I699" s="157"/>
      <c r="J699" s="248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</row>
    <row r="700" ht="15.75" customHeight="1">
      <c r="A700" s="157"/>
      <c r="B700" s="250"/>
      <c r="C700" s="250"/>
      <c r="D700" s="157"/>
      <c r="E700" s="157"/>
      <c r="F700" s="157"/>
      <c r="G700" s="157"/>
      <c r="H700" s="157"/>
      <c r="I700" s="157"/>
      <c r="J700" s="248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</row>
    <row r="701" ht="15.75" customHeight="1">
      <c r="A701" s="157"/>
      <c r="B701" s="250"/>
      <c r="C701" s="250"/>
      <c r="D701" s="157"/>
      <c r="E701" s="157"/>
      <c r="F701" s="157"/>
      <c r="G701" s="157"/>
      <c r="H701" s="157"/>
      <c r="I701" s="157"/>
      <c r="J701" s="248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</row>
    <row r="702" ht="15.75" customHeight="1">
      <c r="A702" s="157"/>
      <c r="B702" s="250"/>
      <c r="C702" s="250"/>
      <c r="D702" s="157"/>
      <c r="E702" s="157"/>
      <c r="F702" s="157"/>
      <c r="G702" s="157"/>
      <c r="H702" s="157"/>
      <c r="I702" s="157"/>
      <c r="J702" s="248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</row>
    <row r="703" ht="15.75" customHeight="1">
      <c r="A703" s="157"/>
      <c r="B703" s="250"/>
      <c r="C703" s="250"/>
      <c r="D703" s="157"/>
      <c r="E703" s="157"/>
      <c r="F703" s="157"/>
      <c r="G703" s="157"/>
      <c r="H703" s="157"/>
      <c r="I703" s="157"/>
      <c r="J703" s="248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</row>
    <row r="704" ht="15.75" customHeight="1">
      <c r="A704" s="157"/>
      <c r="B704" s="250"/>
      <c r="C704" s="250"/>
      <c r="D704" s="157"/>
      <c r="E704" s="157"/>
      <c r="F704" s="157"/>
      <c r="G704" s="157"/>
      <c r="H704" s="157"/>
      <c r="I704" s="157"/>
      <c r="J704" s="248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</row>
    <row r="705" ht="15.75" customHeight="1">
      <c r="A705" s="157"/>
      <c r="B705" s="250"/>
      <c r="C705" s="250"/>
      <c r="D705" s="157"/>
      <c r="E705" s="157"/>
      <c r="F705" s="157"/>
      <c r="G705" s="157"/>
      <c r="H705" s="157"/>
      <c r="I705" s="157"/>
      <c r="J705" s="248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</row>
    <row r="706" ht="15.75" customHeight="1">
      <c r="A706" s="157"/>
      <c r="B706" s="250"/>
      <c r="C706" s="250"/>
      <c r="D706" s="157"/>
      <c r="E706" s="157"/>
      <c r="F706" s="157"/>
      <c r="G706" s="157"/>
      <c r="H706" s="157"/>
      <c r="I706" s="157"/>
      <c r="J706" s="248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</row>
    <row r="707" ht="15.75" customHeight="1">
      <c r="A707" s="157"/>
      <c r="B707" s="250"/>
      <c r="C707" s="250"/>
      <c r="D707" s="157"/>
      <c r="E707" s="157"/>
      <c r="F707" s="157"/>
      <c r="G707" s="157"/>
      <c r="H707" s="157"/>
      <c r="I707" s="157"/>
      <c r="J707" s="248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</row>
    <row r="708" ht="15.75" customHeight="1">
      <c r="A708" s="157"/>
      <c r="B708" s="250"/>
      <c r="C708" s="250"/>
      <c r="D708" s="157"/>
      <c r="E708" s="157"/>
      <c r="F708" s="157"/>
      <c r="G708" s="157"/>
      <c r="H708" s="157"/>
      <c r="I708" s="157"/>
      <c r="J708" s="248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</row>
    <row r="709" ht="15.75" customHeight="1">
      <c r="A709" s="157"/>
      <c r="B709" s="250"/>
      <c r="C709" s="250"/>
      <c r="D709" s="157"/>
      <c r="E709" s="157"/>
      <c r="F709" s="157"/>
      <c r="G709" s="157"/>
      <c r="H709" s="157"/>
      <c r="I709" s="157"/>
      <c r="J709" s="248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</row>
    <row r="710" ht="15.75" customHeight="1">
      <c r="A710" s="157"/>
      <c r="B710" s="250"/>
      <c r="C710" s="250"/>
      <c r="D710" s="157"/>
      <c r="E710" s="157"/>
      <c r="F710" s="157"/>
      <c r="G710" s="157"/>
      <c r="H710" s="157"/>
      <c r="I710" s="157"/>
      <c r="J710" s="248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</row>
    <row r="711" ht="15.75" customHeight="1">
      <c r="A711" s="157"/>
      <c r="B711" s="250"/>
      <c r="C711" s="250"/>
      <c r="D711" s="157"/>
      <c r="E711" s="157"/>
      <c r="F711" s="157"/>
      <c r="G711" s="157"/>
      <c r="H711" s="157"/>
      <c r="I711" s="157"/>
      <c r="J711" s="248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</row>
    <row r="712" ht="15.75" customHeight="1">
      <c r="A712" s="157"/>
      <c r="B712" s="250"/>
      <c r="C712" s="250"/>
      <c r="D712" s="157"/>
      <c r="E712" s="157"/>
      <c r="F712" s="157"/>
      <c r="G712" s="157"/>
      <c r="H712" s="157"/>
      <c r="I712" s="157"/>
      <c r="J712" s="248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</row>
    <row r="713" ht="15.75" customHeight="1">
      <c r="A713" s="157"/>
      <c r="B713" s="250"/>
      <c r="C713" s="250"/>
      <c r="D713" s="157"/>
      <c r="E713" s="157"/>
      <c r="F713" s="157"/>
      <c r="G713" s="157"/>
      <c r="H713" s="157"/>
      <c r="I713" s="157"/>
      <c r="J713" s="248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</row>
    <row r="714" ht="15.75" customHeight="1">
      <c r="A714" s="157"/>
      <c r="B714" s="250"/>
      <c r="C714" s="250"/>
      <c r="D714" s="157"/>
      <c r="E714" s="157"/>
      <c r="F714" s="157"/>
      <c r="G714" s="157"/>
      <c r="H714" s="157"/>
      <c r="I714" s="157"/>
      <c r="J714" s="248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</row>
    <row r="715" ht="15.75" customHeight="1">
      <c r="A715" s="157"/>
      <c r="B715" s="250"/>
      <c r="C715" s="250"/>
      <c r="D715" s="157"/>
      <c r="E715" s="157"/>
      <c r="F715" s="157"/>
      <c r="G715" s="157"/>
      <c r="H715" s="157"/>
      <c r="I715" s="157"/>
      <c r="J715" s="248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</row>
    <row r="716" ht="15.75" customHeight="1">
      <c r="A716" s="157"/>
      <c r="B716" s="250"/>
      <c r="C716" s="250"/>
      <c r="D716" s="157"/>
      <c r="E716" s="157"/>
      <c r="F716" s="157"/>
      <c r="G716" s="157"/>
      <c r="H716" s="157"/>
      <c r="I716" s="157"/>
      <c r="J716" s="248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</row>
    <row r="717" ht="15.75" customHeight="1">
      <c r="A717" s="157"/>
      <c r="B717" s="250"/>
      <c r="C717" s="250"/>
      <c r="D717" s="157"/>
      <c r="E717" s="157"/>
      <c r="F717" s="157"/>
      <c r="G717" s="157"/>
      <c r="H717" s="157"/>
      <c r="I717" s="157"/>
      <c r="J717" s="248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</row>
    <row r="718" ht="15.75" customHeight="1">
      <c r="A718" s="157"/>
      <c r="B718" s="250"/>
      <c r="C718" s="250"/>
      <c r="D718" s="157"/>
      <c r="E718" s="157"/>
      <c r="F718" s="157"/>
      <c r="G718" s="157"/>
      <c r="H718" s="157"/>
      <c r="I718" s="157"/>
      <c r="J718" s="248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</row>
    <row r="719" ht="15.75" customHeight="1">
      <c r="A719" s="157"/>
      <c r="B719" s="250"/>
      <c r="C719" s="250"/>
      <c r="D719" s="157"/>
      <c r="E719" s="157"/>
      <c r="F719" s="157"/>
      <c r="G719" s="157"/>
      <c r="H719" s="157"/>
      <c r="I719" s="157"/>
      <c r="J719" s="248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</row>
    <row r="720" ht="15.75" customHeight="1">
      <c r="A720" s="157"/>
      <c r="B720" s="250"/>
      <c r="C720" s="250"/>
      <c r="D720" s="157"/>
      <c r="E720" s="157"/>
      <c r="F720" s="157"/>
      <c r="G720" s="157"/>
      <c r="H720" s="157"/>
      <c r="I720" s="157"/>
      <c r="J720" s="248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</row>
    <row r="721" ht="15.75" customHeight="1">
      <c r="A721" s="157"/>
      <c r="B721" s="250"/>
      <c r="C721" s="250"/>
      <c r="D721" s="157"/>
      <c r="E721" s="157"/>
      <c r="F721" s="157"/>
      <c r="G721" s="157"/>
      <c r="H721" s="157"/>
      <c r="I721" s="157"/>
      <c r="J721" s="248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</row>
    <row r="722" ht="15.75" customHeight="1">
      <c r="A722" s="157"/>
      <c r="B722" s="250"/>
      <c r="C722" s="250"/>
      <c r="D722" s="157"/>
      <c r="E722" s="157"/>
      <c r="F722" s="157"/>
      <c r="G722" s="157"/>
      <c r="H722" s="157"/>
      <c r="I722" s="157"/>
      <c r="J722" s="248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</row>
    <row r="723" ht="15.75" customHeight="1">
      <c r="A723" s="157"/>
      <c r="B723" s="250"/>
      <c r="C723" s="250"/>
      <c r="D723" s="157"/>
      <c r="E723" s="157"/>
      <c r="F723" s="157"/>
      <c r="G723" s="157"/>
      <c r="H723" s="157"/>
      <c r="I723" s="157"/>
      <c r="J723" s="248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</row>
    <row r="724" ht="15.75" customHeight="1">
      <c r="A724" s="157"/>
      <c r="B724" s="250"/>
      <c r="C724" s="250"/>
      <c r="D724" s="157"/>
      <c r="E724" s="157"/>
      <c r="F724" s="157"/>
      <c r="G724" s="157"/>
      <c r="H724" s="157"/>
      <c r="I724" s="157"/>
      <c r="J724" s="248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</row>
    <row r="725" ht="15.75" customHeight="1">
      <c r="A725" s="157"/>
      <c r="B725" s="250"/>
      <c r="C725" s="250"/>
      <c r="D725" s="157"/>
      <c r="E725" s="157"/>
      <c r="F725" s="157"/>
      <c r="G725" s="157"/>
      <c r="H725" s="157"/>
      <c r="I725" s="157"/>
      <c r="J725" s="248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</row>
    <row r="726" ht="15.75" customHeight="1">
      <c r="A726" s="157"/>
      <c r="B726" s="250"/>
      <c r="C726" s="250"/>
      <c r="D726" s="157"/>
      <c r="E726" s="157"/>
      <c r="F726" s="157"/>
      <c r="G726" s="157"/>
      <c r="H726" s="157"/>
      <c r="I726" s="157"/>
      <c r="J726" s="248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</row>
    <row r="727" ht="15.75" customHeight="1">
      <c r="A727" s="157"/>
      <c r="B727" s="250"/>
      <c r="C727" s="250"/>
      <c r="D727" s="157"/>
      <c r="E727" s="157"/>
      <c r="F727" s="157"/>
      <c r="G727" s="157"/>
      <c r="H727" s="157"/>
      <c r="I727" s="157"/>
      <c r="J727" s="248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</row>
    <row r="728" ht="15.75" customHeight="1">
      <c r="A728" s="157"/>
      <c r="B728" s="250"/>
      <c r="C728" s="250"/>
      <c r="D728" s="157"/>
      <c r="E728" s="157"/>
      <c r="F728" s="157"/>
      <c r="G728" s="157"/>
      <c r="H728" s="157"/>
      <c r="I728" s="157"/>
      <c r="J728" s="248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</row>
    <row r="729" ht="15.75" customHeight="1">
      <c r="A729" s="157"/>
      <c r="B729" s="250"/>
      <c r="C729" s="250"/>
      <c r="D729" s="157"/>
      <c r="E729" s="157"/>
      <c r="F729" s="157"/>
      <c r="G729" s="157"/>
      <c r="H729" s="157"/>
      <c r="I729" s="157"/>
      <c r="J729" s="248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</row>
    <row r="730" ht="15.75" customHeight="1">
      <c r="A730" s="157"/>
      <c r="B730" s="250"/>
      <c r="C730" s="250"/>
      <c r="D730" s="157"/>
      <c r="E730" s="157"/>
      <c r="F730" s="157"/>
      <c r="G730" s="157"/>
      <c r="H730" s="157"/>
      <c r="I730" s="157"/>
      <c r="J730" s="248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</row>
    <row r="731" ht="15.75" customHeight="1">
      <c r="A731" s="157"/>
      <c r="B731" s="250"/>
      <c r="C731" s="250"/>
      <c r="D731" s="157"/>
      <c r="E731" s="157"/>
      <c r="F731" s="157"/>
      <c r="G731" s="157"/>
      <c r="H731" s="157"/>
      <c r="I731" s="157"/>
      <c r="J731" s="248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</row>
    <row r="732" ht="15.75" customHeight="1">
      <c r="A732" s="157"/>
      <c r="B732" s="250"/>
      <c r="C732" s="250"/>
      <c r="D732" s="157"/>
      <c r="E732" s="157"/>
      <c r="F732" s="157"/>
      <c r="G732" s="157"/>
      <c r="H732" s="157"/>
      <c r="I732" s="157"/>
      <c r="J732" s="248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</row>
    <row r="733" ht="15.75" customHeight="1">
      <c r="A733" s="157"/>
      <c r="B733" s="250"/>
      <c r="C733" s="250"/>
      <c r="D733" s="157"/>
      <c r="E733" s="157"/>
      <c r="F733" s="157"/>
      <c r="G733" s="157"/>
      <c r="H733" s="157"/>
      <c r="I733" s="157"/>
      <c r="J733" s="248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</row>
    <row r="734" ht="15.75" customHeight="1">
      <c r="A734" s="157"/>
      <c r="B734" s="250"/>
      <c r="C734" s="250"/>
      <c r="D734" s="157"/>
      <c r="E734" s="157"/>
      <c r="F734" s="157"/>
      <c r="G734" s="157"/>
      <c r="H734" s="157"/>
      <c r="I734" s="157"/>
      <c r="J734" s="248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</row>
    <row r="735" ht="15.75" customHeight="1">
      <c r="A735" s="157"/>
      <c r="B735" s="250"/>
      <c r="C735" s="250"/>
      <c r="D735" s="157"/>
      <c r="E735" s="157"/>
      <c r="F735" s="157"/>
      <c r="G735" s="157"/>
      <c r="H735" s="157"/>
      <c r="I735" s="157"/>
      <c r="J735" s="248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</row>
    <row r="736" ht="15.75" customHeight="1">
      <c r="A736" s="157"/>
      <c r="B736" s="250"/>
      <c r="C736" s="250"/>
      <c r="D736" s="157"/>
      <c r="E736" s="157"/>
      <c r="F736" s="157"/>
      <c r="G736" s="157"/>
      <c r="H736" s="157"/>
      <c r="I736" s="157"/>
      <c r="J736" s="248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</row>
    <row r="737" ht="15.75" customHeight="1">
      <c r="A737" s="157"/>
      <c r="B737" s="250"/>
      <c r="C737" s="250"/>
      <c r="D737" s="157"/>
      <c r="E737" s="157"/>
      <c r="F737" s="157"/>
      <c r="G737" s="157"/>
      <c r="H737" s="157"/>
      <c r="I737" s="157"/>
      <c r="J737" s="248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</row>
    <row r="738" ht="15.75" customHeight="1">
      <c r="A738" s="157"/>
      <c r="B738" s="250"/>
      <c r="C738" s="250"/>
      <c r="D738" s="157"/>
      <c r="E738" s="157"/>
      <c r="F738" s="157"/>
      <c r="G738" s="157"/>
      <c r="H738" s="157"/>
      <c r="I738" s="157"/>
      <c r="J738" s="248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</row>
    <row r="739" ht="15.75" customHeight="1">
      <c r="A739" s="157"/>
      <c r="B739" s="250"/>
      <c r="C739" s="250"/>
      <c r="D739" s="157"/>
      <c r="E739" s="157"/>
      <c r="F739" s="157"/>
      <c r="G739" s="157"/>
      <c r="H739" s="157"/>
      <c r="I739" s="157"/>
      <c r="J739" s="248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</row>
    <row r="740" ht="15.75" customHeight="1">
      <c r="A740" s="157"/>
      <c r="B740" s="250"/>
      <c r="C740" s="250"/>
      <c r="D740" s="157"/>
      <c r="E740" s="157"/>
      <c r="F740" s="157"/>
      <c r="G740" s="157"/>
      <c r="H740" s="157"/>
      <c r="I740" s="157"/>
      <c r="J740" s="248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</row>
    <row r="741" ht="15.75" customHeight="1">
      <c r="A741" s="157"/>
      <c r="B741" s="250"/>
      <c r="C741" s="250"/>
      <c r="D741" s="157"/>
      <c r="E741" s="157"/>
      <c r="F741" s="157"/>
      <c r="G741" s="157"/>
      <c r="H741" s="157"/>
      <c r="I741" s="157"/>
      <c r="J741" s="248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</row>
    <row r="742" ht="15.75" customHeight="1">
      <c r="A742" s="157"/>
      <c r="B742" s="250"/>
      <c r="C742" s="250"/>
      <c r="D742" s="157"/>
      <c r="E742" s="157"/>
      <c r="F742" s="157"/>
      <c r="G742" s="157"/>
      <c r="H742" s="157"/>
      <c r="I742" s="157"/>
      <c r="J742" s="248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</row>
    <row r="743" ht="15.75" customHeight="1">
      <c r="A743" s="157"/>
      <c r="B743" s="250"/>
      <c r="C743" s="250"/>
      <c r="D743" s="157"/>
      <c r="E743" s="157"/>
      <c r="F743" s="157"/>
      <c r="G743" s="157"/>
      <c r="H743" s="157"/>
      <c r="I743" s="157"/>
      <c r="J743" s="248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</row>
    <row r="744" ht="15.75" customHeight="1">
      <c r="A744" s="157"/>
      <c r="B744" s="250"/>
      <c r="C744" s="250"/>
      <c r="D744" s="157"/>
      <c r="E744" s="157"/>
      <c r="F744" s="157"/>
      <c r="G744" s="157"/>
      <c r="H744" s="157"/>
      <c r="I744" s="157"/>
      <c r="J744" s="248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</row>
    <row r="745" ht="15.75" customHeight="1">
      <c r="A745" s="157"/>
      <c r="B745" s="250"/>
      <c r="C745" s="250"/>
      <c r="D745" s="157"/>
      <c r="E745" s="157"/>
      <c r="F745" s="157"/>
      <c r="G745" s="157"/>
      <c r="H745" s="157"/>
      <c r="I745" s="157"/>
      <c r="J745" s="248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</row>
    <row r="746" ht="15.75" customHeight="1">
      <c r="A746" s="157"/>
      <c r="B746" s="250"/>
      <c r="C746" s="250"/>
      <c r="D746" s="157"/>
      <c r="E746" s="157"/>
      <c r="F746" s="157"/>
      <c r="G746" s="157"/>
      <c r="H746" s="157"/>
      <c r="I746" s="157"/>
      <c r="J746" s="248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</row>
    <row r="747" ht="15.75" customHeight="1">
      <c r="A747" s="157"/>
      <c r="B747" s="250"/>
      <c r="C747" s="250"/>
      <c r="D747" s="157"/>
      <c r="E747" s="157"/>
      <c r="F747" s="157"/>
      <c r="G747" s="157"/>
      <c r="H747" s="157"/>
      <c r="I747" s="157"/>
      <c r="J747" s="248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</row>
    <row r="748" ht="15.75" customHeight="1">
      <c r="A748" s="157"/>
      <c r="B748" s="250"/>
      <c r="C748" s="250"/>
      <c r="D748" s="157"/>
      <c r="E748" s="157"/>
      <c r="F748" s="157"/>
      <c r="G748" s="157"/>
      <c r="H748" s="157"/>
      <c r="I748" s="157"/>
      <c r="J748" s="248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</row>
    <row r="749" ht="15.75" customHeight="1">
      <c r="A749" s="157"/>
      <c r="B749" s="250"/>
      <c r="C749" s="250"/>
      <c r="D749" s="157"/>
      <c r="E749" s="157"/>
      <c r="F749" s="157"/>
      <c r="G749" s="157"/>
      <c r="H749" s="157"/>
      <c r="I749" s="157"/>
      <c r="J749" s="248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</row>
    <row r="750" ht="15.75" customHeight="1">
      <c r="A750" s="157"/>
      <c r="B750" s="250"/>
      <c r="C750" s="250"/>
      <c r="D750" s="157"/>
      <c r="E750" s="157"/>
      <c r="F750" s="157"/>
      <c r="G750" s="157"/>
      <c r="H750" s="157"/>
      <c r="I750" s="157"/>
      <c r="J750" s="248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</row>
    <row r="751" ht="15.75" customHeight="1">
      <c r="A751" s="157"/>
      <c r="B751" s="250"/>
      <c r="C751" s="250"/>
      <c r="D751" s="157"/>
      <c r="E751" s="157"/>
      <c r="F751" s="157"/>
      <c r="G751" s="157"/>
      <c r="H751" s="157"/>
      <c r="I751" s="157"/>
      <c r="J751" s="248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</row>
    <row r="752" ht="15.75" customHeight="1">
      <c r="A752" s="157"/>
      <c r="B752" s="250"/>
      <c r="C752" s="250"/>
      <c r="D752" s="157"/>
      <c r="E752" s="157"/>
      <c r="F752" s="157"/>
      <c r="G752" s="157"/>
      <c r="H752" s="157"/>
      <c r="I752" s="157"/>
      <c r="J752" s="248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</row>
    <row r="753" ht="15.75" customHeight="1">
      <c r="A753" s="157"/>
      <c r="B753" s="250"/>
      <c r="C753" s="250"/>
      <c r="D753" s="157"/>
      <c r="E753" s="157"/>
      <c r="F753" s="157"/>
      <c r="G753" s="157"/>
      <c r="H753" s="157"/>
      <c r="I753" s="157"/>
      <c r="J753" s="248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</row>
    <row r="754" ht="15.75" customHeight="1">
      <c r="A754" s="157"/>
      <c r="B754" s="250"/>
      <c r="C754" s="250"/>
      <c r="D754" s="157"/>
      <c r="E754" s="157"/>
      <c r="F754" s="157"/>
      <c r="G754" s="157"/>
      <c r="H754" s="157"/>
      <c r="I754" s="157"/>
      <c r="J754" s="248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</row>
    <row r="755" ht="15.75" customHeight="1">
      <c r="A755" s="157"/>
      <c r="B755" s="250"/>
      <c r="C755" s="250"/>
      <c r="D755" s="157"/>
      <c r="E755" s="157"/>
      <c r="F755" s="157"/>
      <c r="G755" s="157"/>
      <c r="H755" s="157"/>
      <c r="I755" s="157"/>
      <c r="J755" s="248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</row>
    <row r="756" ht="15.75" customHeight="1">
      <c r="A756" s="157"/>
      <c r="B756" s="250"/>
      <c r="C756" s="250"/>
      <c r="D756" s="157"/>
      <c r="E756" s="157"/>
      <c r="F756" s="157"/>
      <c r="G756" s="157"/>
      <c r="H756" s="157"/>
      <c r="I756" s="157"/>
      <c r="J756" s="248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</row>
    <row r="757" ht="15.75" customHeight="1">
      <c r="A757" s="157"/>
      <c r="B757" s="250"/>
      <c r="C757" s="250"/>
      <c r="D757" s="157"/>
      <c r="E757" s="157"/>
      <c r="F757" s="157"/>
      <c r="G757" s="157"/>
      <c r="H757" s="157"/>
      <c r="I757" s="157"/>
      <c r="J757" s="248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</row>
    <row r="758" ht="15.75" customHeight="1">
      <c r="A758" s="157"/>
      <c r="B758" s="250"/>
      <c r="C758" s="250"/>
      <c r="D758" s="157"/>
      <c r="E758" s="157"/>
      <c r="F758" s="157"/>
      <c r="G758" s="157"/>
      <c r="H758" s="157"/>
      <c r="I758" s="157"/>
      <c r="J758" s="248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</row>
    <row r="759" ht="15.75" customHeight="1">
      <c r="A759" s="157"/>
      <c r="B759" s="250"/>
      <c r="C759" s="250"/>
      <c r="D759" s="157"/>
      <c r="E759" s="157"/>
      <c r="F759" s="157"/>
      <c r="G759" s="157"/>
      <c r="H759" s="157"/>
      <c r="I759" s="157"/>
      <c r="J759" s="248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</row>
    <row r="760" ht="15.75" customHeight="1">
      <c r="A760" s="157"/>
      <c r="B760" s="250"/>
      <c r="C760" s="250"/>
      <c r="D760" s="157"/>
      <c r="E760" s="157"/>
      <c r="F760" s="157"/>
      <c r="G760" s="157"/>
      <c r="H760" s="157"/>
      <c r="I760" s="157"/>
      <c r="J760" s="248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</row>
    <row r="761" ht="15.75" customHeight="1">
      <c r="A761" s="157"/>
      <c r="B761" s="250"/>
      <c r="C761" s="250"/>
      <c r="D761" s="157"/>
      <c r="E761" s="157"/>
      <c r="F761" s="157"/>
      <c r="G761" s="157"/>
      <c r="H761" s="157"/>
      <c r="I761" s="157"/>
      <c r="J761" s="248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</row>
    <row r="762" ht="15.75" customHeight="1">
      <c r="A762" s="157"/>
      <c r="B762" s="250"/>
      <c r="C762" s="250"/>
      <c r="D762" s="157"/>
      <c r="E762" s="157"/>
      <c r="F762" s="157"/>
      <c r="G762" s="157"/>
      <c r="H762" s="157"/>
      <c r="I762" s="157"/>
      <c r="J762" s="248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</row>
    <row r="763" ht="15.75" customHeight="1">
      <c r="A763" s="157"/>
      <c r="B763" s="250"/>
      <c r="C763" s="250"/>
      <c r="D763" s="157"/>
      <c r="E763" s="157"/>
      <c r="F763" s="157"/>
      <c r="G763" s="157"/>
      <c r="H763" s="157"/>
      <c r="I763" s="157"/>
      <c r="J763" s="248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</row>
    <row r="764" ht="15.75" customHeight="1">
      <c r="A764" s="157"/>
      <c r="B764" s="250"/>
      <c r="C764" s="250"/>
      <c r="D764" s="157"/>
      <c r="E764" s="157"/>
      <c r="F764" s="157"/>
      <c r="G764" s="157"/>
      <c r="H764" s="157"/>
      <c r="I764" s="157"/>
      <c r="J764" s="248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</row>
    <row r="765" ht="15.75" customHeight="1">
      <c r="A765" s="157"/>
      <c r="B765" s="250"/>
      <c r="C765" s="250"/>
      <c r="D765" s="157"/>
      <c r="E765" s="157"/>
      <c r="F765" s="157"/>
      <c r="G765" s="157"/>
      <c r="H765" s="157"/>
      <c r="I765" s="157"/>
      <c r="J765" s="248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</row>
    <row r="766" ht="15.75" customHeight="1">
      <c r="A766" s="157"/>
      <c r="B766" s="250"/>
      <c r="C766" s="250"/>
      <c r="D766" s="157"/>
      <c r="E766" s="157"/>
      <c r="F766" s="157"/>
      <c r="G766" s="157"/>
      <c r="H766" s="157"/>
      <c r="I766" s="157"/>
      <c r="J766" s="248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</row>
    <row r="767" ht="15.75" customHeight="1">
      <c r="A767" s="157"/>
      <c r="B767" s="250"/>
      <c r="C767" s="250"/>
      <c r="D767" s="157"/>
      <c r="E767" s="157"/>
      <c r="F767" s="157"/>
      <c r="G767" s="157"/>
      <c r="H767" s="157"/>
      <c r="I767" s="157"/>
      <c r="J767" s="248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</row>
    <row r="768" ht="15.75" customHeight="1">
      <c r="A768" s="157"/>
      <c r="B768" s="250"/>
      <c r="C768" s="250"/>
      <c r="D768" s="157"/>
      <c r="E768" s="157"/>
      <c r="F768" s="157"/>
      <c r="G768" s="157"/>
      <c r="H768" s="157"/>
      <c r="I768" s="157"/>
      <c r="J768" s="248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</row>
    <row r="769" ht="15.75" customHeight="1">
      <c r="A769" s="157"/>
      <c r="B769" s="250"/>
      <c r="C769" s="250"/>
      <c r="D769" s="157"/>
      <c r="E769" s="157"/>
      <c r="F769" s="157"/>
      <c r="G769" s="157"/>
      <c r="H769" s="157"/>
      <c r="I769" s="157"/>
      <c r="J769" s="248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</row>
    <row r="770" ht="15.75" customHeight="1">
      <c r="A770" s="157"/>
      <c r="B770" s="250"/>
      <c r="C770" s="250"/>
      <c r="D770" s="157"/>
      <c r="E770" s="157"/>
      <c r="F770" s="157"/>
      <c r="G770" s="157"/>
      <c r="H770" s="157"/>
      <c r="I770" s="157"/>
      <c r="J770" s="248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</row>
    <row r="771" ht="15.75" customHeight="1">
      <c r="A771" s="157"/>
      <c r="B771" s="250"/>
      <c r="C771" s="250"/>
      <c r="D771" s="157"/>
      <c r="E771" s="157"/>
      <c r="F771" s="157"/>
      <c r="G771" s="157"/>
      <c r="H771" s="157"/>
      <c r="I771" s="157"/>
      <c r="J771" s="248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</row>
    <row r="772" ht="15.75" customHeight="1">
      <c r="A772" s="157"/>
      <c r="B772" s="250"/>
      <c r="C772" s="250"/>
      <c r="D772" s="157"/>
      <c r="E772" s="157"/>
      <c r="F772" s="157"/>
      <c r="G772" s="157"/>
      <c r="H772" s="157"/>
      <c r="I772" s="157"/>
      <c r="J772" s="248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</row>
    <row r="773" ht="15.75" customHeight="1">
      <c r="A773" s="157"/>
      <c r="B773" s="250"/>
      <c r="C773" s="250"/>
      <c r="D773" s="157"/>
      <c r="E773" s="157"/>
      <c r="F773" s="157"/>
      <c r="G773" s="157"/>
      <c r="H773" s="157"/>
      <c r="I773" s="157"/>
      <c r="J773" s="248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</row>
    <row r="774" ht="15.75" customHeight="1">
      <c r="A774" s="157"/>
      <c r="B774" s="250"/>
      <c r="C774" s="250"/>
      <c r="D774" s="157"/>
      <c r="E774" s="157"/>
      <c r="F774" s="157"/>
      <c r="G774" s="157"/>
      <c r="H774" s="157"/>
      <c r="I774" s="157"/>
      <c r="J774" s="248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</row>
    <row r="775" ht="15.75" customHeight="1">
      <c r="A775" s="157"/>
      <c r="B775" s="250"/>
      <c r="C775" s="250"/>
      <c r="D775" s="157"/>
      <c r="E775" s="157"/>
      <c r="F775" s="157"/>
      <c r="G775" s="157"/>
      <c r="H775" s="157"/>
      <c r="I775" s="157"/>
      <c r="J775" s="248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</row>
    <row r="776" ht="15.75" customHeight="1">
      <c r="A776" s="157"/>
      <c r="B776" s="250"/>
      <c r="C776" s="250"/>
      <c r="D776" s="157"/>
      <c r="E776" s="157"/>
      <c r="F776" s="157"/>
      <c r="G776" s="157"/>
      <c r="H776" s="157"/>
      <c r="I776" s="157"/>
      <c r="J776" s="248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</row>
    <row r="777" ht="15.75" customHeight="1">
      <c r="A777" s="157"/>
      <c r="B777" s="250"/>
      <c r="C777" s="250"/>
      <c r="D777" s="157"/>
      <c r="E777" s="157"/>
      <c r="F777" s="157"/>
      <c r="G777" s="157"/>
      <c r="H777" s="157"/>
      <c r="I777" s="157"/>
      <c r="J777" s="248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</row>
    <row r="778" ht="15.75" customHeight="1">
      <c r="A778" s="157"/>
      <c r="B778" s="250"/>
      <c r="C778" s="250"/>
      <c r="D778" s="157"/>
      <c r="E778" s="157"/>
      <c r="F778" s="157"/>
      <c r="G778" s="157"/>
      <c r="H778" s="157"/>
      <c r="I778" s="157"/>
      <c r="J778" s="248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</row>
    <row r="779" ht="15.75" customHeight="1">
      <c r="A779" s="157"/>
      <c r="B779" s="250"/>
      <c r="C779" s="250"/>
      <c r="D779" s="157"/>
      <c r="E779" s="157"/>
      <c r="F779" s="157"/>
      <c r="G779" s="157"/>
      <c r="H779" s="157"/>
      <c r="I779" s="157"/>
      <c r="J779" s="248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</row>
    <row r="780" ht="15.75" customHeight="1">
      <c r="A780" s="157"/>
      <c r="B780" s="250"/>
      <c r="C780" s="250"/>
      <c r="D780" s="157"/>
      <c r="E780" s="157"/>
      <c r="F780" s="157"/>
      <c r="G780" s="157"/>
      <c r="H780" s="157"/>
      <c r="I780" s="157"/>
      <c r="J780" s="248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</row>
    <row r="781" ht="15.75" customHeight="1">
      <c r="A781" s="157"/>
      <c r="B781" s="250"/>
      <c r="C781" s="250"/>
      <c r="D781" s="157"/>
      <c r="E781" s="157"/>
      <c r="F781" s="157"/>
      <c r="G781" s="157"/>
      <c r="H781" s="157"/>
      <c r="I781" s="157"/>
      <c r="J781" s="248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</row>
    <row r="782" ht="15.75" customHeight="1">
      <c r="A782" s="157"/>
      <c r="B782" s="250"/>
      <c r="C782" s="250"/>
      <c r="D782" s="157"/>
      <c r="E782" s="157"/>
      <c r="F782" s="157"/>
      <c r="G782" s="157"/>
      <c r="H782" s="157"/>
      <c r="I782" s="157"/>
      <c r="J782" s="248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</row>
    <row r="783" ht="15.75" customHeight="1">
      <c r="A783" s="157"/>
      <c r="B783" s="250"/>
      <c r="C783" s="250"/>
      <c r="D783" s="157"/>
      <c r="E783" s="157"/>
      <c r="F783" s="157"/>
      <c r="G783" s="157"/>
      <c r="H783" s="157"/>
      <c r="I783" s="157"/>
      <c r="J783" s="248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</row>
    <row r="784" ht="15.75" customHeight="1">
      <c r="A784" s="157"/>
      <c r="B784" s="250"/>
      <c r="C784" s="250"/>
      <c r="D784" s="157"/>
      <c r="E784" s="157"/>
      <c r="F784" s="157"/>
      <c r="G784" s="157"/>
      <c r="H784" s="157"/>
      <c r="I784" s="157"/>
      <c r="J784" s="248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</row>
    <row r="785" ht="15.75" customHeight="1">
      <c r="A785" s="157"/>
      <c r="B785" s="250"/>
      <c r="C785" s="250"/>
      <c r="D785" s="157"/>
      <c r="E785" s="157"/>
      <c r="F785" s="157"/>
      <c r="G785" s="157"/>
      <c r="H785" s="157"/>
      <c r="I785" s="157"/>
      <c r="J785" s="248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</row>
    <row r="786" ht="15.75" customHeight="1">
      <c r="A786" s="157"/>
      <c r="B786" s="250"/>
      <c r="C786" s="250"/>
      <c r="D786" s="157"/>
      <c r="E786" s="157"/>
      <c r="F786" s="157"/>
      <c r="G786" s="157"/>
      <c r="H786" s="157"/>
      <c r="I786" s="157"/>
      <c r="J786" s="248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</row>
    <row r="787" ht="15.75" customHeight="1">
      <c r="A787" s="157"/>
      <c r="B787" s="250"/>
      <c r="C787" s="250"/>
      <c r="D787" s="157"/>
      <c r="E787" s="157"/>
      <c r="F787" s="157"/>
      <c r="G787" s="157"/>
      <c r="H787" s="157"/>
      <c r="I787" s="157"/>
      <c r="J787" s="248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</row>
    <row r="788" ht="15.75" customHeight="1">
      <c r="A788" s="157"/>
      <c r="B788" s="250"/>
      <c r="C788" s="250"/>
      <c r="D788" s="157"/>
      <c r="E788" s="157"/>
      <c r="F788" s="157"/>
      <c r="G788" s="157"/>
      <c r="H788" s="157"/>
      <c r="I788" s="157"/>
      <c r="J788" s="248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</row>
    <row r="789" ht="15.75" customHeight="1">
      <c r="A789" s="157"/>
      <c r="B789" s="250"/>
      <c r="C789" s="250"/>
      <c r="D789" s="157"/>
      <c r="E789" s="157"/>
      <c r="F789" s="157"/>
      <c r="G789" s="157"/>
      <c r="H789" s="157"/>
      <c r="I789" s="157"/>
      <c r="J789" s="248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</row>
    <row r="790" ht="15.75" customHeight="1">
      <c r="A790" s="157"/>
      <c r="B790" s="250"/>
      <c r="C790" s="250"/>
      <c r="D790" s="157"/>
      <c r="E790" s="157"/>
      <c r="F790" s="157"/>
      <c r="G790" s="157"/>
      <c r="H790" s="157"/>
      <c r="I790" s="157"/>
      <c r="J790" s="248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</row>
    <row r="791" ht="15.75" customHeight="1">
      <c r="A791" s="157"/>
      <c r="B791" s="250"/>
      <c r="C791" s="250"/>
      <c r="D791" s="157"/>
      <c r="E791" s="157"/>
      <c r="F791" s="157"/>
      <c r="G791" s="157"/>
      <c r="H791" s="157"/>
      <c r="I791" s="157"/>
      <c r="J791" s="248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</row>
    <row r="792" ht="15.75" customHeight="1">
      <c r="A792" s="157"/>
      <c r="B792" s="250"/>
      <c r="C792" s="250"/>
      <c r="D792" s="157"/>
      <c r="E792" s="157"/>
      <c r="F792" s="157"/>
      <c r="G792" s="157"/>
      <c r="H792" s="157"/>
      <c r="I792" s="157"/>
      <c r="J792" s="248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</row>
    <row r="793" ht="15.75" customHeight="1">
      <c r="A793" s="157"/>
      <c r="B793" s="250"/>
      <c r="C793" s="250"/>
      <c r="D793" s="157"/>
      <c r="E793" s="157"/>
      <c r="F793" s="157"/>
      <c r="G793" s="157"/>
      <c r="H793" s="157"/>
      <c r="I793" s="157"/>
      <c r="J793" s="248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</row>
    <row r="794" ht="15.75" customHeight="1">
      <c r="A794" s="157"/>
      <c r="B794" s="250"/>
      <c r="C794" s="250"/>
      <c r="D794" s="157"/>
      <c r="E794" s="157"/>
      <c r="F794" s="157"/>
      <c r="G794" s="157"/>
      <c r="H794" s="157"/>
      <c r="I794" s="157"/>
      <c r="J794" s="248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</row>
    <row r="795" ht="15.75" customHeight="1">
      <c r="A795" s="157"/>
      <c r="B795" s="250"/>
      <c r="C795" s="250"/>
      <c r="D795" s="157"/>
      <c r="E795" s="157"/>
      <c r="F795" s="157"/>
      <c r="G795" s="157"/>
      <c r="H795" s="157"/>
      <c r="I795" s="157"/>
      <c r="J795" s="248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</row>
    <row r="796" ht="15.75" customHeight="1">
      <c r="A796" s="157"/>
      <c r="B796" s="250"/>
      <c r="C796" s="250"/>
      <c r="D796" s="157"/>
      <c r="E796" s="157"/>
      <c r="F796" s="157"/>
      <c r="G796" s="157"/>
      <c r="H796" s="157"/>
      <c r="I796" s="157"/>
      <c r="J796" s="248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</row>
    <row r="797" ht="15.75" customHeight="1">
      <c r="A797" s="157"/>
      <c r="B797" s="250"/>
      <c r="C797" s="250"/>
      <c r="D797" s="157"/>
      <c r="E797" s="157"/>
      <c r="F797" s="157"/>
      <c r="G797" s="157"/>
      <c r="H797" s="157"/>
      <c r="I797" s="157"/>
      <c r="J797" s="248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</row>
    <row r="798" ht="15.75" customHeight="1">
      <c r="A798" s="157"/>
      <c r="B798" s="250"/>
      <c r="C798" s="250"/>
      <c r="D798" s="157"/>
      <c r="E798" s="157"/>
      <c r="F798" s="157"/>
      <c r="G798" s="157"/>
      <c r="H798" s="157"/>
      <c r="I798" s="157"/>
      <c r="J798" s="248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</row>
    <row r="799" ht="15.75" customHeight="1">
      <c r="A799" s="157"/>
      <c r="B799" s="250"/>
      <c r="C799" s="250"/>
      <c r="D799" s="157"/>
      <c r="E799" s="157"/>
      <c r="F799" s="157"/>
      <c r="G799" s="157"/>
      <c r="H799" s="157"/>
      <c r="I799" s="157"/>
      <c r="J799" s="248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</row>
    <row r="800" ht="15.75" customHeight="1">
      <c r="A800" s="157"/>
      <c r="B800" s="250"/>
      <c r="C800" s="250"/>
      <c r="D800" s="157"/>
      <c r="E800" s="157"/>
      <c r="F800" s="157"/>
      <c r="G800" s="157"/>
      <c r="H800" s="157"/>
      <c r="I800" s="157"/>
      <c r="J800" s="248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</row>
    <row r="801" ht="15.75" customHeight="1">
      <c r="A801" s="157"/>
      <c r="B801" s="250"/>
      <c r="C801" s="250"/>
      <c r="D801" s="157"/>
      <c r="E801" s="157"/>
      <c r="F801" s="157"/>
      <c r="G801" s="157"/>
      <c r="H801" s="157"/>
      <c r="I801" s="157"/>
      <c r="J801" s="248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</row>
    <row r="802" ht="15.75" customHeight="1">
      <c r="A802" s="157"/>
      <c r="B802" s="250"/>
      <c r="C802" s="250"/>
      <c r="D802" s="157"/>
      <c r="E802" s="157"/>
      <c r="F802" s="157"/>
      <c r="G802" s="157"/>
      <c r="H802" s="157"/>
      <c r="I802" s="157"/>
      <c r="J802" s="248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</row>
    <row r="803" ht="15.75" customHeight="1">
      <c r="A803" s="157"/>
      <c r="B803" s="250"/>
      <c r="C803" s="250"/>
      <c r="D803" s="157"/>
      <c r="E803" s="157"/>
      <c r="F803" s="157"/>
      <c r="G803" s="157"/>
      <c r="H803" s="157"/>
      <c r="I803" s="157"/>
      <c r="J803" s="248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</row>
    <row r="804" ht="15.75" customHeight="1">
      <c r="A804" s="157"/>
      <c r="B804" s="250"/>
      <c r="C804" s="250"/>
      <c r="D804" s="157"/>
      <c r="E804" s="157"/>
      <c r="F804" s="157"/>
      <c r="G804" s="157"/>
      <c r="H804" s="157"/>
      <c r="I804" s="157"/>
      <c r="J804" s="248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</row>
    <row r="805" ht="15.75" customHeight="1">
      <c r="A805" s="157"/>
      <c r="B805" s="250"/>
      <c r="C805" s="250"/>
      <c r="D805" s="157"/>
      <c r="E805" s="157"/>
      <c r="F805" s="157"/>
      <c r="G805" s="157"/>
      <c r="H805" s="157"/>
      <c r="I805" s="157"/>
      <c r="J805" s="248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</row>
    <row r="806" ht="15.75" customHeight="1">
      <c r="A806" s="157"/>
      <c r="B806" s="250"/>
      <c r="C806" s="250"/>
      <c r="D806" s="157"/>
      <c r="E806" s="157"/>
      <c r="F806" s="157"/>
      <c r="G806" s="157"/>
      <c r="H806" s="157"/>
      <c r="I806" s="157"/>
      <c r="J806" s="248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</row>
    <row r="807" ht="15.75" customHeight="1">
      <c r="A807" s="157"/>
      <c r="B807" s="250"/>
      <c r="C807" s="250"/>
      <c r="D807" s="157"/>
      <c r="E807" s="157"/>
      <c r="F807" s="157"/>
      <c r="G807" s="157"/>
      <c r="H807" s="157"/>
      <c r="I807" s="157"/>
      <c r="J807" s="248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</row>
    <row r="808" ht="15.75" customHeight="1">
      <c r="A808" s="157"/>
      <c r="B808" s="250"/>
      <c r="C808" s="250"/>
      <c r="D808" s="157"/>
      <c r="E808" s="157"/>
      <c r="F808" s="157"/>
      <c r="G808" s="157"/>
      <c r="H808" s="157"/>
      <c r="I808" s="157"/>
      <c r="J808" s="248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</row>
    <row r="809" ht="15.75" customHeight="1">
      <c r="A809" s="157"/>
      <c r="B809" s="250"/>
      <c r="C809" s="250"/>
      <c r="D809" s="157"/>
      <c r="E809" s="157"/>
      <c r="F809" s="157"/>
      <c r="G809" s="157"/>
      <c r="H809" s="157"/>
      <c r="I809" s="157"/>
      <c r="J809" s="248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</row>
    <row r="810" ht="15.75" customHeight="1">
      <c r="A810" s="157"/>
      <c r="B810" s="250"/>
      <c r="C810" s="250"/>
      <c r="D810" s="157"/>
      <c r="E810" s="157"/>
      <c r="F810" s="157"/>
      <c r="G810" s="157"/>
      <c r="H810" s="157"/>
      <c r="I810" s="157"/>
      <c r="J810" s="248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</row>
    <row r="811" ht="15.75" customHeight="1">
      <c r="A811" s="157"/>
      <c r="B811" s="250"/>
      <c r="C811" s="250"/>
      <c r="D811" s="157"/>
      <c r="E811" s="157"/>
      <c r="F811" s="157"/>
      <c r="G811" s="157"/>
      <c r="H811" s="157"/>
      <c r="I811" s="157"/>
      <c r="J811" s="248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</row>
    <row r="812" ht="15.75" customHeight="1">
      <c r="A812" s="157"/>
      <c r="B812" s="250"/>
      <c r="C812" s="250"/>
      <c r="D812" s="157"/>
      <c r="E812" s="157"/>
      <c r="F812" s="157"/>
      <c r="G812" s="157"/>
      <c r="H812" s="157"/>
      <c r="I812" s="157"/>
      <c r="J812" s="248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</row>
    <row r="813" ht="15.75" customHeight="1">
      <c r="A813" s="157"/>
      <c r="B813" s="250"/>
      <c r="C813" s="250"/>
      <c r="D813" s="157"/>
      <c r="E813" s="157"/>
      <c r="F813" s="157"/>
      <c r="G813" s="157"/>
      <c r="H813" s="157"/>
      <c r="I813" s="157"/>
      <c r="J813" s="248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</row>
    <row r="814" ht="15.75" customHeight="1">
      <c r="A814" s="157"/>
      <c r="B814" s="250"/>
      <c r="C814" s="250"/>
      <c r="D814" s="157"/>
      <c r="E814" s="157"/>
      <c r="F814" s="157"/>
      <c r="G814" s="157"/>
      <c r="H814" s="157"/>
      <c r="I814" s="157"/>
      <c r="J814" s="248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</row>
    <row r="815" ht="15.75" customHeight="1">
      <c r="A815" s="157"/>
      <c r="B815" s="250"/>
      <c r="C815" s="250"/>
      <c r="D815" s="157"/>
      <c r="E815" s="157"/>
      <c r="F815" s="157"/>
      <c r="G815" s="157"/>
      <c r="H815" s="157"/>
      <c r="I815" s="157"/>
      <c r="J815" s="248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</row>
    <row r="816" ht="15.75" customHeight="1">
      <c r="A816" s="157"/>
      <c r="B816" s="250"/>
      <c r="C816" s="250"/>
      <c r="D816" s="157"/>
      <c r="E816" s="157"/>
      <c r="F816" s="157"/>
      <c r="G816" s="157"/>
      <c r="H816" s="157"/>
      <c r="I816" s="157"/>
      <c r="J816" s="248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</row>
    <row r="817" ht="15.75" customHeight="1">
      <c r="A817" s="157"/>
      <c r="B817" s="250"/>
      <c r="C817" s="250"/>
      <c r="D817" s="157"/>
      <c r="E817" s="157"/>
      <c r="F817" s="157"/>
      <c r="G817" s="157"/>
      <c r="H817" s="157"/>
      <c r="I817" s="157"/>
      <c r="J817" s="248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</row>
    <row r="818" ht="15.75" customHeight="1">
      <c r="A818" s="157"/>
      <c r="B818" s="250"/>
      <c r="C818" s="250"/>
      <c r="D818" s="157"/>
      <c r="E818" s="157"/>
      <c r="F818" s="157"/>
      <c r="G818" s="157"/>
      <c r="H818" s="157"/>
      <c r="I818" s="157"/>
      <c r="J818" s="248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</row>
    <row r="819" ht="15.75" customHeight="1">
      <c r="A819" s="157"/>
      <c r="B819" s="250"/>
      <c r="C819" s="250"/>
      <c r="D819" s="157"/>
      <c r="E819" s="157"/>
      <c r="F819" s="157"/>
      <c r="G819" s="157"/>
      <c r="H819" s="157"/>
      <c r="I819" s="157"/>
      <c r="J819" s="248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</row>
    <row r="820" ht="15.75" customHeight="1">
      <c r="A820" s="157"/>
      <c r="B820" s="250"/>
      <c r="C820" s="250"/>
      <c r="D820" s="157"/>
      <c r="E820" s="157"/>
      <c r="F820" s="157"/>
      <c r="G820" s="157"/>
      <c r="H820" s="157"/>
      <c r="I820" s="157"/>
      <c r="J820" s="248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</row>
    <row r="821" ht="15.75" customHeight="1">
      <c r="A821" s="157"/>
      <c r="B821" s="250"/>
      <c r="C821" s="250"/>
      <c r="D821" s="157"/>
      <c r="E821" s="157"/>
      <c r="F821" s="157"/>
      <c r="G821" s="157"/>
      <c r="H821" s="157"/>
      <c r="I821" s="157"/>
      <c r="J821" s="248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</row>
    <row r="822" ht="15.75" customHeight="1">
      <c r="A822" s="157"/>
      <c r="B822" s="250"/>
      <c r="C822" s="250"/>
      <c r="D822" s="157"/>
      <c r="E822" s="157"/>
      <c r="F822" s="157"/>
      <c r="G822" s="157"/>
      <c r="H822" s="157"/>
      <c r="I822" s="157"/>
      <c r="J822" s="248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</row>
    <row r="823" ht="15.75" customHeight="1">
      <c r="A823" s="157"/>
      <c r="B823" s="250"/>
      <c r="C823" s="250"/>
      <c r="D823" s="157"/>
      <c r="E823" s="157"/>
      <c r="F823" s="157"/>
      <c r="G823" s="157"/>
      <c r="H823" s="157"/>
      <c r="I823" s="157"/>
      <c r="J823" s="248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</row>
    <row r="824" ht="15.75" customHeight="1">
      <c r="A824" s="157"/>
      <c r="B824" s="250"/>
      <c r="C824" s="250"/>
      <c r="D824" s="157"/>
      <c r="E824" s="157"/>
      <c r="F824" s="157"/>
      <c r="G824" s="157"/>
      <c r="H824" s="157"/>
      <c r="I824" s="157"/>
      <c r="J824" s="248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</row>
    <row r="825" ht="15.75" customHeight="1">
      <c r="A825" s="157"/>
      <c r="B825" s="250"/>
      <c r="C825" s="250"/>
      <c r="D825" s="157"/>
      <c r="E825" s="157"/>
      <c r="F825" s="157"/>
      <c r="G825" s="157"/>
      <c r="H825" s="157"/>
      <c r="I825" s="157"/>
      <c r="J825" s="248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</row>
    <row r="826" ht="15.75" customHeight="1">
      <c r="A826" s="157"/>
      <c r="B826" s="250"/>
      <c r="C826" s="250"/>
      <c r="D826" s="157"/>
      <c r="E826" s="157"/>
      <c r="F826" s="157"/>
      <c r="G826" s="157"/>
      <c r="H826" s="157"/>
      <c r="I826" s="157"/>
      <c r="J826" s="248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</row>
    <row r="827" ht="15.75" customHeight="1">
      <c r="A827" s="157"/>
      <c r="B827" s="250"/>
      <c r="C827" s="250"/>
      <c r="D827" s="157"/>
      <c r="E827" s="157"/>
      <c r="F827" s="157"/>
      <c r="G827" s="157"/>
      <c r="H827" s="157"/>
      <c r="I827" s="157"/>
      <c r="J827" s="248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</row>
    <row r="828" ht="15.75" customHeight="1">
      <c r="A828" s="157"/>
      <c r="B828" s="250"/>
      <c r="C828" s="250"/>
      <c r="D828" s="157"/>
      <c r="E828" s="157"/>
      <c r="F828" s="157"/>
      <c r="G828" s="157"/>
      <c r="H828" s="157"/>
      <c r="I828" s="157"/>
      <c r="J828" s="248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</row>
    <row r="829" ht="15.75" customHeight="1">
      <c r="A829" s="157"/>
      <c r="B829" s="250"/>
      <c r="C829" s="250"/>
      <c r="D829" s="157"/>
      <c r="E829" s="157"/>
      <c r="F829" s="157"/>
      <c r="G829" s="157"/>
      <c r="H829" s="157"/>
      <c r="I829" s="157"/>
      <c r="J829" s="248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</row>
    <row r="830" ht="15.75" customHeight="1">
      <c r="A830" s="157"/>
      <c r="B830" s="250"/>
      <c r="C830" s="250"/>
      <c r="D830" s="157"/>
      <c r="E830" s="157"/>
      <c r="F830" s="157"/>
      <c r="G830" s="157"/>
      <c r="H830" s="157"/>
      <c r="I830" s="157"/>
      <c r="J830" s="248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</row>
    <row r="831" ht="15.75" customHeight="1">
      <c r="A831" s="157"/>
      <c r="B831" s="250"/>
      <c r="C831" s="250"/>
      <c r="D831" s="157"/>
      <c r="E831" s="157"/>
      <c r="F831" s="157"/>
      <c r="G831" s="157"/>
      <c r="H831" s="157"/>
      <c r="I831" s="157"/>
      <c r="J831" s="248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</row>
    <row r="832" ht="15.75" customHeight="1">
      <c r="A832" s="157"/>
      <c r="B832" s="250"/>
      <c r="C832" s="250"/>
      <c r="D832" s="157"/>
      <c r="E832" s="157"/>
      <c r="F832" s="157"/>
      <c r="G832" s="157"/>
      <c r="H832" s="157"/>
      <c r="I832" s="157"/>
      <c r="J832" s="248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</row>
    <row r="833" ht="15.75" customHeight="1">
      <c r="A833" s="157"/>
      <c r="B833" s="250"/>
      <c r="C833" s="250"/>
      <c r="D833" s="157"/>
      <c r="E833" s="157"/>
      <c r="F833" s="157"/>
      <c r="G833" s="157"/>
      <c r="H833" s="157"/>
      <c r="I833" s="157"/>
      <c r="J833" s="248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</row>
    <row r="834" ht="15.75" customHeight="1">
      <c r="A834" s="157"/>
      <c r="B834" s="250"/>
      <c r="C834" s="250"/>
      <c r="D834" s="157"/>
      <c r="E834" s="157"/>
      <c r="F834" s="157"/>
      <c r="G834" s="157"/>
      <c r="H834" s="157"/>
      <c r="I834" s="157"/>
      <c r="J834" s="248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</row>
    <row r="835" ht="15.75" customHeight="1">
      <c r="A835" s="157"/>
      <c r="B835" s="250"/>
      <c r="C835" s="250"/>
      <c r="D835" s="157"/>
      <c r="E835" s="157"/>
      <c r="F835" s="157"/>
      <c r="G835" s="157"/>
      <c r="H835" s="157"/>
      <c r="I835" s="157"/>
      <c r="J835" s="248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</row>
    <row r="836" ht="15.75" customHeight="1">
      <c r="A836" s="157"/>
      <c r="B836" s="250"/>
      <c r="C836" s="250"/>
      <c r="D836" s="157"/>
      <c r="E836" s="157"/>
      <c r="F836" s="157"/>
      <c r="G836" s="157"/>
      <c r="H836" s="157"/>
      <c r="I836" s="157"/>
      <c r="J836" s="248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</row>
    <row r="837" ht="15.75" customHeight="1">
      <c r="A837" s="157"/>
      <c r="B837" s="250"/>
      <c r="C837" s="250"/>
      <c r="D837" s="157"/>
      <c r="E837" s="157"/>
      <c r="F837" s="157"/>
      <c r="G837" s="157"/>
      <c r="H837" s="157"/>
      <c r="I837" s="157"/>
      <c r="J837" s="248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</row>
    <row r="838" ht="15.75" customHeight="1">
      <c r="A838" s="157"/>
      <c r="B838" s="250"/>
      <c r="C838" s="250"/>
      <c r="D838" s="157"/>
      <c r="E838" s="157"/>
      <c r="F838" s="157"/>
      <c r="G838" s="157"/>
      <c r="H838" s="157"/>
      <c r="I838" s="157"/>
      <c r="J838" s="248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</row>
    <row r="839" ht="15.75" customHeight="1">
      <c r="A839" s="157"/>
      <c r="B839" s="250"/>
      <c r="C839" s="250"/>
      <c r="D839" s="157"/>
      <c r="E839" s="157"/>
      <c r="F839" s="157"/>
      <c r="G839" s="157"/>
      <c r="H839" s="157"/>
      <c r="I839" s="157"/>
      <c r="J839" s="248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</row>
    <row r="840" ht="15.75" customHeight="1">
      <c r="A840" s="157"/>
      <c r="B840" s="250"/>
      <c r="C840" s="250"/>
      <c r="D840" s="157"/>
      <c r="E840" s="157"/>
      <c r="F840" s="157"/>
      <c r="G840" s="157"/>
      <c r="H840" s="157"/>
      <c r="I840" s="157"/>
      <c r="J840" s="248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</row>
    <row r="841" ht="15.75" customHeight="1">
      <c r="A841" s="157"/>
      <c r="B841" s="250"/>
      <c r="C841" s="250"/>
      <c r="D841" s="157"/>
      <c r="E841" s="157"/>
      <c r="F841" s="157"/>
      <c r="G841" s="157"/>
      <c r="H841" s="157"/>
      <c r="I841" s="157"/>
      <c r="J841" s="248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</row>
    <row r="842" ht="15.75" customHeight="1">
      <c r="A842" s="157"/>
      <c r="B842" s="250"/>
      <c r="C842" s="250"/>
      <c r="D842" s="157"/>
      <c r="E842" s="157"/>
      <c r="F842" s="157"/>
      <c r="G842" s="157"/>
      <c r="H842" s="157"/>
      <c r="I842" s="157"/>
      <c r="J842" s="248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</row>
    <row r="843" ht="15.75" customHeight="1">
      <c r="A843" s="157"/>
      <c r="B843" s="250"/>
      <c r="C843" s="250"/>
      <c r="D843" s="157"/>
      <c r="E843" s="157"/>
      <c r="F843" s="157"/>
      <c r="G843" s="157"/>
      <c r="H843" s="157"/>
      <c r="I843" s="157"/>
      <c r="J843" s="248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</row>
    <row r="844" ht="15.75" customHeight="1">
      <c r="A844" s="157"/>
      <c r="B844" s="250"/>
      <c r="C844" s="250"/>
      <c r="D844" s="157"/>
      <c r="E844" s="157"/>
      <c r="F844" s="157"/>
      <c r="G844" s="157"/>
      <c r="H844" s="157"/>
      <c r="I844" s="157"/>
      <c r="J844" s="248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</row>
    <row r="845" ht="15.75" customHeight="1">
      <c r="A845" s="157"/>
      <c r="B845" s="250"/>
      <c r="C845" s="250"/>
      <c r="D845" s="157"/>
      <c r="E845" s="157"/>
      <c r="F845" s="157"/>
      <c r="G845" s="157"/>
      <c r="H845" s="157"/>
      <c r="I845" s="157"/>
      <c r="J845" s="248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</row>
    <row r="846" ht="15.75" customHeight="1">
      <c r="A846" s="157"/>
      <c r="B846" s="250"/>
      <c r="C846" s="250"/>
      <c r="D846" s="157"/>
      <c r="E846" s="157"/>
      <c r="F846" s="157"/>
      <c r="G846" s="157"/>
      <c r="H846" s="157"/>
      <c r="I846" s="157"/>
      <c r="J846" s="248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</row>
    <row r="847" ht="15.75" customHeight="1">
      <c r="A847" s="157"/>
      <c r="B847" s="250"/>
      <c r="C847" s="250"/>
      <c r="D847" s="157"/>
      <c r="E847" s="157"/>
      <c r="F847" s="157"/>
      <c r="G847" s="157"/>
      <c r="H847" s="157"/>
      <c r="I847" s="157"/>
      <c r="J847" s="248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</row>
    <row r="848" ht="15.75" customHeight="1">
      <c r="A848" s="157"/>
      <c r="B848" s="250"/>
      <c r="C848" s="250"/>
      <c r="D848" s="157"/>
      <c r="E848" s="157"/>
      <c r="F848" s="157"/>
      <c r="G848" s="157"/>
      <c r="H848" s="157"/>
      <c r="I848" s="157"/>
      <c r="J848" s="248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</row>
    <row r="849" ht="15.75" customHeight="1">
      <c r="A849" s="157"/>
      <c r="B849" s="250"/>
      <c r="C849" s="250"/>
      <c r="D849" s="157"/>
      <c r="E849" s="157"/>
      <c r="F849" s="157"/>
      <c r="G849" s="157"/>
      <c r="H849" s="157"/>
      <c r="I849" s="157"/>
      <c r="J849" s="248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</row>
    <row r="850" ht="15.75" customHeight="1">
      <c r="A850" s="157"/>
      <c r="B850" s="250"/>
      <c r="C850" s="250"/>
      <c r="D850" s="157"/>
      <c r="E850" s="157"/>
      <c r="F850" s="157"/>
      <c r="G850" s="157"/>
      <c r="H850" s="157"/>
      <c r="I850" s="157"/>
      <c r="J850" s="248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</row>
    <row r="851" ht="15.75" customHeight="1">
      <c r="A851" s="157"/>
      <c r="B851" s="250"/>
      <c r="C851" s="250"/>
      <c r="D851" s="157"/>
      <c r="E851" s="157"/>
      <c r="F851" s="157"/>
      <c r="G851" s="157"/>
      <c r="H851" s="157"/>
      <c r="I851" s="157"/>
      <c r="J851" s="248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</row>
    <row r="852" ht="15.75" customHeight="1">
      <c r="A852" s="157"/>
      <c r="B852" s="250"/>
      <c r="C852" s="250"/>
      <c r="D852" s="157"/>
      <c r="E852" s="157"/>
      <c r="F852" s="157"/>
      <c r="G852" s="157"/>
      <c r="H852" s="157"/>
      <c r="I852" s="157"/>
      <c r="J852" s="248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</row>
    <row r="853" ht="15.75" customHeight="1">
      <c r="A853" s="157"/>
      <c r="B853" s="250"/>
      <c r="C853" s="250"/>
      <c r="D853" s="157"/>
      <c r="E853" s="157"/>
      <c r="F853" s="157"/>
      <c r="G853" s="157"/>
      <c r="H853" s="157"/>
      <c r="I853" s="157"/>
      <c r="J853" s="248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</row>
    <row r="854" ht="15.75" customHeight="1">
      <c r="A854" s="157"/>
      <c r="B854" s="250"/>
      <c r="C854" s="250"/>
      <c r="D854" s="157"/>
      <c r="E854" s="157"/>
      <c r="F854" s="157"/>
      <c r="G854" s="157"/>
      <c r="H854" s="157"/>
      <c r="I854" s="157"/>
      <c r="J854" s="248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</row>
    <row r="855" ht="15.75" customHeight="1">
      <c r="A855" s="157"/>
      <c r="B855" s="250"/>
      <c r="C855" s="250"/>
      <c r="D855" s="157"/>
      <c r="E855" s="157"/>
      <c r="F855" s="157"/>
      <c r="G855" s="157"/>
      <c r="H855" s="157"/>
      <c r="I855" s="157"/>
      <c r="J855" s="248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</row>
    <row r="856" ht="15.75" customHeight="1">
      <c r="A856" s="157"/>
      <c r="B856" s="250"/>
      <c r="C856" s="250"/>
      <c r="D856" s="157"/>
      <c r="E856" s="157"/>
      <c r="F856" s="157"/>
      <c r="G856" s="157"/>
      <c r="H856" s="157"/>
      <c r="I856" s="157"/>
      <c r="J856" s="248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</row>
    <row r="857" ht="15.75" customHeight="1">
      <c r="A857" s="157"/>
      <c r="B857" s="250"/>
      <c r="C857" s="250"/>
      <c r="D857" s="157"/>
      <c r="E857" s="157"/>
      <c r="F857" s="157"/>
      <c r="G857" s="157"/>
      <c r="H857" s="157"/>
      <c r="I857" s="157"/>
      <c r="J857" s="248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</row>
    <row r="858" ht="15.75" customHeight="1">
      <c r="A858" s="157"/>
      <c r="B858" s="250"/>
      <c r="C858" s="250"/>
      <c r="D858" s="157"/>
      <c r="E858" s="157"/>
      <c r="F858" s="157"/>
      <c r="G858" s="157"/>
      <c r="H858" s="157"/>
      <c r="I858" s="157"/>
      <c r="J858" s="248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</row>
    <row r="859" ht="15.75" customHeight="1">
      <c r="A859" s="157"/>
      <c r="B859" s="250"/>
      <c r="C859" s="250"/>
      <c r="D859" s="157"/>
      <c r="E859" s="157"/>
      <c r="F859" s="157"/>
      <c r="G859" s="157"/>
      <c r="H859" s="157"/>
      <c r="I859" s="157"/>
      <c r="J859" s="248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</row>
    <row r="860" ht="15.75" customHeight="1">
      <c r="A860" s="157"/>
      <c r="B860" s="250"/>
      <c r="C860" s="250"/>
      <c r="D860" s="157"/>
      <c r="E860" s="157"/>
      <c r="F860" s="157"/>
      <c r="G860" s="157"/>
      <c r="H860" s="157"/>
      <c r="I860" s="157"/>
      <c r="J860" s="248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</row>
    <row r="861" ht="15.75" customHeight="1">
      <c r="A861" s="157"/>
      <c r="B861" s="250"/>
      <c r="C861" s="250"/>
      <c r="D861" s="157"/>
      <c r="E861" s="157"/>
      <c r="F861" s="157"/>
      <c r="G861" s="157"/>
      <c r="H861" s="157"/>
      <c r="I861" s="157"/>
      <c r="J861" s="248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</row>
    <row r="862" ht="15.75" customHeight="1">
      <c r="A862" s="157"/>
      <c r="B862" s="250"/>
      <c r="C862" s="250"/>
      <c r="D862" s="157"/>
      <c r="E862" s="157"/>
      <c r="F862" s="157"/>
      <c r="G862" s="157"/>
      <c r="H862" s="157"/>
      <c r="I862" s="157"/>
      <c r="J862" s="248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</row>
    <row r="863" ht="15.75" customHeight="1">
      <c r="A863" s="157"/>
      <c r="B863" s="250"/>
      <c r="C863" s="250"/>
      <c r="D863" s="157"/>
      <c r="E863" s="157"/>
      <c r="F863" s="157"/>
      <c r="G863" s="157"/>
      <c r="H863" s="157"/>
      <c r="I863" s="157"/>
      <c r="J863" s="248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</row>
    <row r="864" ht="15.75" customHeight="1">
      <c r="A864" s="157"/>
      <c r="B864" s="250"/>
      <c r="C864" s="250"/>
      <c r="D864" s="157"/>
      <c r="E864" s="157"/>
      <c r="F864" s="157"/>
      <c r="G864" s="157"/>
      <c r="H864" s="157"/>
      <c r="I864" s="157"/>
      <c r="J864" s="248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</row>
    <row r="865" ht="15.75" customHeight="1">
      <c r="A865" s="157"/>
      <c r="B865" s="250"/>
      <c r="C865" s="250"/>
      <c r="D865" s="157"/>
      <c r="E865" s="157"/>
      <c r="F865" s="157"/>
      <c r="G865" s="157"/>
      <c r="H865" s="157"/>
      <c r="I865" s="157"/>
      <c r="J865" s="248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</row>
    <row r="866" ht="15.75" customHeight="1">
      <c r="A866" s="157"/>
      <c r="B866" s="250"/>
      <c r="C866" s="250"/>
      <c r="D866" s="157"/>
      <c r="E866" s="157"/>
      <c r="F866" s="157"/>
      <c r="G866" s="157"/>
      <c r="H866" s="157"/>
      <c r="I866" s="157"/>
      <c r="J866" s="248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</row>
    <row r="867" ht="15.75" customHeight="1">
      <c r="A867" s="157"/>
      <c r="B867" s="250"/>
      <c r="C867" s="250"/>
      <c r="D867" s="157"/>
      <c r="E867" s="157"/>
      <c r="F867" s="157"/>
      <c r="G867" s="157"/>
      <c r="H867" s="157"/>
      <c r="I867" s="157"/>
      <c r="J867" s="248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</row>
    <row r="868" ht="15.75" customHeight="1">
      <c r="A868" s="157"/>
      <c r="B868" s="250"/>
      <c r="C868" s="250"/>
      <c r="D868" s="157"/>
      <c r="E868" s="157"/>
      <c r="F868" s="157"/>
      <c r="G868" s="157"/>
      <c r="H868" s="157"/>
      <c r="I868" s="157"/>
      <c r="J868" s="248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</row>
    <row r="869" ht="15.75" customHeight="1">
      <c r="A869" s="157"/>
      <c r="B869" s="250"/>
      <c r="C869" s="250"/>
      <c r="D869" s="157"/>
      <c r="E869" s="157"/>
      <c r="F869" s="157"/>
      <c r="G869" s="157"/>
      <c r="H869" s="157"/>
      <c r="I869" s="157"/>
      <c r="J869" s="248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</row>
    <row r="870" ht="15.75" customHeight="1">
      <c r="A870" s="157"/>
      <c r="B870" s="250"/>
      <c r="C870" s="250"/>
      <c r="D870" s="157"/>
      <c r="E870" s="157"/>
      <c r="F870" s="157"/>
      <c r="G870" s="157"/>
      <c r="H870" s="157"/>
      <c r="I870" s="157"/>
      <c r="J870" s="248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</row>
    <row r="871" ht="15.75" customHeight="1">
      <c r="A871" s="157"/>
      <c r="B871" s="250"/>
      <c r="C871" s="250"/>
      <c r="D871" s="157"/>
      <c r="E871" s="157"/>
      <c r="F871" s="157"/>
      <c r="G871" s="157"/>
      <c r="H871" s="157"/>
      <c r="I871" s="157"/>
      <c r="J871" s="248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</row>
    <row r="872" ht="15.75" customHeight="1">
      <c r="A872" s="157"/>
      <c r="B872" s="250"/>
      <c r="C872" s="250"/>
      <c r="D872" s="157"/>
      <c r="E872" s="157"/>
      <c r="F872" s="157"/>
      <c r="G872" s="157"/>
      <c r="H872" s="157"/>
      <c r="I872" s="157"/>
      <c r="J872" s="248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</row>
    <row r="873" ht="15.75" customHeight="1">
      <c r="A873" s="157"/>
      <c r="B873" s="250"/>
      <c r="C873" s="250"/>
      <c r="D873" s="157"/>
      <c r="E873" s="157"/>
      <c r="F873" s="157"/>
      <c r="G873" s="157"/>
      <c r="H873" s="157"/>
      <c r="I873" s="157"/>
      <c r="J873" s="248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</row>
    <row r="874" ht="15.75" customHeight="1">
      <c r="A874" s="157"/>
      <c r="B874" s="250"/>
      <c r="C874" s="250"/>
      <c r="D874" s="157"/>
      <c r="E874" s="157"/>
      <c r="F874" s="157"/>
      <c r="G874" s="157"/>
      <c r="H874" s="157"/>
      <c r="I874" s="157"/>
      <c r="J874" s="248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</row>
    <row r="875" ht="15.75" customHeight="1">
      <c r="A875" s="157"/>
      <c r="B875" s="250"/>
      <c r="C875" s="250"/>
      <c r="D875" s="157"/>
      <c r="E875" s="157"/>
      <c r="F875" s="157"/>
      <c r="G875" s="157"/>
      <c r="H875" s="157"/>
      <c r="I875" s="157"/>
      <c r="J875" s="248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</row>
    <row r="876" ht="15.75" customHeight="1">
      <c r="A876" s="157"/>
      <c r="B876" s="250"/>
      <c r="C876" s="250"/>
      <c r="D876" s="157"/>
      <c r="E876" s="157"/>
      <c r="F876" s="157"/>
      <c r="G876" s="157"/>
      <c r="H876" s="157"/>
      <c r="I876" s="157"/>
      <c r="J876" s="248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</row>
    <row r="877" ht="15.75" customHeight="1">
      <c r="A877" s="157"/>
      <c r="B877" s="250"/>
      <c r="C877" s="250"/>
      <c r="D877" s="157"/>
      <c r="E877" s="157"/>
      <c r="F877" s="157"/>
      <c r="G877" s="157"/>
      <c r="H877" s="157"/>
      <c r="I877" s="157"/>
      <c r="J877" s="248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</row>
    <row r="878" ht="15.75" customHeight="1">
      <c r="A878" s="157"/>
      <c r="B878" s="250"/>
      <c r="C878" s="250"/>
      <c r="D878" s="157"/>
      <c r="E878" s="157"/>
      <c r="F878" s="157"/>
      <c r="G878" s="157"/>
      <c r="H878" s="157"/>
      <c r="I878" s="157"/>
      <c r="J878" s="248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</row>
    <row r="879" ht="15.75" customHeight="1">
      <c r="A879" s="157"/>
      <c r="B879" s="250"/>
      <c r="C879" s="250"/>
      <c r="D879" s="157"/>
      <c r="E879" s="157"/>
      <c r="F879" s="157"/>
      <c r="G879" s="157"/>
      <c r="H879" s="157"/>
      <c r="I879" s="157"/>
      <c r="J879" s="248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</row>
    <row r="880" ht="15.75" customHeight="1">
      <c r="A880" s="157"/>
      <c r="B880" s="250"/>
      <c r="C880" s="250"/>
      <c r="D880" s="157"/>
      <c r="E880" s="157"/>
      <c r="F880" s="157"/>
      <c r="G880" s="157"/>
      <c r="H880" s="157"/>
      <c r="I880" s="157"/>
      <c r="J880" s="248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</row>
    <row r="881" ht="15.75" customHeight="1">
      <c r="A881" s="157"/>
      <c r="B881" s="250"/>
      <c r="C881" s="250"/>
      <c r="D881" s="157"/>
      <c r="E881" s="157"/>
      <c r="F881" s="157"/>
      <c r="G881" s="157"/>
      <c r="H881" s="157"/>
      <c r="I881" s="157"/>
      <c r="J881" s="248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</row>
    <row r="882" ht="15.75" customHeight="1">
      <c r="A882" s="157"/>
      <c r="B882" s="250"/>
      <c r="C882" s="250"/>
      <c r="D882" s="157"/>
      <c r="E882" s="157"/>
      <c r="F882" s="157"/>
      <c r="G882" s="157"/>
      <c r="H882" s="157"/>
      <c r="I882" s="157"/>
      <c r="J882" s="248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</row>
    <row r="883" ht="15.75" customHeight="1">
      <c r="A883" s="157"/>
      <c r="B883" s="250"/>
      <c r="C883" s="250"/>
      <c r="D883" s="157"/>
      <c r="E883" s="157"/>
      <c r="F883" s="157"/>
      <c r="G883" s="157"/>
      <c r="H883" s="157"/>
      <c r="I883" s="157"/>
      <c r="J883" s="248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</row>
    <row r="884" ht="15.75" customHeight="1">
      <c r="A884" s="157"/>
      <c r="B884" s="250"/>
      <c r="C884" s="250"/>
      <c r="D884" s="157"/>
      <c r="E884" s="157"/>
      <c r="F884" s="157"/>
      <c r="G884" s="157"/>
      <c r="H884" s="157"/>
      <c r="I884" s="157"/>
      <c r="J884" s="248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</row>
    <row r="885" ht="15.75" customHeight="1">
      <c r="A885" s="157"/>
      <c r="B885" s="250"/>
      <c r="C885" s="250"/>
      <c r="D885" s="157"/>
      <c r="E885" s="157"/>
      <c r="F885" s="157"/>
      <c r="G885" s="157"/>
      <c r="H885" s="157"/>
      <c r="I885" s="157"/>
      <c r="J885" s="248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</row>
    <row r="886" ht="15.75" customHeight="1">
      <c r="A886" s="157"/>
      <c r="B886" s="250"/>
      <c r="C886" s="250"/>
      <c r="D886" s="157"/>
      <c r="E886" s="157"/>
      <c r="F886" s="157"/>
      <c r="G886" s="157"/>
      <c r="H886" s="157"/>
      <c r="I886" s="157"/>
      <c r="J886" s="248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</row>
    <row r="887" ht="15.75" customHeight="1">
      <c r="A887" s="157"/>
      <c r="B887" s="250"/>
      <c r="C887" s="250"/>
      <c r="D887" s="157"/>
      <c r="E887" s="157"/>
      <c r="F887" s="157"/>
      <c r="G887" s="157"/>
      <c r="H887" s="157"/>
      <c r="I887" s="157"/>
      <c r="J887" s="248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</row>
    <row r="888" ht="15.75" customHeight="1">
      <c r="A888" s="157"/>
      <c r="B888" s="250"/>
      <c r="C888" s="250"/>
      <c r="D888" s="157"/>
      <c r="E888" s="157"/>
      <c r="F888" s="157"/>
      <c r="G888" s="157"/>
      <c r="H888" s="157"/>
      <c r="I888" s="157"/>
      <c r="J888" s="248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</row>
    <row r="889" ht="15.75" customHeight="1">
      <c r="A889" s="157"/>
      <c r="B889" s="250"/>
      <c r="C889" s="250"/>
      <c r="D889" s="157"/>
      <c r="E889" s="157"/>
      <c r="F889" s="157"/>
      <c r="G889" s="157"/>
      <c r="H889" s="157"/>
      <c r="I889" s="157"/>
      <c r="J889" s="248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</row>
    <row r="890" ht="15.75" customHeight="1">
      <c r="A890" s="157"/>
      <c r="B890" s="250"/>
      <c r="C890" s="250"/>
      <c r="D890" s="157"/>
      <c r="E890" s="157"/>
      <c r="F890" s="157"/>
      <c r="G890" s="157"/>
      <c r="H890" s="157"/>
      <c r="I890" s="157"/>
      <c r="J890" s="248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</row>
    <row r="891" ht="15.75" customHeight="1">
      <c r="A891" s="157"/>
      <c r="B891" s="250"/>
      <c r="C891" s="250"/>
      <c r="D891" s="157"/>
      <c r="E891" s="157"/>
      <c r="F891" s="157"/>
      <c r="G891" s="157"/>
      <c r="H891" s="157"/>
      <c r="I891" s="157"/>
      <c r="J891" s="248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</row>
    <row r="892" ht="15.75" customHeight="1">
      <c r="A892" s="157"/>
      <c r="B892" s="250"/>
      <c r="C892" s="250"/>
      <c r="D892" s="157"/>
      <c r="E892" s="157"/>
      <c r="F892" s="157"/>
      <c r="G892" s="157"/>
      <c r="H892" s="157"/>
      <c r="I892" s="157"/>
      <c r="J892" s="248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</row>
    <row r="893" ht="15.75" customHeight="1">
      <c r="A893" s="157"/>
      <c r="B893" s="250"/>
      <c r="C893" s="250"/>
      <c r="D893" s="157"/>
      <c r="E893" s="157"/>
      <c r="F893" s="157"/>
      <c r="G893" s="157"/>
      <c r="H893" s="157"/>
      <c r="I893" s="157"/>
      <c r="J893" s="248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</row>
    <row r="894" ht="15.75" customHeight="1">
      <c r="A894" s="157"/>
      <c r="B894" s="250"/>
      <c r="C894" s="250"/>
      <c r="D894" s="157"/>
      <c r="E894" s="157"/>
      <c r="F894" s="157"/>
      <c r="G894" s="157"/>
      <c r="H894" s="157"/>
      <c r="I894" s="157"/>
      <c r="J894" s="248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</row>
    <row r="895" ht="15.75" customHeight="1">
      <c r="A895" s="157"/>
      <c r="B895" s="250"/>
      <c r="C895" s="250"/>
      <c r="D895" s="157"/>
      <c r="E895" s="157"/>
      <c r="F895" s="157"/>
      <c r="G895" s="157"/>
      <c r="H895" s="157"/>
      <c r="I895" s="157"/>
      <c r="J895" s="248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</row>
    <row r="896" ht="15.75" customHeight="1">
      <c r="A896" s="157"/>
      <c r="B896" s="250"/>
      <c r="C896" s="250"/>
      <c r="D896" s="157"/>
      <c r="E896" s="157"/>
      <c r="F896" s="157"/>
      <c r="G896" s="157"/>
      <c r="H896" s="157"/>
      <c r="I896" s="157"/>
      <c r="J896" s="248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</row>
    <row r="897" ht="15.75" customHeight="1">
      <c r="A897" s="157"/>
      <c r="B897" s="250"/>
      <c r="C897" s="250"/>
      <c r="D897" s="157"/>
      <c r="E897" s="157"/>
      <c r="F897" s="157"/>
      <c r="G897" s="157"/>
      <c r="H897" s="157"/>
      <c r="I897" s="157"/>
      <c r="J897" s="248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</row>
    <row r="898" ht="15.75" customHeight="1">
      <c r="A898" s="157"/>
      <c r="B898" s="250"/>
      <c r="C898" s="250"/>
      <c r="D898" s="157"/>
      <c r="E898" s="157"/>
      <c r="F898" s="157"/>
      <c r="G898" s="157"/>
      <c r="H898" s="157"/>
      <c r="I898" s="157"/>
      <c r="J898" s="248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</row>
    <row r="899" ht="15.75" customHeight="1">
      <c r="A899" s="157"/>
      <c r="B899" s="250"/>
      <c r="C899" s="250"/>
      <c r="D899" s="157"/>
      <c r="E899" s="157"/>
      <c r="F899" s="157"/>
      <c r="G899" s="157"/>
      <c r="H899" s="157"/>
      <c r="I899" s="157"/>
      <c r="J899" s="248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</row>
    <row r="900" ht="15.75" customHeight="1">
      <c r="A900" s="157"/>
      <c r="B900" s="250"/>
      <c r="C900" s="250"/>
      <c r="D900" s="157"/>
      <c r="E900" s="157"/>
      <c r="F900" s="157"/>
      <c r="G900" s="157"/>
      <c r="H900" s="157"/>
      <c r="I900" s="157"/>
      <c r="J900" s="248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</row>
    <row r="901" ht="15.75" customHeight="1">
      <c r="A901" s="157"/>
      <c r="B901" s="250"/>
      <c r="C901" s="250"/>
      <c r="D901" s="157"/>
      <c r="E901" s="157"/>
      <c r="F901" s="157"/>
      <c r="G901" s="157"/>
      <c r="H901" s="157"/>
      <c r="I901" s="157"/>
      <c r="J901" s="248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</row>
    <row r="902" ht="15.75" customHeight="1">
      <c r="A902" s="157"/>
      <c r="B902" s="250"/>
      <c r="C902" s="250"/>
      <c r="D902" s="157"/>
      <c r="E902" s="157"/>
      <c r="F902" s="157"/>
      <c r="G902" s="157"/>
      <c r="H902" s="157"/>
      <c r="I902" s="157"/>
      <c r="J902" s="248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</row>
    <row r="903" ht="15.75" customHeight="1">
      <c r="A903" s="157"/>
      <c r="B903" s="250"/>
      <c r="C903" s="250"/>
      <c r="D903" s="157"/>
      <c r="E903" s="157"/>
      <c r="F903" s="157"/>
      <c r="G903" s="157"/>
      <c r="H903" s="157"/>
      <c r="I903" s="157"/>
      <c r="J903" s="248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</row>
    <row r="904" ht="15.75" customHeight="1">
      <c r="A904" s="157"/>
      <c r="B904" s="250"/>
      <c r="C904" s="250"/>
      <c r="D904" s="157"/>
      <c r="E904" s="157"/>
      <c r="F904" s="157"/>
      <c r="G904" s="157"/>
      <c r="H904" s="157"/>
      <c r="I904" s="157"/>
      <c r="J904" s="248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</row>
    <row r="905" ht="15.75" customHeight="1">
      <c r="A905" s="157"/>
      <c r="B905" s="250"/>
      <c r="C905" s="250"/>
      <c r="D905" s="157"/>
      <c r="E905" s="157"/>
      <c r="F905" s="157"/>
      <c r="G905" s="157"/>
      <c r="H905" s="157"/>
      <c r="I905" s="157"/>
      <c r="J905" s="248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</row>
    <row r="906" ht="15.75" customHeight="1">
      <c r="A906" s="157"/>
      <c r="B906" s="250"/>
      <c r="C906" s="250"/>
      <c r="D906" s="157"/>
      <c r="E906" s="157"/>
      <c r="F906" s="157"/>
      <c r="G906" s="157"/>
      <c r="H906" s="157"/>
      <c r="I906" s="157"/>
      <c r="J906" s="248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</row>
    <row r="907" ht="15.75" customHeight="1">
      <c r="A907" s="157"/>
      <c r="B907" s="250"/>
      <c r="C907" s="250"/>
      <c r="D907" s="157"/>
      <c r="E907" s="157"/>
      <c r="F907" s="157"/>
      <c r="G907" s="157"/>
      <c r="H907" s="157"/>
      <c r="I907" s="157"/>
      <c r="J907" s="248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</row>
    <row r="908" ht="15.75" customHeight="1">
      <c r="A908" s="157"/>
      <c r="B908" s="250"/>
      <c r="C908" s="250"/>
      <c r="D908" s="157"/>
      <c r="E908" s="157"/>
      <c r="F908" s="157"/>
      <c r="G908" s="157"/>
      <c r="H908" s="157"/>
      <c r="I908" s="157"/>
      <c r="J908" s="248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</row>
    <row r="909" ht="15.75" customHeight="1">
      <c r="A909" s="157"/>
      <c r="B909" s="250"/>
      <c r="C909" s="250"/>
      <c r="D909" s="157"/>
      <c r="E909" s="157"/>
      <c r="F909" s="157"/>
      <c r="G909" s="157"/>
      <c r="H909" s="157"/>
      <c r="I909" s="157"/>
      <c r="J909" s="248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</row>
    <row r="910" ht="15.75" customHeight="1">
      <c r="A910" s="157"/>
      <c r="B910" s="250"/>
      <c r="C910" s="250"/>
      <c r="D910" s="157"/>
      <c r="E910" s="157"/>
      <c r="F910" s="157"/>
      <c r="G910" s="157"/>
      <c r="H910" s="157"/>
      <c r="I910" s="157"/>
      <c r="J910" s="248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</row>
    <row r="911" ht="15.75" customHeight="1">
      <c r="A911" s="157"/>
      <c r="B911" s="250"/>
      <c r="C911" s="250"/>
      <c r="D911" s="157"/>
      <c r="E911" s="157"/>
      <c r="F911" s="157"/>
      <c r="G911" s="157"/>
      <c r="H911" s="157"/>
      <c r="I911" s="157"/>
      <c r="J911" s="248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</row>
    <row r="912" ht="15.75" customHeight="1">
      <c r="A912" s="157"/>
      <c r="B912" s="250"/>
      <c r="C912" s="250"/>
      <c r="D912" s="157"/>
      <c r="E912" s="157"/>
      <c r="F912" s="157"/>
      <c r="G912" s="157"/>
      <c r="H912" s="157"/>
      <c r="I912" s="157"/>
      <c r="J912" s="248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</row>
    <row r="913" ht="15.75" customHeight="1">
      <c r="A913" s="157"/>
      <c r="B913" s="250"/>
      <c r="C913" s="250"/>
      <c r="D913" s="157"/>
      <c r="E913" s="157"/>
      <c r="F913" s="157"/>
      <c r="G913" s="157"/>
      <c r="H913" s="157"/>
      <c r="I913" s="157"/>
      <c r="J913" s="248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</row>
    <row r="914" ht="15.75" customHeight="1">
      <c r="A914" s="157"/>
      <c r="B914" s="250"/>
      <c r="C914" s="250"/>
      <c r="D914" s="157"/>
      <c r="E914" s="157"/>
      <c r="F914" s="157"/>
      <c r="G914" s="157"/>
      <c r="H914" s="157"/>
      <c r="I914" s="157"/>
      <c r="J914" s="248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</row>
    <row r="915" ht="15.75" customHeight="1">
      <c r="A915" s="157"/>
      <c r="B915" s="250"/>
      <c r="C915" s="250"/>
      <c r="D915" s="157"/>
      <c r="E915" s="157"/>
      <c r="F915" s="157"/>
      <c r="G915" s="157"/>
      <c r="H915" s="157"/>
      <c r="I915" s="157"/>
      <c r="J915" s="248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</row>
    <row r="916" ht="15.75" customHeight="1">
      <c r="A916" s="157"/>
      <c r="B916" s="250"/>
      <c r="C916" s="250"/>
      <c r="D916" s="157"/>
      <c r="E916" s="157"/>
      <c r="F916" s="157"/>
      <c r="G916" s="157"/>
      <c r="H916" s="157"/>
      <c r="I916" s="157"/>
      <c r="J916" s="248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</row>
    <row r="917" ht="15.75" customHeight="1">
      <c r="A917" s="157"/>
      <c r="B917" s="250"/>
      <c r="C917" s="250"/>
      <c r="D917" s="157"/>
      <c r="E917" s="157"/>
      <c r="F917" s="157"/>
      <c r="G917" s="157"/>
      <c r="H917" s="157"/>
      <c r="I917" s="157"/>
      <c r="J917" s="248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</row>
    <row r="918" ht="15.75" customHeight="1">
      <c r="A918" s="157"/>
      <c r="B918" s="250"/>
      <c r="C918" s="250"/>
      <c r="D918" s="157"/>
      <c r="E918" s="157"/>
      <c r="F918" s="157"/>
      <c r="G918" s="157"/>
      <c r="H918" s="157"/>
      <c r="I918" s="157"/>
      <c r="J918" s="248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</row>
    <row r="919" ht="15.75" customHeight="1">
      <c r="A919" s="157"/>
      <c r="B919" s="250"/>
      <c r="C919" s="250"/>
      <c r="D919" s="157"/>
      <c r="E919" s="157"/>
      <c r="F919" s="157"/>
      <c r="G919" s="157"/>
      <c r="H919" s="157"/>
      <c r="I919" s="157"/>
      <c r="J919" s="248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</row>
    <row r="920" ht="15.75" customHeight="1">
      <c r="A920" s="157"/>
      <c r="B920" s="250"/>
      <c r="C920" s="250"/>
      <c r="D920" s="157"/>
      <c r="E920" s="157"/>
      <c r="F920" s="157"/>
      <c r="G920" s="157"/>
      <c r="H920" s="157"/>
      <c r="I920" s="157"/>
      <c r="J920" s="248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</row>
    <row r="921" ht="15.75" customHeight="1">
      <c r="A921" s="157"/>
      <c r="B921" s="250"/>
      <c r="C921" s="250"/>
      <c r="D921" s="157"/>
      <c r="E921" s="157"/>
      <c r="F921" s="157"/>
      <c r="G921" s="157"/>
      <c r="H921" s="157"/>
      <c r="I921" s="157"/>
      <c r="J921" s="248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</row>
    <row r="922" ht="15.75" customHeight="1">
      <c r="A922" s="157"/>
      <c r="B922" s="250"/>
      <c r="C922" s="250"/>
      <c r="D922" s="157"/>
      <c r="E922" s="157"/>
      <c r="F922" s="157"/>
      <c r="G922" s="157"/>
      <c r="H922" s="157"/>
      <c r="I922" s="157"/>
      <c r="J922" s="248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</row>
    <row r="923" ht="15.75" customHeight="1">
      <c r="A923" s="157"/>
      <c r="B923" s="250"/>
      <c r="C923" s="250"/>
      <c r="D923" s="157"/>
      <c r="E923" s="157"/>
      <c r="F923" s="157"/>
      <c r="G923" s="157"/>
      <c r="H923" s="157"/>
      <c r="I923" s="157"/>
      <c r="J923" s="248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</row>
    <row r="924" ht="15.75" customHeight="1">
      <c r="A924" s="157"/>
      <c r="B924" s="250"/>
      <c r="C924" s="250"/>
      <c r="D924" s="157"/>
      <c r="E924" s="157"/>
      <c r="F924" s="157"/>
      <c r="G924" s="157"/>
      <c r="H924" s="157"/>
      <c r="I924" s="157"/>
      <c r="J924" s="248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</row>
    <row r="925" ht="15.75" customHeight="1">
      <c r="A925" s="157"/>
      <c r="B925" s="250"/>
      <c r="C925" s="250"/>
      <c r="D925" s="157"/>
      <c r="E925" s="157"/>
      <c r="F925" s="157"/>
      <c r="G925" s="157"/>
      <c r="H925" s="157"/>
      <c r="I925" s="157"/>
      <c r="J925" s="248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</row>
    <row r="926" ht="15.75" customHeight="1">
      <c r="A926" s="157"/>
      <c r="B926" s="250"/>
      <c r="C926" s="250"/>
      <c r="D926" s="157"/>
      <c r="E926" s="157"/>
      <c r="F926" s="157"/>
      <c r="G926" s="157"/>
      <c r="H926" s="157"/>
      <c r="I926" s="157"/>
      <c r="J926" s="248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</row>
    <row r="927" ht="15.75" customHeight="1">
      <c r="A927" s="157"/>
      <c r="B927" s="250"/>
      <c r="C927" s="250"/>
      <c r="D927" s="157"/>
      <c r="E927" s="157"/>
      <c r="F927" s="157"/>
      <c r="G927" s="157"/>
      <c r="H927" s="157"/>
      <c r="I927" s="157"/>
      <c r="J927" s="248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</row>
    <row r="928" ht="15.75" customHeight="1">
      <c r="A928" s="157"/>
      <c r="B928" s="250"/>
      <c r="C928" s="250"/>
      <c r="D928" s="157"/>
      <c r="E928" s="157"/>
      <c r="F928" s="157"/>
      <c r="G928" s="157"/>
      <c r="H928" s="157"/>
      <c r="I928" s="157"/>
      <c r="J928" s="248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</row>
    <row r="929" ht="15.75" customHeight="1">
      <c r="A929" s="157"/>
      <c r="B929" s="250"/>
      <c r="C929" s="250"/>
      <c r="D929" s="157"/>
      <c r="E929" s="157"/>
      <c r="F929" s="157"/>
      <c r="G929" s="157"/>
      <c r="H929" s="157"/>
      <c r="I929" s="157"/>
      <c r="J929" s="248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</row>
    <row r="930" ht="15.75" customHeight="1">
      <c r="A930" s="157"/>
      <c r="B930" s="250"/>
      <c r="C930" s="250"/>
      <c r="D930" s="157"/>
      <c r="E930" s="157"/>
      <c r="F930" s="157"/>
      <c r="G930" s="157"/>
      <c r="H930" s="157"/>
      <c r="I930" s="157"/>
      <c r="J930" s="248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</row>
    <row r="931" ht="15.75" customHeight="1">
      <c r="A931" s="157"/>
      <c r="B931" s="250"/>
      <c r="C931" s="250"/>
      <c r="D931" s="157"/>
      <c r="E931" s="157"/>
      <c r="F931" s="157"/>
      <c r="G931" s="157"/>
      <c r="H931" s="157"/>
      <c r="I931" s="157"/>
      <c r="J931" s="248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</row>
    <row r="932" ht="15.75" customHeight="1">
      <c r="A932" s="157"/>
      <c r="B932" s="250"/>
      <c r="C932" s="250"/>
      <c r="D932" s="157"/>
      <c r="E932" s="157"/>
      <c r="F932" s="157"/>
      <c r="G932" s="157"/>
      <c r="H932" s="157"/>
      <c r="I932" s="157"/>
      <c r="J932" s="248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</row>
    <row r="933" ht="15.75" customHeight="1">
      <c r="A933" s="157"/>
      <c r="B933" s="250"/>
      <c r="C933" s="250"/>
      <c r="D933" s="157"/>
      <c r="E933" s="157"/>
      <c r="F933" s="157"/>
      <c r="G933" s="157"/>
      <c r="H933" s="157"/>
      <c r="I933" s="157"/>
      <c r="J933" s="248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</row>
    <row r="934" ht="15.75" customHeight="1">
      <c r="A934" s="157"/>
      <c r="B934" s="250"/>
      <c r="C934" s="250"/>
      <c r="D934" s="157"/>
      <c r="E934" s="157"/>
      <c r="F934" s="157"/>
      <c r="G934" s="157"/>
      <c r="H934" s="157"/>
      <c r="I934" s="157"/>
      <c r="J934" s="248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</row>
    <row r="935" ht="15.75" customHeight="1">
      <c r="A935" s="157"/>
      <c r="B935" s="250"/>
      <c r="C935" s="250"/>
      <c r="D935" s="157"/>
      <c r="E935" s="157"/>
      <c r="F935" s="157"/>
      <c r="G935" s="157"/>
      <c r="H935" s="157"/>
      <c r="I935" s="157"/>
      <c r="J935" s="248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</row>
    <row r="936" ht="15.75" customHeight="1">
      <c r="A936" s="157"/>
      <c r="B936" s="250"/>
      <c r="C936" s="250"/>
      <c r="D936" s="157"/>
      <c r="E936" s="157"/>
      <c r="F936" s="157"/>
      <c r="G936" s="157"/>
      <c r="H936" s="157"/>
      <c r="I936" s="157"/>
      <c r="J936" s="248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</row>
    <row r="937" ht="15.75" customHeight="1">
      <c r="A937" s="157"/>
      <c r="B937" s="250"/>
      <c r="C937" s="250"/>
      <c r="D937" s="157"/>
      <c r="E937" s="157"/>
      <c r="F937" s="157"/>
      <c r="G937" s="157"/>
      <c r="H937" s="157"/>
      <c r="I937" s="157"/>
      <c r="J937" s="248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</row>
    <row r="938" ht="15.75" customHeight="1">
      <c r="A938" s="157"/>
      <c r="B938" s="250"/>
      <c r="C938" s="250"/>
      <c r="D938" s="157"/>
      <c r="E938" s="157"/>
      <c r="F938" s="157"/>
      <c r="G938" s="157"/>
      <c r="H938" s="157"/>
      <c r="I938" s="157"/>
      <c r="J938" s="248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</row>
    <row r="939" ht="15.75" customHeight="1">
      <c r="A939" s="157"/>
      <c r="B939" s="250"/>
      <c r="C939" s="250"/>
      <c r="D939" s="157"/>
      <c r="E939" s="157"/>
      <c r="F939" s="157"/>
      <c r="G939" s="157"/>
      <c r="H939" s="157"/>
      <c r="I939" s="157"/>
      <c r="J939" s="248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</row>
    <row r="940" ht="15.75" customHeight="1">
      <c r="A940" s="157"/>
      <c r="B940" s="250"/>
      <c r="C940" s="250"/>
      <c r="D940" s="157"/>
      <c r="E940" s="157"/>
      <c r="F940" s="157"/>
      <c r="G940" s="157"/>
      <c r="H940" s="157"/>
      <c r="I940" s="157"/>
      <c r="J940" s="248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</row>
    <row r="941" ht="15.75" customHeight="1">
      <c r="A941" s="157"/>
      <c r="B941" s="250"/>
      <c r="C941" s="250"/>
      <c r="D941" s="157"/>
      <c r="E941" s="157"/>
      <c r="F941" s="157"/>
      <c r="G941" s="157"/>
      <c r="H941" s="157"/>
      <c r="I941" s="157"/>
      <c r="J941" s="248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</row>
    <row r="942" ht="15.75" customHeight="1">
      <c r="A942" s="157"/>
      <c r="B942" s="250"/>
      <c r="C942" s="250"/>
      <c r="D942" s="157"/>
      <c r="E942" s="157"/>
      <c r="F942" s="157"/>
      <c r="G942" s="157"/>
      <c r="H942" s="157"/>
      <c r="I942" s="157"/>
      <c r="J942" s="248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</row>
    <row r="943" ht="15.75" customHeight="1">
      <c r="A943" s="157"/>
      <c r="B943" s="250"/>
      <c r="C943" s="250"/>
      <c r="D943" s="157"/>
      <c r="E943" s="157"/>
      <c r="F943" s="157"/>
      <c r="G943" s="157"/>
      <c r="H943" s="157"/>
      <c r="I943" s="157"/>
      <c r="J943" s="248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</row>
    <row r="944" ht="15.75" customHeight="1">
      <c r="A944" s="157"/>
      <c r="B944" s="250"/>
      <c r="C944" s="250"/>
      <c r="D944" s="157"/>
      <c r="E944" s="157"/>
      <c r="F944" s="157"/>
      <c r="G944" s="157"/>
      <c r="H944" s="157"/>
      <c r="I944" s="157"/>
      <c r="J944" s="248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</row>
    <row r="945" ht="15.75" customHeight="1">
      <c r="A945" s="157"/>
      <c r="B945" s="250"/>
      <c r="C945" s="250"/>
      <c r="D945" s="157"/>
      <c r="E945" s="157"/>
      <c r="F945" s="157"/>
      <c r="G945" s="157"/>
      <c r="H945" s="157"/>
      <c r="I945" s="157"/>
      <c r="J945" s="248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</row>
    <row r="946" ht="15.75" customHeight="1">
      <c r="A946" s="157"/>
      <c r="B946" s="250"/>
      <c r="C946" s="250"/>
      <c r="D946" s="157"/>
      <c r="E946" s="157"/>
      <c r="F946" s="157"/>
      <c r="G946" s="157"/>
      <c r="H946" s="157"/>
      <c r="I946" s="157"/>
      <c r="J946" s="248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</row>
    <row r="947" ht="15.75" customHeight="1">
      <c r="A947" s="157"/>
      <c r="B947" s="250"/>
      <c r="C947" s="250"/>
      <c r="D947" s="157"/>
      <c r="E947" s="157"/>
      <c r="F947" s="157"/>
      <c r="G947" s="157"/>
      <c r="H947" s="157"/>
      <c r="I947" s="157"/>
      <c r="J947" s="248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</row>
    <row r="948" ht="15.75" customHeight="1">
      <c r="A948" s="157"/>
      <c r="B948" s="250"/>
      <c r="C948" s="250"/>
      <c r="D948" s="157"/>
      <c r="E948" s="157"/>
      <c r="F948" s="157"/>
      <c r="G948" s="157"/>
      <c r="H948" s="157"/>
      <c r="I948" s="157"/>
      <c r="J948" s="248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</row>
    <row r="949" ht="15.75" customHeight="1">
      <c r="A949" s="157"/>
      <c r="B949" s="250"/>
      <c r="C949" s="250"/>
      <c r="D949" s="157"/>
      <c r="E949" s="157"/>
      <c r="F949" s="157"/>
      <c r="G949" s="157"/>
      <c r="H949" s="157"/>
      <c r="I949" s="157"/>
      <c r="J949" s="248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</row>
    <row r="950" ht="15.75" customHeight="1">
      <c r="A950" s="157"/>
      <c r="B950" s="250"/>
      <c r="C950" s="250"/>
      <c r="D950" s="157"/>
      <c r="E950" s="157"/>
      <c r="F950" s="157"/>
      <c r="G950" s="157"/>
      <c r="H950" s="157"/>
      <c r="I950" s="157"/>
      <c r="J950" s="248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</row>
    <row r="951" ht="15.75" customHeight="1">
      <c r="A951" s="157"/>
      <c r="B951" s="250"/>
      <c r="C951" s="250"/>
      <c r="D951" s="157"/>
      <c r="E951" s="157"/>
      <c r="F951" s="157"/>
      <c r="G951" s="157"/>
      <c r="H951" s="157"/>
      <c r="I951" s="157"/>
      <c r="J951" s="248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</row>
    <row r="952" ht="15.75" customHeight="1">
      <c r="A952" s="157"/>
      <c r="B952" s="250"/>
      <c r="C952" s="250"/>
      <c r="D952" s="157"/>
      <c r="E952" s="157"/>
      <c r="F952" s="157"/>
      <c r="G952" s="157"/>
      <c r="H952" s="157"/>
      <c r="I952" s="157"/>
      <c r="J952" s="248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</row>
    <row r="953" ht="15.75" customHeight="1">
      <c r="A953" s="157"/>
      <c r="B953" s="250"/>
      <c r="C953" s="250"/>
      <c r="D953" s="157"/>
      <c r="E953" s="157"/>
      <c r="F953" s="157"/>
      <c r="G953" s="157"/>
      <c r="H953" s="157"/>
      <c r="I953" s="157"/>
      <c r="J953" s="248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</row>
    <row r="954" ht="15.75" customHeight="1">
      <c r="A954" s="157"/>
      <c r="B954" s="250"/>
      <c r="C954" s="250"/>
      <c r="D954" s="157"/>
      <c r="E954" s="157"/>
      <c r="F954" s="157"/>
      <c r="G954" s="157"/>
      <c r="H954" s="157"/>
      <c r="I954" s="157"/>
      <c r="J954" s="248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</row>
    <row r="955" ht="15.75" customHeight="1">
      <c r="A955" s="157"/>
      <c r="B955" s="250"/>
      <c r="C955" s="250"/>
      <c r="D955" s="157"/>
      <c r="E955" s="157"/>
      <c r="F955" s="157"/>
      <c r="G955" s="157"/>
      <c r="H955" s="157"/>
      <c r="I955" s="157"/>
      <c r="J955" s="248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</row>
    <row r="956" ht="15.75" customHeight="1">
      <c r="A956" s="157"/>
      <c r="B956" s="250"/>
      <c r="C956" s="250"/>
      <c r="D956" s="157"/>
      <c r="E956" s="157"/>
      <c r="F956" s="157"/>
      <c r="G956" s="157"/>
      <c r="H956" s="157"/>
      <c r="I956" s="157"/>
      <c r="J956" s="248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</row>
    <row r="957" ht="15.75" customHeight="1">
      <c r="A957" s="157"/>
      <c r="B957" s="250"/>
      <c r="C957" s="250"/>
      <c r="D957" s="157"/>
      <c r="E957" s="157"/>
      <c r="F957" s="157"/>
      <c r="G957" s="157"/>
      <c r="H957" s="157"/>
      <c r="I957" s="157"/>
      <c r="J957" s="248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</row>
    <row r="958" ht="15.75" customHeight="1">
      <c r="A958" s="157"/>
      <c r="B958" s="250"/>
      <c r="C958" s="250"/>
      <c r="D958" s="157"/>
      <c r="E958" s="157"/>
      <c r="F958" s="157"/>
      <c r="G958" s="157"/>
      <c r="H958" s="157"/>
      <c r="I958" s="157"/>
      <c r="J958" s="248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</row>
    <row r="959" ht="15.75" customHeight="1">
      <c r="A959" s="157"/>
      <c r="B959" s="250"/>
      <c r="C959" s="250"/>
      <c r="D959" s="157"/>
      <c r="E959" s="157"/>
      <c r="F959" s="157"/>
      <c r="G959" s="157"/>
      <c r="H959" s="157"/>
      <c r="I959" s="157"/>
      <c r="J959" s="248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</row>
    <row r="960" ht="15.75" customHeight="1">
      <c r="A960" s="157"/>
      <c r="B960" s="250"/>
      <c r="C960" s="250"/>
      <c r="D960" s="157"/>
      <c r="E960" s="157"/>
      <c r="F960" s="157"/>
      <c r="G960" s="157"/>
      <c r="H960" s="157"/>
      <c r="I960" s="157"/>
      <c r="J960" s="248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</row>
    <row r="961" ht="15.75" customHeight="1">
      <c r="A961" s="157"/>
      <c r="B961" s="250"/>
      <c r="C961" s="250"/>
      <c r="D961" s="157"/>
      <c r="E961" s="157"/>
      <c r="F961" s="157"/>
      <c r="G961" s="157"/>
      <c r="H961" s="157"/>
      <c r="I961" s="157"/>
      <c r="J961" s="248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</row>
    <row r="962" ht="15.75" customHeight="1">
      <c r="A962" s="157"/>
      <c r="B962" s="250"/>
      <c r="C962" s="250"/>
      <c r="D962" s="157"/>
      <c r="E962" s="157"/>
      <c r="F962" s="157"/>
      <c r="G962" s="157"/>
      <c r="H962" s="157"/>
      <c r="I962" s="157"/>
      <c r="J962" s="248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</row>
    <row r="963" ht="15.75" customHeight="1">
      <c r="A963" s="157"/>
      <c r="B963" s="250"/>
      <c r="C963" s="250"/>
      <c r="D963" s="157"/>
      <c r="E963" s="157"/>
      <c r="F963" s="157"/>
      <c r="G963" s="157"/>
      <c r="H963" s="157"/>
      <c r="I963" s="157"/>
      <c r="J963" s="248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</row>
    <row r="964" ht="15.75" customHeight="1">
      <c r="A964" s="157"/>
      <c r="B964" s="250"/>
      <c r="C964" s="250"/>
      <c r="D964" s="157"/>
      <c r="E964" s="157"/>
      <c r="F964" s="157"/>
      <c r="G964" s="157"/>
      <c r="H964" s="157"/>
      <c r="I964" s="157"/>
      <c r="J964" s="248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</row>
    <row r="965" ht="15.75" customHeight="1">
      <c r="A965" s="157"/>
      <c r="B965" s="250"/>
      <c r="C965" s="250"/>
      <c r="D965" s="157"/>
      <c r="E965" s="157"/>
      <c r="F965" s="157"/>
      <c r="G965" s="157"/>
      <c r="H965" s="157"/>
      <c r="I965" s="157"/>
      <c r="J965" s="248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</row>
    <row r="966" ht="15.75" customHeight="1">
      <c r="A966" s="157"/>
      <c r="B966" s="250"/>
      <c r="C966" s="250"/>
      <c r="D966" s="157"/>
      <c r="E966" s="157"/>
      <c r="F966" s="157"/>
      <c r="G966" s="157"/>
      <c r="H966" s="157"/>
      <c r="I966" s="157"/>
      <c r="J966" s="248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</row>
    <row r="967" ht="15.75" customHeight="1">
      <c r="A967" s="157"/>
      <c r="B967" s="250"/>
      <c r="C967" s="250"/>
      <c r="D967" s="157"/>
      <c r="E967" s="157"/>
      <c r="F967" s="157"/>
      <c r="G967" s="157"/>
      <c r="H967" s="157"/>
      <c r="I967" s="157"/>
      <c r="J967" s="248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</row>
    <row r="968" ht="15.75" customHeight="1">
      <c r="A968" s="157"/>
      <c r="B968" s="250"/>
      <c r="C968" s="250"/>
      <c r="D968" s="157"/>
      <c r="E968" s="157"/>
      <c r="F968" s="157"/>
      <c r="G968" s="157"/>
      <c r="H968" s="157"/>
      <c r="I968" s="157"/>
      <c r="J968" s="248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</row>
    <row r="969" ht="15.75" customHeight="1">
      <c r="A969" s="157"/>
      <c r="B969" s="250"/>
      <c r="C969" s="250"/>
      <c r="D969" s="157"/>
      <c r="E969" s="157"/>
      <c r="F969" s="157"/>
      <c r="G969" s="157"/>
      <c r="H969" s="157"/>
      <c r="I969" s="157"/>
      <c r="J969" s="248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</row>
    <row r="970" ht="15.75" customHeight="1">
      <c r="A970" s="157"/>
      <c r="B970" s="250"/>
      <c r="C970" s="250"/>
      <c r="D970" s="157"/>
      <c r="E970" s="157"/>
      <c r="F970" s="157"/>
      <c r="G970" s="157"/>
      <c r="H970" s="157"/>
      <c r="I970" s="157"/>
      <c r="J970" s="248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</row>
    <row r="971" ht="15.75" customHeight="1">
      <c r="A971" s="157"/>
      <c r="B971" s="250"/>
      <c r="C971" s="250"/>
      <c r="D971" s="157"/>
      <c r="E971" s="157"/>
      <c r="F971" s="157"/>
      <c r="G971" s="157"/>
      <c r="H971" s="157"/>
      <c r="I971" s="157"/>
      <c r="J971" s="248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</row>
    <row r="972" ht="15.75" customHeight="1">
      <c r="A972" s="157"/>
      <c r="B972" s="250"/>
      <c r="C972" s="250"/>
      <c r="D972" s="157"/>
      <c r="E972" s="157"/>
      <c r="F972" s="157"/>
      <c r="G972" s="157"/>
      <c r="H972" s="157"/>
      <c r="I972" s="157"/>
      <c r="J972" s="248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</row>
    <row r="973" ht="15.75" customHeight="1">
      <c r="A973" s="157"/>
      <c r="B973" s="250"/>
      <c r="C973" s="250"/>
      <c r="D973" s="157"/>
      <c r="E973" s="157"/>
      <c r="F973" s="157"/>
      <c r="G973" s="157"/>
      <c r="H973" s="157"/>
      <c r="I973" s="157"/>
      <c r="J973" s="248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</row>
    <row r="974" ht="15.75" customHeight="1">
      <c r="A974" s="157"/>
      <c r="B974" s="250"/>
      <c r="C974" s="250"/>
      <c r="D974" s="157"/>
      <c r="E974" s="157"/>
      <c r="F974" s="157"/>
      <c r="G974" s="157"/>
      <c r="H974" s="157"/>
      <c r="I974" s="157"/>
      <c r="J974" s="248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</row>
    <row r="975" ht="15.75" customHeight="1">
      <c r="A975" s="157"/>
      <c r="B975" s="250"/>
      <c r="C975" s="250"/>
      <c r="D975" s="157"/>
      <c r="E975" s="157"/>
      <c r="F975" s="157"/>
      <c r="G975" s="157"/>
      <c r="H975" s="157"/>
      <c r="I975" s="157"/>
      <c r="J975" s="248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</row>
    <row r="976" ht="15.75" customHeight="1">
      <c r="A976" s="157"/>
      <c r="B976" s="250"/>
      <c r="C976" s="250"/>
      <c r="D976" s="157"/>
      <c r="E976" s="157"/>
      <c r="F976" s="157"/>
      <c r="G976" s="157"/>
      <c r="H976" s="157"/>
      <c r="I976" s="157"/>
      <c r="J976" s="248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</row>
    <row r="977" ht="15.75" customHeight="1">
      <c r="A977" s="157"/>
      <c r="B977" s="250"/>
      <c r="C977" s="250"/>
      <c r="D977" s="157"/>
      <c r="E977" s="157"/>
      <c r="F977" s="157"/>
      <c r="G977" s="157"/>
      <c r="H977" s="157"/>
      <c r="I977" s="157"/>
      <c r="J977" s="248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</row>
    <row r="978" ht="15.75" customHeight="1">
      <c r="A978" s="157"/>
      <c r="B978" s="250"/>
      <c r="C978" s="250"/>
      <c r="D978" s="157"/>
      <c r="E978" s="157"/>
      <c r="F978" s="157"/>
      <c r="G978" s="157"/>
      <c r="H978" s="157"/>
      <c r="I978" s="157"/>
      <c r="J978" s="248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</row>
    <row r="979" ht="15.75" customHeight="1">
      <c r="A979" s="157"/>
      <c r="B979" s="250"/>
      <c r="C979" s="250"/>
      <c r="D979" s="157"/>
      <c r="E979" s="157"/>
      <c r="F979" s="157"/>
      <c r="G979" s="157"/>
      <c r="H979" s="157"/>
      <c r="I979" s="157"/>
      <c r="J979" s="248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</row>
    <row r="980" ht="15.75" customHeight="1">
      <c r="A980" s="157"/>
      <c r="B980" s="250"/>
      <c r="C980" s="250"/>
      <c r="D980" s="157"/>
      <c r="E980" s="157"/>
      <c r="F980" s="157"/>
      <c r="G980" s="157"/>
      <c r="H980" s="157"/>
      <c r="I980" s="157"/>
      <c r="J980" s="248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</row>
    <row r="981" ht="15.75" customHeight="1">
      <c r="A981" s="157"/>
      <c r="B981" s="250"/>
      <c r="C981" s="250"/>
      <c r="D981" s="157"/>
      <c r="E981" s="157"/>
      <c r="F981" s="157"/>
      <c r="G981" s="157"/>
      <c r="H981" s="157"/>
      <c r="I981" s="157"/>
      <c r="J981" s="248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</row>
    <row r="982" ht="15.75" customHeight="1">
      <c r="A982" s="157"/>
      <c r="B982" s="250"/>
      <c r="C982" s="250"/>
      <c r="D982" s="157"/>
      <c r="E982" s="157"/>
      <c r="F982" s="157"/>
      <c r="G982" s="157"/>
      <c r="H982" s="157"/>
      <c r="I982" s="157"/>
      <c r="J982" s="248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</row>
    <row r="983" ht="15.75" customHeight="1">
      <c r="A983" s="157"/>
      <c r="B983" s="250"/>
      <c r="C983" s="250"/>
      <c r="D983" s="157"/>
      <c r="E983" s="157"/>
      <c r="F983" s="157"/>
      <c r="G983" s="157"/>
      <c r="H983" s="157"/>
      <c r="I983" s="157"/>
      <c r="J983" s="248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</row>
    <row r="984" ht="15.75" customHeight="1">
      <c r="A984" s="157"/>
      <c r="B984" s="250"/>
      <c r="C984" s="250"/>
      <c r="D984" s="157"/>
      <c r="E984" s="157"/>
      <c r="F984" s="157"/>
      <c r="G984" s="157"/>
      <c r="H984" s="157"/>
      <c r="I984" s="157"/>
      <c r="J984" s="248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</row>
    <row r="985" ht="15.75" customHeight="1">
      <c r="A985" s="157"/>
      <c r="B985" s="250"/>
      <c r="C985" s="250"/>
      <c r="D985" s="157"/>
      <c r="E985" s="157"/>
      <c r="F985" s="157"/>
      <c r="G985" s="157"/>
      <c r="H985" s="157"/>
      <c r="I985" s="157"/>
      <c r="J985" s="248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</row>
    <row r="986" ht="15.75" customHeight="1">
      <c r="A986" s="157"/>
      <c r="B986" s="250"/>
      <c r="C986" s="250"/>
      <c r="D986" s="157"/>
      <c r="E986" s="157"/>
      <c r="F986" s="157"/>
      <c r="G986" s="157"/>
      <c r="H986" s="157"/>
      <c r="I986" s="157"/>
      <c r="J986" s="248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</row>
    <row r="987" ht="15.75" customHeight="1">
      <c r="A987" s="157"/>
      <c r="B987" s="250"/>
      <c r="C987" s="250"/>
      <c r="D987" s="157"/>
      <c r="E987" s="157"/>
      <c r="F987" s="157"/>
      <c r="G987" s="157"/>
      <c r="H987" s="157"/>
      <c r="I987" s="157"/>
      <c r="J987" s="248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</row>
    <row r="988" ht="15.75" customHeight="1">
      <c r="A988" s="157"/>
      <c r="B988" s="250"/>
      <c r="C988" s="250"/>
      <c r="D988" s="157"/>
      <c r="E988" s="157"/>
      <c r="F988" s="157"/>
      <c r="G988" s="157"/>
      <c r="H988" s="157"/>
      <c r="I988" s="157"/>
      <c r="J988" s="248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</row>
    <row r="989" ht="15.75" customHeight="1">
      <c r="A989" s="157"/>
      <c r="B989" s="250"/>
      <c r="C989" s="250"/>
      <c r="D989" s="157"/>
      <c r="E989" s="157"/>
      <c r="F989" s="157"/>
      <c r="G989" s="157"/>
      <c r="H989" s="157"/>
      <c r="I989" s="157"/>
      <c r="J989" s="248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</row>
    <row r="990" ht="15.75" customHeight="1">
      <c r="A990" s="157"/>
      <c r="B990" s="250"/>
      <c r="C990" s="250"/>
      <c r="D990" s="157"/>
      <c r="E990" s="157"/>
      <c r="F990" s="157"/>
      <c r="G990" s="157"/>
      <c r="H990" s="157"/>
      <c r="I990" s="157"/>
      <c r="J990" s="248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</row>
    <row r="991" ht="15.75" customHeight="1">
      <c r="A991" s="157"/>
      <c r="B991" s="250"/>
      <c r="C991" s="250"/>
      <c r="D991" s="157"/>
      <c r="E991" s="157"/>
      <c r="F991" s="157"/>
      <c r="G991" s="157"/>
      <c r="H991" s="157"/>
      <c r="I991" s="157"/>
      <c r="J991" s="248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</row>
    <row r="992" ht="15.75" customHeight="1">
      <c r="A992" s="157"/>
      <c r="B992" s="250"/>
      <c r="C992" s="250"/>
      <c r="D992" s="157"/>
      <c r="E992" s="157"/>
      <c r="F992" s="157"/>
      <c r="G992" s="157"/>
      <c r="H992" s="157"/>
      <c r="I992" s="157"/>
      <c r="J992" s="248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</row>
    <row r="993" ht="15.75" customHeight="1">
      <c r="A993" s="157"/>
      <c r="B993" s="250"/>
      <c r="C993" s="250"/>
      <c r="D993" s="157"/>
      <c r="E993" s="157"/>
      <c r="F993" s="157"/>
      <c r="G993" s="157"/>
      <c r="H993" s="157"/>
      <c r="I993" s="157"/>
      <c r="J993" s="248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</row>
    <row r="994" ht="15.75" customHeight="1">
      <c r="A994" s="157"/>
      <c r="B994" s="250"/>
      <c r="C994" s="250"/>
      <c r="D994" s="157"/>
      <c r="E994" s="157"/>
      <c r="F994" s="157"/>
      <c r="G994" s="157"/>
      <c r="H994" s="157"/>
      <c r="I994" s="157"/>
      <c r="J994" s="248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</row>
    <row r="995" ht="15.75" customHeight="1">
      <c r="A995" s="157"/>
      <c r="B995" s="250"/>
      <c r="C995" s="250"/>
      <c r="D995" s="157"/>
      <c r="E995" s="157"/>
      <c r="F995" s="157"/>
      <c r="G995" s="157"/>
      <c r="H995" s="157"/>
      <c r="I995" s="157"/>
      <c r="J995" s="248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</row>
    <row r="996" ht="15.75" customHeight="1">
      <c r="A996" s="157"/>
      <c r="B996" s="250"/>
      <c r="C996" s="250"/>
      <c r="D996" s="157"/>
      <c r="E996" s="157"/>
      <c r="F996" s="157"/>
      <c r="G996" s="157"/>
      <c r="H996" s="157"/>
      <c r="I996" s="157"/>
      <c r="J996" s="248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</row>
    <row r="997" ht="15.75" customHeight="1">
      <c r="A997" s="157"/>
      <c r="B997" s="250"/>
      <c r="C997" s="250"/>
      <c r="D997" s="157"/>
      <c r="E997" s="157"/>
      <c r="F997" s="157"/>
      <c r="G997" s="157"/>
      <c r="H997" s="157"/>
      <c r="I997" s="157"/>
      <c r="J997" s="248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</row>
    <row r="998" ht="15.75" customHeight="1">
      <c r="A998" s="157"/>
      <c r="B998" s="250"/>
      <c r="C998" s="250"/>
      <c r="D998" s="157"/>
      <c r="E998" s="157"/>
      <c r="F998" s="157"/>
      <c r="G998" s="157"/>
      <c r="H998" s="157"/>
      <c r="I998" s="157"/>
      <c r="J998" s="248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</row>
    <row r="999" ht="15.75" customHeight="1">
      <c r="A999" s="157"/>
      <c r="B999" s="250"/>
      <c r="C999" s="250"/>
      <c r="D999" s="157"/>
      <c r="E999" s="157"/>
      <c r="F999" s="157"/>
      <c r="G999" s="157"/>
      <c r="H999" s="157"/>
      <c r="I999" s="157"/>
      <c r="J999" s="248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</row>
    <row r="1000" ht="15.75" customHeight="1">
      <c r="A1000" s="157"/>
      <c r="B1000" s="250"/>
      <c r="C1000" s="250"/>
      <c r="D1000" s="157"/>
      <c r="E1000" s="157"/>
      <c r="F1000" s="157"/>
      <c r="G1000" s="157"/>
      <c r="H1000" s="157"/>
      <c r="I1000" s="157"/>
      <c r="J1000" s="248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</row>
  </sheetData>
  <autoFilter ref="$A$4:$I$13"/>
  <conditionalFormatting sqref="F6:F16">
    <cfRule type="cellIs" dxfId="6" priority="1" operator="greaterThan">
      <formula>0</formula>
    </cfRule>
  </conditionalFormatting>
  <printOptions/>
  <pageMargins bottom="0.75" footer="0.0" header="0.0" left="0.699305555555556" right="0.699305555555556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82.5"/>
    <col customWidth="1" min="3" max="26" width="9.0"/>
  </cols>
  <sheetData>
    <row r="1" ht="14.25" customHeight="1">
      <c r="A1" s="251" t="s">
        <v>263</v>
      </c>
      <c r="B1" s="251" t="s">
        <v>170</v>
      </c>
    </row>
    <row r="2" ht="14.25" customHeight="1">
      <c r="A2" s="251" t="s">
        <v>264</v>
      </c>
      <c r="B2" s="251" t="s">
        <v>265</v>
      </c>
    </row>
    <row r="3" ht="14.25" customHeight="1">
      <c r="A3" s="251" t="s">
        <v>64</v>
      </c>
      <c r="B3" s="251" t="s">
        <v>65</v>
      </c>
    </row>
    <row r="4" ht="14.25" customHeight="1">
      <c r="A4" s="251" t="s">
        <v>251</v>
      </c>
      <c r="B4" s="251" t="s">
        <v>252</v>
      </c>
    </row>
    <row r="5" ht="14.25" customHeight="1">
      <c r="A5" s="251" t="s">
        <v>50</v>
      </c>
      <c r="B5" s="251" t="s">
        <v>51</v>
      </c>
    </row>
    <row r="6" ht="14.25" customHeight="1">
      <c r="A6" s="251" t="s">
        <v>75</v>
      </c>
      <c r="B6" s="251" t="s">
        <v>76</v>
      </c>
    </row>
    <row r="7" ht="14.25" customHeight="1">
      <c r="A7" s="251" t="s">
        <v>28</v>
      </c>
      <c r="B7" s="251" t="s">
        <v>29</v>
      </c>
    </row>
    <row r="8" ht="14.25" customHeight="1">
      <c r="A8" s="251" t="s">
        <v>31</v>
      </c>
      <c r="B8" s="251" t="s">
        <v>32</v>
      </c>
    </row>
    <row r="9" ht="14.25" customHeight="1">
      <c r="A9" s="251" t="s">
        <v>266</v>
      </c>
      <c r="B9" s="251" t="s">
        <v>267</v>
      </c>
    </row>
    <row r="10" ht="14.25" customHeight="1">
      <c r="A10" s="251" t="s">
        <v>268</v>
      </c>
      <c r="B10" s="251" t="s">
        <v>269</v>
      </c>
    </row>
    <row r="11" ht="14.25" customHeight="1">
      <c r="A11" s="251" t="s">
        <v>241</v>
      </c>
      <c r="B11" s="251" t="s">
        <v>270</v>
      </c>
    </row>
    <row r="12" ht="14.25" customHeight="1">
      <c r="A12" s="251" t="s">
        <v>271</v>
      </c>
      <c r="B12" s="251" t="s">
        <v>272</v>
      </c>
    </row>
    <row r="13" ht="14.25" customHeight="1">
      <c r="A13" s="251" t="s">
        <v>77</v>
      </c>
      <c r="B13" s="251" t="s">
        <v>78</v>
      </c>
    </row>
    <row r="14" ht="14.25" customHeight="1">
      <c r="A14" s="251" t="s">
        <v>273</v>
      </c>
      <c r="B14" s="251" t="s">
        <v>274</v>
      </c>
    </row>
    <row r="15" ht="14.25" customHeight="1">
      <c r="A15" s="251" t="s">
        <v>275</v>
      </c>
      <c r="B15" s="251" t="s">
        <v>128</v>
      </c>
    </row>
    <row r="16" ht="14.25" customHeight="1">
      <c r="A16" s="251" t="s">
        <v>276</v>
      </c>
      <c r="B16" s="251" t="s">
        <v>277</v>
      </c>
    </row>
    <row r="17" ht="14.25" customHeight="1">
      <c r="A17" s="251" t="s">
        <v>72</v>
      </c>
      <c r="B17" s="251" t="s">
        <v>73</v>
      </c>
    </row>
    <row r="18" ht="14.25" customHeight="1">
      <c r="A18" s="251" t="s">
        <v>33</v>
      </c>
      <c r="B18" s="251" t="s">
        <v>34</v>
      </c>
    </row>
    <row r="19" ht="14.25" customHeight="1">
      <c r="A19" s="251" t="s">
        <v>278</v>
      </c>
      <c r="B19" s="251" t="s">
        <v>279</v>
      </c>
    </row>
    <row r="20" ht="14.25" customHeight="1">
      <c r="A20" s="251" t="s">
        <v>280</v>
      </c>
      <c r="B20" s="251" t="s">
        <v>281</v>
      </c>
    </row>
    <row r="21" ht="14.25" customHeight="1">
      <c r="A21" s="251" t="s">
        <v>282</v>
      </c>
      <c r="B21" s="251" t="s">
        <v>283</v>
      </c>
    </row>
    <row r="22" ht="14.25" customHeight="1">
      <c r="A22" s="251" t="s">
        <v>284</v>
      </c>
      <c r="B22" s="251" t="s">
        <v>285</v>
      </c>
    </row>
    <row r="23" ht="14.25" customHeight="1">
      <c r="A23" s="251" t="s">
        <v>286</v>
      </c>
      <c r="B23" s="251" t="s">
        <v>287</v>
      </c>
    </row>
    <row r="24" ht="14.25" customHeight="1">
      <c r="A24" s="251" t="s">
        <v>288</v>
      </c>
      <c r="B24" s="251" t="s">
        <v>289</v>
      </c>
    </row>
    <row r="25" ht="14.25" customHeight="1">
      <c r="A25" s="251" t="s">
        <v>152</v>
      </c>
      <c r="B25" s="251" t="s">
        <v>153</v>
      </c>
    </row>
    <row r="26" ht="14.25" customHeight="1">
      <c r="A26" s="251" t="s">
        <v>290</v>
      </c>
      <c r="B26" s="251" t="s">
        <v>291</v>
      </c>
    </row>
    <row r="27" ht="14.25" customHeight="1">
      <c r="A27" s="251" t="s">
        <v>292</v>
      </c>
      <c r="B27" s="251" t="s">
        <v>293</v>
      </c>
    </row>
    <row r="28" ht="14.25" customHeight="1">
      <c r="A28" s="251" t="s">
        <v>294</v>
      </c>
      <c r="B28" s="251" t="s">
        <v>295</v>
      </c>
    </row>
    <row r="29" ht="14.25" customHeight="1">
      <c r="A29" s="251" t="s">
        <v>296</v>
      </c>
      <c r="B29" s="251" t="s">
        <v>297</v>
      </c>
    </row>
    <row r="30" ht="14.25" customHeight="1">
      <c r="A30" s="251" t="s">
        <v>298</v>
      </c>
      <c r="B30" s="251" t="s">
        <v>299</v>
      </c>
    </row>
    <row r="31" ht="14.25" customHeight="1">
      <c r="A31" s="251" t="s">
        <v>39</v>
      </c>
      <c r="B31" s="251" t="s">
        <v>40</v>
      </c>
    </row>
    <row r="32" ht="14.25" customHeight="1">
      <c r="A32" s="251" t="s">
        <v>300</v>
      </c>
      <c r="B32" s="251" t="s">
        <v>301</v>
      </c>
    </row>
    <row r="33" ht="14.25" customHeight="1">
      <c r="A33" s="251" t="s">
        <v>302</v>
      </c>
      <c r="B33" s="251" t="s">
        <v>303</v>
      </c>
    </row>
    <row r="34" ht="14.25" customHeight="1">
      <c r="A34" s="251" t="s">
        <v>304</v>
      </c>
      <c r="B34" s="251" t="s">
        <v>305</v>
      </c>
    </row>
    <row r="35" ht="14.25" customHeight="1">
      <c r="A35" s="251" t="s">
        <v>306</v>
      </c>
      <c r="B35" s="251" t="s">
        <v>307</v>
      </c>
    </row>
    <row r="36" ht="14.25" customHeight="1">
      <c r="A36" s="251" t="s">
        <v>263</v>
      </c>
      <c r="B36" s="251" t="s">
        <v>170</v>
      </c>
    </row>
    <row r="37" ht="14.25" customHeight="1">
      <c r="A37" s="251" t="s">
        <v>43</v>
      </c>
      <c r="B37" s="251" t="s">
        <v>44</v>
      </c>
    </row>
    <row r="38" ht="14.25" customHeight="1">
      <c r="A38" s="251" t="s">
        <v>45</v>
      </c>
      <c r="B38" s="251" t="s">
        <v>46</v>
      </c>
    </row>
    <row r="39" ht="14.25" customHeight="1">
      <c r="A39" s="251" t="s">
        <v>308</v>
      </c>
      <c r="B39" s="251" t="s">
        <v>309</v>
      </c>
    </row>
    <row r="40" ht="14.25" customHeight="1">
      <c r="A40" s="251" t="s">
        <v>260</v>
      </c>
      <c r="B40" s="251" t="s">
        <v>261</v>
      </c>
    </row>
    <row r="41" ht="14.25" customHeight="1">
      <c r="A41" s="251" t="s">
        <v>41</v>
      </c>
      <c r="B41" s="251" t="s">
        <v>42</v>
      </c>
    </row>
    <row r="42" ht="14.25" customHeight="1">
      <c r="A42" s="251" t="s">
        <v>60</v>
      </c>
      <c r="B42" s="251" t="s">
        <v>61</v>
      </c>
    </row>
    <row r="43" ht="14.25" customHeight="1">
      <c r="A43" s="252" t="s">
        <v>52</v>
      </c>
      <c r="B43" s="252" t="s">
        <v>53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6" width="11.0"/>
  </cols>
  <sheetData>
    <row r="1" ht="14.25" customHeight="1">
      <c r="A1" s="251" t="s">
        <v>310</v>
      </c>
    </row>
    <row r="2" ht="14.25" customHeight="1">
      <c r="A2" s="251" t="s">
        <v>27</v>
      </c>
    </row>
    <row r="3" ht="14.25" customHeight="1">
      <c r="A3" s="251" t="s">
        <v>311</v>
      </c>
    </row>
    <row r="4" ht="14.25" customHeight="1">
      <c r="A4" s="251" t="s">
        <v>312</v>
      </c>
    </row>
    <row r="5" ht="14.25" customHeight="1">
      <c r="A5" s="251" t="s">
        <v>313</v>
      </c>
    </row>
    <row r="6" ht="14.25" customHeight="1">
      <c r="A6" s="251" t="s">
        <v>314</v>
      </c>
    </row>
    <row r="7" ht="14.25" customHeight="1">
      <c r="A7" s="251" t="s">
        <v>315</v>
      </c>
    </row>
    <row r="8" ht="14.25" customHeight="1">
      <c r="A8" s="251" t="s">
        <v>316</v>
      </c>
    </row>
    <row r="9" ht="14.25" customHeight="1">
      <c r="A9" s="251" t="s">
        <v>317</v>
      </c>
    </row>
    <row r="10" ht="14.25" customHeight="1">
      <c r="A10" s="251" t="s">
        <v>318</v>
      </c>
    </row>
    <row r="11" ht="14.25" customHeight="1">
      <c r="A11" s="251" t="s">
        <v>319</v>
      </c>
    </row>
    <row r="12" ht="14.25" customHeight="1">
      <c r="A12" s="251" t="s">
        <v>56</v>
      </c>
    </row>
    <row r="13" ht="14.25" customHeight="1">
      <c r="A13" s="251" t="s">
        <v>320</v>
      </c>
    </row>
    <row r="14" ht="14.25" customHeight="1">
      <c r="A14" s="251" t="s">
        <v>321</v>
      </c>
    </row>
    <row r="15" ht="14.25" customHeight="1">
      <c r="A15" s="251" t="s">
        <v>322</v>
      </c>
    </row>
    <row r="16" ht="14.25" customHeight="1">
      <c r="A16" s="251" t="s">
        <v>323</v>
      </c>
    </row>
    <row r="17" ht="14.25" customHeight="1">
      <c r="A17" s="251" t="s">
        <v>324</v>
      </c>
    </row>
    <row r="18" ht="14.25" customHeight="1">
      <c r="A18" s="251" t="s">
        <v>325</v>
      </c>
    </row>
    <row r="19" ht="14.25" customHeight="1">
      <c r="A19" s="251" t="s">
        <v>326</v>
      </c>
    </row>
    <row r="20" ht="14.25" customHeight="1">
      <c r="A20" s="251" t="s">
        <v>327</v>
      </c>
    </row>
    <row r="21" ht="14.25" customHeight="1">
      <c r="A21" s="251" t="s">
        <v>328</v>
      </c>
    </row>
    <row r="22" ht="14.25" customHeight="1">
      <c r="A22" s="251" t="s">
        <v>329</v>
      </c>
    </row>
    <row r="23" ht="14.25" customHeight="1">
      <c r="A23" s="252" t="s">
        <v>105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2021-10-13T22:46:30Z</dcterms:created>
  <dc:creator>Laudus</dc:creator>
</cp:coreProperties>
</file>