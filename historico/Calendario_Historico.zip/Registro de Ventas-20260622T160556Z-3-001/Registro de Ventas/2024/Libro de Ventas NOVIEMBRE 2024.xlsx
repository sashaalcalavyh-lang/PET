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5921d4bb37e7f5/Pet Exotic Veterinaria/"/>
    </mc:Choice>
  </mc:AlternateContent>
  <xr:revisionPtr revIDLastSave="1067" documentId="8_{610D815B-95B8-4324-A21D-9E0F676C13ED}" xr6:coauthVersionLast="47" xr6:coauthVersionMax="47" xr10:uidLastSave="{26CF6A82-43FB-466E-B8F6-0B41DAA426D8}"/>
  <bookViews>
    <workbookView xWindow="-120" yWindow="-120" windowWidth="20730" windowHeight="11160" tabRatio="948" firstSheet="2" activeTab="2" xr2:uid="{F9E73CC3-678E-4A8B-AD64-41E83EA9222C}"/>
  </bookViews>
  <sheets>
    <sheet name="MES 23" sheetId="2" r:id="rId1"/>
    <sheet name="31" sheetId="96" r:id="rId2"/>
    <sheet name="30" sheetId="94" r:id="rId3"/>
    <sheet name="29" sheetId="95" r:id="rId4"/>
    <sheet name="28" sheetId="93" r:id="rId5"/>
    <sheet name="27" sheetId="92" r:id="rId6"/>
    <sheet name="26" sheetId="91" r:id="rId7"/>
    <sheet name="25" sheetId="90" r:id="rId8"/>
    <sheet name="24" sheetId="89" r:id="rId9"/>
    <sheet name="23" sheetId="88" r:id="rId10"/>
    <sheet name="22" sheetId="85" r:id="rId11"/>
    <sheet name="21" sheetId="84" r:id="rId12"/>
    <sheet name="20" sheetId="83" r:id="rId13"/>
    <sheet name="19" sheetId="82" r:id="rId14"/>
    <sheet name="18" sheetId="81" r:id="rId15"/>
    <sheet name="17" sheetId="80" r:id="rId16"/>
    <sheet name="16" sheetId="79" r:id="rId17"/>
    <sheet name="15" sheetId="73" r:id="rId18"/>
    <sheet name="14" sheetId="72" r:id="rId19"/>
    <sheet name="13" sheetId="71" r:id="rId20"/>
    <sheet name="12" sheetId="70" r:id="rId21"/>
    <sheet name="11" sheetId="69" r:id="rId22"/>
    <sheet name="10" sheetId="68" r:id="rId23"/>
    <sheet name="09" sheetId="67" r:id="rId24"/>
    <sheet name="08" sheetId="66" r:id="rId25"/>
    <sheet name="07" sheetId="65" r:id="rId26"/>
    <sheet name="06" sheetId="64" r:id="rId27"/>
    <sheet name="05" sheetId="55" r:id="rId28"/>
    <sheet name="04" sheetId="63" r:id="rId29"/>
    <sheet name="03" sheetId="5" r:id="rId30"/>
    <sheet name="02" sheetId="4" r:id="rId31"/>
    <sheet name="01" sheetId="3" r:id="rId32"/>
  </sheets>
  <definedNames>
    <definedName name="_xlnm.Print_Area" localSheetId="28">'04'!$A$1:$L$77</definedName>
    <definedName name="_xlnm.Print_Area" localSheetId="27">'05'!$A$1:$L$77</definedName>
    <definedName name="_xlnm.Print_Area" localSheetId="26">'06'!$A$1:$L$77</definedName>
    <definedName name="_xlnm.Print_Area" localSheetId="25">'07'!$A$1:$L$77</definedName>
    <definedName name="_xlnm.Print_Area" localSheetId="24">'08'!$A$1:$L$77</definedName>
    <definedName name="_xlnm.Print_Area" localSheetId="23">'09'!$A$1:$L$77</definedName>
    <definedName name="_xlnm.Print_Area" localSheetId="22">'10'!$A$1:$L$77</definedName>
    <definedName name="_xlnm.Print_Area" localSheetId="21">'11'!$A$1:$L$77</definedName>
    <definedName name="_xlnm.Print_Area" localSheetId="20">'12'!$A$1:$L$77</definedName>
    <definedName name="_xlnm.Print_Area" localSheetId="19">'13'!$A$1:$L$77</definedName>
    <definedName name="_xlnm.Print_Area" localSheetId="18">'14'!$A$1:$L$77</definedName>
    <definedName name="_xlnm.Print_Area" localSheetId="17">'15'!$A$1:$L$77</definedName>
    <definedName name="_xlnm.Print_Area" localSheetId="16">'16'!$A$1:$L$77</definedName>
    <definedName name="_xlnm.Print_Area" localSheetId="15">'17'!$A$1:$L$73</definedName>
    <definedName name="_xlnm.Print_Area" localSheetId="14">'18'!$A$1:$L$72</definedName>
    <definedName name="_xlnm.Print_Area" localSheetId="13">'19'!$A$1:$L$73</definedName>
    <definedName name="_xlnm.Print_Area" localSheetId="12">'20'!$A$1:$L$71</definedName>
    <definedName name="_xlnm.Print_Area" localSheetId="11">'21'!$A$1:$L$71</definedName>
    <definedName name="_xlnm.Print_Area" localSheetId="10">'22'!$A$1:$L$73</definedName>
    <definedName name="_xlnm.Print_Area" localSheetId="9">'23'!$A$1:$L$73</definedName>
    <definedName name="_xlnm.Print_Area" localSheetId="8">'24'!$A$1:$L$73</definedName>
    <definedName name="_xlnm.Print_Area" localSheetId="7">'25'!$A$1:$L$73</definedName>
    <definedName name="_xlnm.Print_Area" localSheetId="6">'26'!$A$1:$L$73</definedName>
    <definedName name="_xlnm.Print_Area" localSheetId="5">'27'!$A$1:$L$73</definedName>
    <definedName name="_xlnm.Print_Area" localSheetId="4">'28'!$A$1:$L$73</definedName>
    <definedName name="_xlnm.Print_Area" localSheetId="3">'29'!$A$1:$L$73</definedName>
    <definedName name="_xlnm.Print_Area" localSheetId="2">'30'!$A$1:$L$73</definedName>
    <definedName name="_xlnm.Print_Area" localSheetId="1">'31'!$A$1:$L$73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82" l="1"/>
  <c r="K48" i="66"/>
  <c r="K47" i="66"/>
  <c r="J13" i="55"/>
  <c r="E50" i="55"/>
  <c r="L32" i="55"/>
  <c r="H42" i="2" l="1"/>
  <c r="J63" i="55"/>
  <c r="J63" i="64"/>
  <c r="J61" i="55"/>
  <c r="J61" i="64"/>
  <c r="M36" i="2"/>
  <c r="K36" i="2"/>
  <c r="E36" i="2"/>
  <c r="B36" i="2"/>
  <c r="P35" i="2"/>
  <c r="M35" i="2"/>
  <c r="K35" i="2"/>
  <c r="G35" i="2"/>
  <c r="B35" i="2"/>
  <c r="P34" i="2"/>
  <c r="M34" i="2"/>
  <c r="K34" i="2"/>
  <c r="B34" i="2"/>
  <c r="O33" i="2"/>
  <c r="P33" i="2"/>
  <c r="K33" i="2"/>
  <c r="B33" i="2"/>
  <c r="O32" i="2"/>
  <c r="P32" i="2"/>
  <c r="M32" i="2"/>
  <c r="K32" i="2"/>
  <c r="B32" i="2"/>
  <c r="N31" i="2"/>
  <c r="O31" i="2"/>
  <c r="P31" i="2"/>
  <c r="M31" i="2"/>
  <c r="K31" i="2"/>
  <c r="G31" i="2"/>
  <c r="B31" i="2"/>
  <c r="O30" i="2"/>
  <c r="K30" i="2"/>
  <c r="B30" i="2"/>
  <c r="N29" i="2"/>
  <c r="O29" i="2"/>
  <c r="P29" i="2"/>
  <c r="M29" i="2"/>
  <c r="K29" i="2"/>
  <c r="B29" i="2"/>
  <c r="P28" i="2"/>
  <c r="M28" i="2"/>
  <c r="K28" i="2"/>
  <c r="B28" i="2"/>
  <c r="N27" i="2"/>
  <c r="O27" i="2"/>
  <c r="P27" i="2"/>
  <c r="M27" i="2"/>
  <c r="K27" i="2"/>
  <c r="B27" i="2"/>
  <c r="M26" i="2"/>
  <c r="K26" i="2"/>
  <c r="B26" i="2"/>
  <c r="P25" i="2"/>
  <c r="K25" i="2"/>
  <c r="B25" i="2"/>
  <c r="P24" i="2"/>
  <c r="M24" i="2"/>
  <c r="K24" i="2"/>
  <c r="B24" i="2"/>
  <c r="K23" i="2"/>
  <c r="B23" i="2"/>
  <c r="N22" i="2"/>
  <c r="O22" i="2"/>
  <c r="P22" i="2"/>
  <c r="M22" i="2"/>
  <c r="K22" i="2"/>
  <c r="B22" i="2"/>
  <c r="N21" i="2"/>
  <c r="P21" i="2"/>
  <c r="B21" i="2"/>
  <c r="K21" i="2"/>
  <c r="J63" i="96"/>
  <c r="J61" i="96"/>
  <c r="F50" i="96"/>
  <c r="L49" i="96"/>
  <c r="F49" i="96"/>
  <c r="L48" i="96"/>
  <c r="F48" i="96"/>
  <c r="L47" i="96"/>
  <c r="F47" i="96"/>
  <c r="L46" i="96"/>
  <c r="F46" i="96"/>
  <c r="F41" i="96"/>
  <c r="L39" i="96"/>
  <c r="L42" i="96" s="1"/>
  <c r="L25" i="96"/>
  <c r="K25" i="96"/>
  <c r="J25" i="96"/>
  <c r="I25" i="96"/>
  <c r="F25" i="96"/>
  <c r="F35" i="96" s="1"/>
  <c r="E25" i="96"/>
  <c r="F34" i="96" s="1"/>
  <c r="D25" i="96"/>
  <c r="F33" i="96" s="1"/>
  <c r="C25" i="96"/>
  <c r="D36" i="2" s="1"/>
  <c r="J63" i="95"/>
  <c r="J61" i="95"/>
  <c r="F50" i="95"/>
  <c r="L49" i="95"/>
  <c r="F49" i="95"/>
  <c r="L48" i="95"/>
  <c r="F48" i="95"/>
  <c r="L47" i="95"/>
  <c r="F47" i="95"/>
  <c r="L46" i="95"/>
  <c r="F46" i="95"/>
  <c r="F41" i="95"/>
  <c r="L39" i="95"/>
  <c r="L42" i="95" s="1"/>
  <c r="L25" i="95"/>
  <c r="K25" i="95"/>
  <c r="O34" i="2" s="1"/>
  <c r="J25" i="95"/>
  <c r="N34" i="2" s="1"/>
  <c r="I25" i="95"/>
  <c r="F25" i="95"/>
  <c r="F35" i="95" s="1"/>
  <c r="E25" i="95"/>
  <c r="F34" i="95" s="1"/>
  <c r="D25" i="95"/>
  <c r="E34" i="2" s="1"/>
  <c r="C25" i="95"/>
  <c r="F32" i="95" s="1"/>
  <c r="J63" i="94"/>
  <c r="J61" i="94"/>
  <c r="F50" i="94"/>
  <c r="L49" i="94"/>
  <c r="F49" i="94"/>
  <c r="L48" i="94"/>
  <c r="F48" i="94"/>
  <c r="L47" i="94"/>
  <c r="F47" i="94"/>
  <c r="L46" i="94"/>
  <c r="F46" i="94"/>
  <c r="F41" i="94"/>
  <c r="L39" i="94"/>
  <c r="L42" i="94" s="1"/>
  <c r="L25" i="94"/>
  <c r="K25" i="94"/>
  <c r="O35" i="2" s="1"/>
  <c r="J25" i="94"/>
  <c r="N35" i="2" s="1"/>
  <c r="I25" i="94"/>
  <c r="F25" i="94"/>
  <c r="F35" i="94" s="1"/>
  <c r="E25" i="94"/>
  <c r="F35" i="2" s="1"/>
  <c r="D25" i="94"/>
  <c r="F33" i="94" s="1"/>
  <c r="C25" i="94"/>
  <c r="F32" i="94" s="1"/>
  <c r="J63" i="93"/>
  <c r="J61" i="93"/>
  <c r="F50" i="93"/>
  <c r="L49" i="93"/>
  <c r="F49" i="93"/>
  <c r="L48" i="93"/>
  <c r="F48" i="93"/>
  <c r="L47" i="93"/>
  <c r="F47" i="93"/>
  <c r="L46" i="93"/>
  <c r="F46" i="93"/>
  <c r="F41" i="93"/>
  <c r="L39" i="93"/>
  <c r="L42" i="93" s="1"/>
  <c r="L25" i="93"/>
  <c r="K25" i="93"/>
  <c r="J25" i="93"/>
  <c r="N33" i="2" s="1"/>
  <c r="I25" i="93"/>
  <c r="M33" i="2" s="1"/>
  <c r="F25" i="93"/>
  <c r="F35" i="93" s="1"/>
  <c r="E25" i="93"/>
  <c r="F33" i="2" s="1"/>
  <c r="D25" i="93"/>
  <c r="C25" i="93"/>
  <c r="F32" i="93" s="1"/>
  <c r="J63" i="92"/>
  <c r="J61" i="92"/>
  <c r="F50" i="92"/>
  <c r="L49" i="92"/>
  <c r="F49" i="92"/>
  <c r="L48" i="92"/>
  <c r="F48" i="92"/>
  <c r="L47" i="92"/>
  <c r="F47" i="92"/>
  <c r="L46" i="92"/>
  <c r="F46" i="92"/>
  <c r="F41" i="92"/>
  <c r="L39" i="92"/>
  <c r="L42" i="92" s="1"/>
  <c r="L25" i="92"/>
  <c r="K25" i="92"/>
  <c r="J25" i="92"/>
  <c r="N32" i="2" s="1"/>
  <c r="I25" i="92"/>
  <c r="F25" i="92"/>
  <c r="F35" i="92" s="1"/>
  <c r="E25" i="92"/>
  <c r="F32" i="2" s="1"/>
  <c r="D25" i="92"/>
  <c r="C25" i="92"/>
  <c r="F32" i="92" s="1"/>
  <c r="J63" i="91"/>
  <c r="J61" i="91"/>
  <c r="F50" i="91"/>
  <c r="L49" i="91"/>
  <c r="F49" i="91"/>
  <c r="L48" i="91"/>
  <c r="F48" i="91"/>
  <c r="L47" i="91"/>
  <c r="F47" i="91"/>
  <c r="L46" i="91"/>
  <c r="F46" i="91"/>
  <c r="F41" i="91"/>
  <c r="L39" i="91"/>
  <c r="L42" i="91" s="1"/>
  <c r="L25" i="91"/>
  <c r="K25" i="91"/>
  <c r="J25" i="91"/>
  <c r="I25" i="91"/>
  <c r="F25" i="91"/>
  <c r="F35" i="91" s="1"/>
  <c r="E25" i="91"/>
  <c r="F34" i="91" s="1"/>
  <c r="D25" i="91"/>
  <c r="F33" i="91" s="1"/>
  <c r="C25" i="91"/>
  <c r="F32" i="91" s="1"/>
  <c r="J63" i="90"/>
  <c r="J61" i="90"/>
  <c r="F50" i="90"/>
  <c r="L49" i="90"/>
  <c r="F49" i="90"/>
  <c r="L48" i="90"/>
  <c r="F48" i="90"/>
  <c r="L47" i="90"/>
  <c r="F47" i="90"/>
  <c r="L46" i="90"/>
  <c r="F46" i="90"/>
  <c r="F41" i="90"/>
  <c r="L39" i="90"/>
  <c r="L42" i="90" s="1"/>
  <c r="L25" i="90"/>
  <c r="P30" i="2" s="1"/>
  <c r="K25" i="90"/>
  <c r="J25" i="90"/>
  <c r="N30" i="2" s="1"/>
  <c r="I25" i="90"/>
  <c r="M30" i="2" s="1"/>
  <c r="F25" i="90"/>
  <c r="E25" i="90"/>
  <c r="F30" i="2" s="1"/>
  <c r="D25" i="90"/>
  <c r="C25" i="90"/>
  <c r="F32" i="90" s="1"/>
  <c r="J63" i="89"/>
  <c r="J61" i="89"/>
  <c r="F50" i="89"/>
  <c r="L49" i="89"/>
  <c r="F49" i="89"/>
  <c r="L48" i="89"/>
  <c r="F48" i="89"/>
  <c r="L47" i="89"/>
  <c r="F47" i="89"/>
  <c r="L46" i="89"/>
  <c r="F46" i="89"/>
  <c r="F41" i="89"/>
  <c r="L39" i="89"/>
  <c r="L42" i="89" s="1"/>
  <c r="L25" i="89"/>
  <c r="K25" i="89"/>
  <c r="J25" i="89"/>
  <c r="I25" i="89"/>
  <c r="F25" i="89"/>
  <c r="F35" i="89" s="1"/>
  <c r="E25" i="89"/>
  <c r="F34" i="89" s="1"/>
  <c r="D25" i="89"/>
  <c r="F33" i="89" s="1"/>
  <c r="C25" i="89"/>
  <c r="D29" i="2" s="1"/>
  <c r="J63" i="88"/>
  <c r="J61" i="88"/>
  <c r="F50" i="88"/>
  <c r="L49" i="88"/>
  <c r="F49" i="88"/>
  <c r="L48" i="88"/>
  <c r="F48" i="88"/>
  <c r="L47" i="88"/>
  <c r="F47" i="88"/>
  <c r="L46" i="88"/>
  <c r="F46" i="88"/>
  <c r="F41" i="88"/>
  <c r="L39" i="88"/>
  <c r="L42" i="88" s="1"/>
  <c r="L25" i="88"/>
  <c r="K25" i="88"/>
  <c r="O28" i="2" s="1"/>
  <c r="J25" i="88"/>
  <c r="N28" i="2" s="1"/>
  <c r="I25" i="88"/>
  <c r="F25" i="88"/>
  <c r="F35" i="88" s="1"/>
  <c r="E25" i="88"/>
  <c r="F34" i="88" s="1"/>
  <c r="D25" i="88"/>
  <c r="F33" i="88" s="1"/>
  <c r="C25" i="88"/>
  <c r="F32" i="88" s="1"/>
  <c r="J63" i="85"/>
  <c r="J61" i="85"/>
  <c r="F50" i="85"/>
  <c r="L49" i="85"/>
  <c r="F49" i="85"/>
  <c r="L48" i="85"/>
  <c r="F48" i="85"/>
  <c r="L47" i="85"/>
  <c r="F47" i="85"/>
  <c r="L46" i="85"/>
  <c r="F46" i="85"/>
  <c r="F41" i="85"/>
  <c r="L39" i="85"/>
  <c r="L42" i="85" s="1"/>
  <c r="L25" i="85"/>
  <c r="K25" i="85"/>
  <c r="J25" i="85"/>
  <c r="I25" i="85"/>
  <c r="F25" i="85"/>
  <c r="F35" i="85" s="1"/>
  <c r="E25" i="85"/>
  <c r="F34" i="85" s="1"/>
  <c r="D25" i="85"/>
  <c r="E27" i="2" s="1"/>
  <c r="C25" i="85"/>
  <c r="F32" i="85" s="1"/>
  <c r="J61" i="84"/>
  <c r="J59" i="84"/>
  <c r="F48" i="84"/>
  <c r="L47" i="84"/>
  <c r="F47" i="84"/>
  <c r="L46" i="84"/>
  <c r="F46" i="84"/>
  <c r="L45" i="84"/>
  <c r="F45" i="84"/>
  <c r="L44" i="84"/>
  <c r="F44" i="84"/>
  <c r="F39" i="84"/>
  <c r="L37" i="84"/>
  <c r="L40" i="84" s="1"/>
  <c r="L23" i="84"/>
  <c r="P26" i="2" s="1"/>
  <c r="K23" i="84"/>
  <c r="O26" i="2" s="1"/>
  <c r="J23" i="84"/>
  <c r="N26" i="2" s="1"/>
  <c r="I23" i="84"/>
  <c r="F23" i="84"/>
  <c r="E23" i="84"/>
  <c r="D23" i="84"/>
  <c r="C23" i="84"/>
  <c r="F30" i="84" s="1"/>
  <c r="J61" i="83"/>
  <c r="J59" i="83"/>
  <c r="F48" i="83"/>
  <c r="L47" i="83"/>
  <c r="F47" i="83"/>
  <c r="L46" i="83"/>
  <c r="F46" i="83"/>
  <c r="L45" i="83"/>
  <c r="F45" i="83"/>
  <c r="L44" i="83"/>
  <c r="F44" i="83"/>
  <c r="F39" i="83"/>
  <c r="L37" i="83"/>
  <c r="L40" i="83" s="1"/>
  <c r="L23" i="83"/>
  <c r="K23" i="83"/>
  <c r="O25" i="2" s="1"/>
  <c r="J23" i="83"/>
  <c r="N25" i="2" s="1"/>
  <c r="I23" i="83"/>
  <c r="M25" i="2" s="1"/>
  <c r="F23" i="83"/>
  <c r="F33" i="83" s="1"/>
  <c r="E23" i="83"/>
  <c r="D23" i="83"/>
  <c r="C23" i="83"/>
  <c r="F30" i="83" s="1"/>
  <c r="J63" i="82"/>
  <c r="J61" i="82"/>
  <c r="F50" i="82"/>
  <c r="L49" i="82"/>
  <c r="F49" i="82"/>
  <c r="L48" i="82"/>
  <c r="F48" i="82"/>
  <c r="L47" i="82"/>
  <c r="F47" i="82"/>
  <c r="L46" i="82"/>
  <c r="F46" i="82"/>
  <c r="F41" i="82"/>
  <c r="L39" i="82"/>
  <c r="L42" i="82" s="1"/>
  <c r="L25" i="82"/>
  <c r="K25" i="82"/>
  <c r="O24" i="2" s="1"/>
  <c r="N24" i="2"/>
  <c r="I25" i="82"/>
  <c r="F25" i="82"/>
  <c r="F35" i="82" s="1"/>
  <c r="E25" i="82"/>
  <c r="F34" i="82" s="1"/>
  <c r="D25" i="82"/>
  <c r="C25" i="82"/>
  <c r="F32" i="82" s="1"/>
  <c r="J63" i="81"/>
  <c r="J61" i="81"/>
  <c r="F50" i="81"/>
  <c r="L49" i="81"/>
  <c r="F49" i="81"/>
  <c r="L48" i="81"/>
  <c r="F48" i="81"/>
  <c r="L47" i="81"/>
  <c r="F47" i="81"/>
  <c r="L46" i="81"/>
  <c r="F46" i="81"/>
  <c r="F41" i="81"/>
  <c r="L39" i="81"/>
  <c r="L42" i="81" s="1"/>
  <c r="L25" i="81"/>
  <c r="P23" i="2" s="1"/>
  <c r="K25" i="81"/>
  <c r="O23" i="2" s="1"/>
  <c r="J25" i="81"/>
  <c r="N23" i="2" s="1"/>
  <c r="I25" i="81"/>
  <c r="M23" i="2" s="1"/>
  <c r="F25" i="81"/>
  <c r="F35" i="81" s="1"/>
  <c r="E25" i="81"/>
  <c r="F34" i="81" s="1"/>
  <c r="D25" i="81"/>
  <c r="C25" i="81"/>
  <c r="J63" i="80"/>
  <c r="J61" i="80"/>
  <c r="F50" i="80"/>
  <c r="L49" i="80"/>
  <c r="F49" i="80"/>
  <c r="L48" i="80"/>
  <c r="F48" i="80"/>
  <c r="L47" i="80"/>
  <c r="F47" i="80"/>
  <c r="L46" i="80"/>
  <c r="F46" i="80"/>
  <c r="F41" i="80"/>
  <c r="L39" i="80"/>
  <c r="L42" i="80" s="1"/>
  <c r="L25" i="80"/>
  <c r="K25" i="80"/>
  <c r="J25" i="80"/>
  <c r="I25" i="80"/>
  <c r="F25" i="80"/>
  <c r="F35" i="80" s="1"/>
  <c r="E25" i="80"/>
  <c r="F34" i="80" s="1"/>
  <c r="D25" i="80"/>
  <c r="F33" i="80" s="1"/>
  <c r="C25" i="80"/>
  <c r="F32" i="80" s="1"/>
  <c r="J63" i="79"/>
  <c r="J61" i="79"/>
  <c r="F50" i="79"/>
  <c r="L49" i="79"/>
  <c r="F49" i="79"/>
  <c r="L48" i="79"/>
  <c r="F48" i="79"/>
  <c r="L47" i="79"/>
  <c r="F47" i="79"/>
  <c r="L46" i="79"/>
  <c r="F46" i="79"/>
  <c r="F41" i="79"/>
  <c r="L39" i="79"/>
  <c r="L42" i="79" s="1"/>
  <c r="L25" i="79"/>
  <c r="K25" i="79"/>
  <c r="O21" i="2" s="1"/>
  <c r="J25" i="79"/>
  <c r="I25" i="79"/>
  <c r="M21" i="2" s="1"/>
  <c r="F25" i="79"/>
  <c r="F35" i="79" s="1"/>
  <c r="E25" i="79"/>
  <c r="F34" i="79" s="1"/>
  <c r="D25" i="79"/>
  <c r="F33" i="79" s="1"/>
  <c r="C25" i="79"/>
  <c r="D21" i="2" s="1"/>
  <c r="F33" i="93" l="1"/>
  <c r="F33" i="92"/>
  <c r="F36" i="92" s="1"/>
  <c r="F42" i="92" s="1"/>
  <c r="F33" i="90"/>
  <c r="F35" i="90"/>
  <c r="F33" i="84"/>
  <c r="F32" i="84"/>
  <c r="F31" i="84"/>
  <c r="F32" i="83"/>
  <c r="F31" i="83"/>
  <c r="F34" i="83" s="1"/>
  <c r="F40" i="83" s="1"/>
  <c r="F33" i="82"/>
  <c r="F36" i="82" s="1"/>
  <c r="F42" i="82" s="1"/>
  <c r="F32" i="81"/>
  <c r="F33" i="81"/>
  <c r="F34" i="92"/>
  <c r="G23" i="2"/>
  <c r="G27" i="2"/>
  <c r="D27" i="2"/>
  <c r="L51" i="95"/>
  <c r="F51" i="95"/>
  <c r="F34" i="2"/>
  <c r="G34" i="2"/>
  <c r="D34" i="2"/>
  <c r="L27" i="95"/>
  <c r="J59" i="95" s="1"/>
  <c r="F33" i="95"/>
  <c r="F36" i="95" s="1"/>
  <c r="F42" i="95" s="1"/>
  <c r="G33" i="2"/>
  <c r="G32" i="2"/>
  <c r="E32" i="2"/>
  <c r="F51" i="90"/>
  <c r="E30" i="2"/>
  <c r="E29" i="2"/>
  <c r="E28" i="2"/>
  <c r="L51" i="85"/>
  <c r="F51" i="85"/>
  <c r="F27" i="2"/>
  <c r="F33" i="85"/>
  <c r="F36" i="85" s="1"/>
  <c r="F42" i="85" s="1"/>
  <c r="E26" i="2"/>
  <c r="F51" i="79"/>
  <c r="F21" i="2"/>
  <c r="G36" i="2"/>
  <c r="F36" i="2"/>
  <c r="F51" i="94"/>
  <c r="F34" i="94"/>
  <c r="F36" i="94" s="1"/>
  <c r="F42" i="94" s="1"/>
  <c r="E35" i="2"/>
  <c r="D35" i="2"/>
  <c r="E33" i="2"/>
  <c r="D33" i="2"/>
  <c r="F51" i="92"/>
  <c r="D32" i="2"/>
  <c r="L51" i="91"/>
  <c r="F31" i="2"/>
  <c r="E31" i="2"/>
  <c r="D31" i="2"/>
  <c r="D30" i="2"/>
  <c r="F34" i="90"/>
  <c r="G30" i="2"/>
  <c r="G29" i="2"/>
  <c r="F29" i="2"/>
  <c r="G28" i="2"/>
  <c r="D28" i="2"/>
  <c r="F28" i="2"/>
  <c r="D26" i="2"/>
  <c r="G26" i="2"/>
  <c r="F26" i="2"/>
  <c r="G25" i="2"/>
  <c r="F25" i="2"/>
  <c r="E25" i="2"/>
  <c r="D25" i="2"/>
  <c r="E24" i="2"/>
  <c r="D24" i="2"/>
  <c r="G24" i="2"/>
  <c r="F24" i="2"/>
  <c r="F23" i="2"/>
  <c r="E23" i="2"/>
  <c r="D23" i="2"/>
  <c r="D22" i="2"/>
  <c r="G22" i="2"/>
  <c r="E22" i="2"/>
  <c r="F22" i="2"/>
  <c r="E21" i="2"/>
  <c r="G21" i="2"/>
  <c r="L51" i="96"/>
  <c r="F51" i="96"/>
  <c r="L27" i="96"/>
  <c r="J59" i="96" s="1"/>
  <c r="L51" i="94"/>
  <c r="L51" i="93"/>
  <c r="F51" i="93"/>
  <c r="F34" i="93"/>
  <c r="F36" i="93" s="1"/>
  <c r="F42" i="93" s="1"/>
  <c r="L51" i="92"/>
  <c r="F51" i="91"/>
  <c r="L27" i="91"/>
  <c r="J59" i="91" s="1"/>
  <c r="F36" i="91"/>
  <c r="F42" i="91" s="1"/>
  <c r="L51" i="90"/>
  <c r="L51" i="89"/>
  <c r="F51" i="89"/>
  <c r="L27" i="89"/>
  <c r="J59" i="89" s="1"/>
  <c r="L51" i="88"/>
  <c r="F51" i="88"/>
  <c r="F32" i="96"/>
  <c r="F36" i="96" s="1"/>
  <c r="F42" i="96" s="1"/>
  <c r="L27" i="94"/>
  <c r="J59" i="94" s="1"/>
  <c r="L27" i="93"/>
  <c r="J59" i="93" s="1"/>
  <c r="L27" i="92"/>
  <c r="J59" i="92" s="1"/>
  <c r="L27" i="90"/>
  <c r="J59" i="90" s="1"/>
  <c r="F32" i="89"/>
  <c r="F36" i="89" s="1"/>
  <c r="F42" i="89" s="1"/>
  <c r="F36" i="88"/>
  <c r="F42" i="88" s="1"/>
  <c r="L27" i="88"/>
  <c r="J59" i="88" s="1"/>
  <c r="L49" i="84"/>
  <c r="F49" i="84"/>
  <c r="L25" i="84"/>
  <c r="J57" i="84" s="1"/>
  <c r="F49" i="83"/>
  <c r="L49" i="83"/>
  <c r="L51" i="82"/>
  <c r="F51" i="82"/>
  <c r="L51" i="81"/>
  <c r="F51" i="81"/>
  <c r="L27" i="81"/>
  <c r="J59" i="81" s="1"/>
  <c r="L51" i="80"/>
  <c r="L27" i="85"/>
  <c r="J59" i="85" s="1"/>
  <c r="L25" i="83"/>
  <c r="J57" i="83" s="1"/>
  <c r="L27" i="82"/>
  <c r="J59" i="82" s="1"/>
  <c r="F51" i="80"/>
  <c r="F36" i="80"/>
  <c r="F42" i="80" s="1"/>
  <c r="L27" i="80"/>
  <c r="J59" i="80" s="1"/>
  <c r="L51" i="79"/>
  <c r="L27" i="79"/>
  <c r="J59" i="79" s="1"/>
  <c r="F32" i="79"/>
  <c r="F36" i="79" s="1"/>
  <c r="F42" i="79" s="1"/>
  <c r="J57" i="95" l="1"/>
  <c r="J57" i="91"/>
  <c r="F36" i="90"/>
  <c r="F42" i="90" s="1"/>
  <c r="F34" i="84"/>
  <c r="F40" i="84" s="1"/>
  <c r="F36" i="81"/>
  <c r="F42" i="81" s="1"/>
  <c r="J57" i="94"/>
  <c r="J57" i="79"/>
  <c r="J57" i="90"/>
  <c r="J57" i="85"/>
  <c r="J57" i="92"/>
  <c r="J57" i="82"/>
  <c r="J57" i="96"/>
  <c r="J57" i="93"/>
  <c r="J57" i="89"/>
  <c r="J57" i="88"/>
  <c r="J55" i="84"/>
  <c r="J55" i="83"/>
  <c r="J57" i="81"/>
  <c r="J57" i="80"/>
  <c r="N20" i="2" l="1"/>
  <c r="K20" i="2"/>
  <c r="G20" i="2"/>
  <c r="B20" i="2"/>
  <c r="O19" i="2"/>
  <c r="P19" i="2"/>
  <c r="K19" i="2"/>
  <c r="G19" i="2"/>
  <c r="B19" i="2"/>
  <c r="O18" i="2"/>
  <c r="K18" i="2"/>
  <c r="B18" i="2"/>
  <c r="O17" i="2"/>
  <c r="P17" i="2"/>
  <c r="M17" i="2"/>
  <c r="K17" i="2"/>
  <c r="F17" i="2"/>
  <c r="G17" i="2"/>
  <c r="B17" i="2"/>
  <c r="O16" i="2"/>
  <c r="P16" i="2"/>
  <c r="K16" i="2"/>
  <c r="B16" i="2"/>
  <c r="J63" i="73"/>
  <c r="J61" i="73"/>
  <c r="F50" i="73"/>
  <c r="L49" i="73"/>
  <c r="F49" i="73"/>
  <c r="L48" i="73"/>
  <c r="F48" i="73"/>
  <c r="L47" i="73"/>
  <c r="F47" i="73"/>
  <c r="L46" i="73"/>
  <c r="F46" i="73"/>
  <c r="F41" i="73"/>
  <c r="L39" i="73"/>
  <c r="L42" i="73" s="1"/>
  <c r="L25" i="73"/>
  <c r="P20" i="2" s="1"/>
  <c r="K25" i="73"/>
  <c r="O20" i="2" s="1"/>
  <c r="J25" i="73"/>
  <c r="I25" i="73"/>
  <c r="M20" i="2" s="1"/>
  <c r="F25" i="73"/>
  <c r="E25" i="73"/>
  <c r="F34" i="73" s="1"/>
  <c r="D25" i="73"/>
  <c r="E20" i="2" s="1"/>
  <c r="C25" i="73"/>
  <c r="F32" i="73" s="1"/>
  <c r="J63" i="72"/>
  <c r="J61" i="72"/>
  <c r="F50" i="72"/>
  <c r="L49" i="72"/>
  <c r="F49" i="72"/>
  <c r="L48" i="72"/>
  <c r="F48" i="72"/>
  <c r="L47" i="72"/>
  <c r="F47" i="72"/>
  <c r="L46" i="72"/>
  <c r="F46" i="72"/>
  <c r="F41" i="72"/>
  <c r="L39" i="72"/>
  <c r="L42" i="72" s="1"/>
  <c r="L25" i="72"/>
  <c r="K25" i="72"/>
  <c r="J25" i="72"/>
  <c r="N19" i="2" s="1"/>
  <c r="I25" i="72"/>
  <c r="M19" i="2" s="1"/>
  <c r="F25" i="72"/>
  <c r="F35" i="72" s="1"/>
  <c r="E25" i="72"/>
  <c r="F34" i="72" s="1"/>
  <c r="D25" i="72"/>
  <c r="F33" i="72" s="1"/>
  <c r="C25" i="72"/>
  <c r="J63" i="71"/>
  <c r="J61" i="71"/>
  <c r="F50" i="71"/>
  <c r="L49" i="71"/>
  <c r="F49" i="71"/>
  <c r="L48" i="71"/>
  <c r="F48" i="71"/>
  <c r="L47" i="71"/>
  <c r="F47" i="71"/>
  <c r="L46" i="71"/>
  <c r="F46" i="71"/>
  <c r="F41" i="71"/>
  <c r="L39" i="71"/>
  <c r="L42" i="71" s="1"/>
  <c r="L25" i="71"/>
  <c r="P18" i="2" s="1"/>
  <c r="K25" i="71"/>
  <c r="J25" i="71"/>
  <c r="N18" i="2" s="1"/>
  <c r="I25" i="71"/>
  <c r="M18" i="2" s="1"/>
  <c r="F25" i="71"/>
  <c r="G18" i="2" s="1"/>
  <c r="E25" i="71"/>
  <c r="F34" i="71" s="1"/>
  <c r="D25" i="71"/>
  <c r="E18" i="2" s="1"/>
  <c r="C25" i="71"/>
  <c r="J63" i="70"/>
  <c r="J61" i="70"/>
  <c r="F50" i="70"/>
  <c r="L49" i="70"/>
  <c r="F49" i="70"/>
  <c r="L48" i="70"/>
  <c r="F48" i="70"/>
  <c r="L47" i="70"/>
  <c r="F47" i="70"/>
  <c r="L46" i="70"/>
  <c r="F46" i="70"/>
  <c r="F41" i="70"/>
  <c r="L39" i="70"/>
  <c r="L42" i="70" s="1"/>
  <c r="L25" i="70"/>
  <c r="K25" i="70"/>
  <c r="J25" i="70"/>
  <c r="N17" i="2" s="1"/>
  <c r="I25" i="70"/>
  <c r="F25" i="70"/>
  <c r="F35" i="70" s="1"/>
  <c r="E25" i="70"/>
  <c r="F34" i="70" s="1"/>
  <c r="D25" i="70"/>
  <c r="C25" i="70"/>
  <c r="F32" i="70" s="1"/>
  <c r="J63" i="69"/>
  <c r="J61" i="69"/>
  <c r="F50" i="69"/>
  <c r="L49" i="69"/>
  <c r="F49" i="69"/>
  <c r="L48" i="69"/>
  <c r="F48" i="69"/>
  <c r="L47" i="69"/>
  <c r="F47" i="69"/>
  <c r="L46" i="69"/>
  <c r="F46" i="69"/>
  <c r="F41" i="69"/>
  <c r="L39" i="69"/>
  <c r="L42" i="69" s="1"/>
  <c r="F35" i="69"/>
  <c r="L25" i="69"/>
  <c r="K25" i="69"/>
  <c r="J25" i="69"/>
  <c r="N16" i="2" s="1"/>
  <c r="I25" i="69"/>
  <c r="M16" i="2" s="1"/>
  <c r="F25" i="69"/>
  <c r="G16" i="2" s="1"/>
  <c r="E25" i="69"/>
  <c r="F34" i="69" s="1"/>
  <c r="D25" i="69"/>
  <c r="C25" i="69"/>
  <c r="K15" i="2"/>
  <c r="B15" i="2"/>
  <c r="O14" i="2"/>
  <c r="P14" i="2"/>
  <c r="K14" i="2"/>
  <c r="B14" i="2"/>
  <c r="O13" i="2"/>
  <c r="P13" i="2"/>
  <c r="M13" i="2"/>
  <c r="K13" i="2"/>
  <c r="F13" i="2"/>
  <c r="G13" i="2"/>
  <c r="B13" i="2"/>
  <c r="J63" i="68"/>
  <c r="J61" i="68"/>
  <c r="F50" i="68"/>
  <c r="L49" i="68"/>
  <c r="F49" i="68"/>
  <c r="L48" i="68"/>
  <c r="F48" i="68"/>
  <c r="L47" i="68"/>
  <c r="F47" i="68"/>
  <c r="L46" i="68"/>
  <c r="F46" i="68"/>
  <c r="F41" i="68"/>
  <c r="L39" i="68"/>
  <c r="L42" i="68" s="1"/>
  <c r="L25" i="68"/>
  <c r="P15" i="2" s="1"/>
  <c r="K25" i="68"/>
  <c r="O15" i="2" s="1"/>
  <c r="J25" i="68"/>
  <c r="N15" i="2" s="1"/>
  <c r="I25" i="68"/>
  <c r="M15" i="2" s="1"/>
  <c r="F25" i="68"/>
  <c r="F35" i="68" s="1"/>
  <c r="E25" i="68"/>
  <c r="D25" i="68"/>
  <c r="E15" i="2" s="1"/>
  <c r="C25" i="68"/>
  <c r="D15" i="2" s="1"/>
  <c r="J63" i="67"/>
  <c r="J61" i="67"/>
  <c r="F50" i="67"/>
  <c r="L49" i="67"/>
  <c r="F49" i="67"/>
  <c r="L48" i="67"/>
  <c r="F48" i="67"/>
  <c r="L47" i="67"/>
  <c r="F47" i="67"/>
  <c r="L46" i="67"/>
  <c r="F46" i="67"/>
  <c r="F41" i="67"/>
  <c r="L39" i="67"/>
  <c r="L42" i="67" s="1"/>
  <c r="L25" i="67"/>
  <c r="K25" i="67"/>
  <c r="J25" i="67"/>
  <c r="N14" i="2" s="1"/>
  <c r="I25" i="67"/>
  <c r="M14" i="2" s="1"/>
  <c r="F25" i="67"/>
  <c r="F35" i="67" s="1"/>
  <c r="E25" i="67"/>
  <c r="F34" i="67" s="1"/>
  <c r="D25" i="67"/>
  <c r="C25" i="67"/>
  <c r="J63" i="66"/>
  <c r="J61" i="66"/>
  <c r="F50" i="66"/>
  <c r="L49" i="66"/>
  <c r="F49" i="66"/>
  <c r="L48" i="66"/>
  <c r="F48" i="66"/>
  <c r="L47" i="66"/>
  <c r="F47" i="66"/>
  <c r="L46" i="66"/>
  <c r="F46" i="66"/>
  <c r="F41" i="66"/>
  <c r="L39" i="66"/>
  <c r="L42" i="66" s="1"/>
  <c r="L25" i="66"/>
  <c r="K25" i="66"/>
  <c r="J25" i="66"/>
  <c r="N13" i="2" s="1"/>
  <c r="I25" i="66"/>
  <c r="F25" i="66"/>
  <c r="F35" i="66" s="1"/>
  <c r="E25" i="66"/>
  <c r="D25" i="66"/>
  <c r="E13" i="2" s="1"/>
  <c r="C25" i="66"/>
  <c r="F32" i="66" s="1"/>
  <c r="O12" i="2"/>
  <c r="K12" i="2"/>
  <c r="B12" i="2"/>
  <c r="J63" i="65"/>
  <c r="J61" i="65"/>
  <c r="F50" i="65"/>
  <c r="L49" i="65"/>
  <c r="F49" i="65"/>
  <c r="L48" i="65"/>
  <c r="F48" i="65"/>
  <c r="L47" i="65"/>
  <c r="F47" i="65"/>
  <c r="L46" i="65"/>
  <c r="F46" i="65"/>
  <c r="F41" i="65"/>
  <c r="L39" i="65"/>
  <c r="L42" i="65" s="1"/>
  <c r="L25" i="65"/>
  <c r="P12" i="2" s="1"/>
  <c r="K25" i="65"/>
  <c r="J25" i="65"/>
  <c r="N12" i="2" s="1"/>
  <c r="I25" i="65"/>
  <c r="M12" i="2" s="1"/>
  <c r="F25" i="65"/>
  <c r="E25" i="65"/>
  <c r="F34" i="65" s="1"/>
  <c r="D25" i="65"/>
  <c r="E12" i="2" s="1"/>
  <c r="C25" i="65"/>
  <c r="K11" i="2"/>
  <c r="B11" i="2"/>
  <c r="F50" i="64"/>
  <c r="L49" i="64"/>
  <c r="F49" i="64"/>
  <c r="L48" i="64"/>
  <c r="F48" i="64"/>
  <c r="L47" i="64"/>
  <c r="F47" i="64"/>
  <c r="L46" i="64"/>
  <c r="F46" i="64"/>
  <c r="F41" i="64"/>
  <c r="L39" i="64"/>
  <c r="L42" i="64" s="1"/>
  <c r="L25" i="64"/>
  <c r="P11" i="2" s="1"/>
  <c r="K25" i="64"/>
  <c r="O11" i="2" s="1"/>
  <c r="J25" i="64"/>
  <c r="N11" i="2" s="1"/>
  <c r="I25" i="64"/>
  <c r="M11" i="2" s="1"/>
  <c r="F25" i="64"/>
  <c r="F35" i="64" s="1"/>
  <c r="E25" i="64"/>
  <c r="D25" i="64"/>
  <c r="E11" i="2" s="1"/>
  <c r="C25" i="64"/>
  <c r="P10" i="2"/>
  <c r="K10" i="2"/>
  <c r="G10" i="2"/>
  <c r="D10" i="2"/>
  <c r="B10" i="2"/>
  <c r="K9" i="2"/>
  <c r="B9" i="2"/>
  <c r="B6" i="2"/>
  <c r="J63" i="63"/>
  <c r="J61" i="63"/>
  <c r="F50" i="63"/>
  <c r="L49" i="63"/>
  <c r="F49" i="63"/>
  <c r="L48" i="63"/>
  <c r="F48" i="63"/>
  <c r="L47" i="63"/>
  <c r="F47" i="63"/>
  <c r="L46" i="63"/>
  <c r="F46" i="63"/>
  <c r="L42" i="63"/>
  <c r="F41" i="63"/>
  <c r="L39" i="63"/>
  <c r="L25" i="63"/>
  <c r="P9" i="2" s="1"/>
  <c r="K25" i="63"/>
  <c r="O9" i="2" s="1"/>
  <c r="J25" i="63"/>
  <c r="N9" i="2" s="1"/>
  <c r="I25" i="63"/>
  <c r="M9" i="2" s="1"/>
  <c r="F25" i="63"/>
  <c r="E25" i="63"/>
  <c r="F9" i="2" s="1"/>
  <c r="D25" i="63"/>
  <c r="C25" i="63"/>
  <c r="F35" i="73" l="1"/>
  <c r="F32" i="72"/>
  <c r="F32" i="71"/>
  <c r="F35" i="71"/>
  <c r="F33" i="70"/>
  <c r="F36" i="70" s="1"/>
  <c r="F42" i="70" s="1"/>
  <c r="F32" i="69"/>
  <c r="F33" i="69"/>
  <c r="F32" i="67"/>
  <c r="F33" i="67"/>
  <c r="F34" i="66"/>
  <c r="F32" i="65"/>
  <c r="F35" i="65"/>
  <c r="F32" i="68"/>
  <c r="F34" i="68"/>
  <c r="F14" i="2"/>
  <c r="G11" i="2"/>
  <c r="F32" i="64"/>
  <c r="F34" i="64"/>
  <c r="L51" i="73"/>
  <c r="F51" i="73"/>
  <c r="D20" i="2"/>
  <c r="F20" i="2"/>
  <c r="F33" i="73"/>
  <c r="F51" i="69"/>
  <c r="L51" i="66"/>
  <c r="F51" i="66"/>
  <c r="D13" i="2"/>
  <c r="F33" i="66"/>
  <c r="F51" i="63"/>
  <c r="F18" i="2"/>
  <c r="D18" i="2"/>
  <c r="F16" i="2"/>
  <c r="D16" i="2"/>
  <c r="D14" i="2"/>
  <c r="G14" i="2"/>
  <c r="G12" i="2"/>
  <c r="F19" i="2"/>
  <c r="L51" i="72"/>
  <c r="F51" i="72"/>
  <c r="D19" i="2"/>
  <c r="E19" i="2"/>
  <c r="L51" i="71"/>
  <c r="F51" i="71"/>
  <c r="F33" i="71"/>
  <c r="F36" i="71" s="1"/>
  <c r="F42" i="71" s="1"/>
  <c r="E17" i="2"/>
  <c r="L51" i="70"/>
  <c r="F51" i="70"/>
  <c r="D17" i="2"/>
  <c r="L51" i="69"/>
  <c r="E16" i="2"/>
  <c r="G15" i="2"/>
  <c r="L51" i="68"/>
  <c r="F15" i="2"/>
  <c r="F51" i="68"/>
  <c r="F33" i="68"/>
  <c r="L51" i="67"/>
  <c r="F51" i="67"/>
  <c r="E14" i="2"/>
  <c r="F51" i="65"/>
  <c r="L51" i="65"/>
  <c r="D12" i="2"/>
  <c r="F12" i="2"/>
  <c r="F33" i="65"/>
  <c r="F51" i="64"/>
  <c r="D11" i="2"/>
  <c r="F11" i="2"/>
  <c r="F33" i="64"/>
  <c r="L27" i="73"/>
  <c r="J59" i="73" s="1"/>
  <c r="F36" i="72"/>
  <c r="F42" i="72" s="1"/>
  <c r="L27" i="72"/>
  <c r="J59" i="72" s="1"/>
  <c r="L27" i="71"/>
  <c r="J59" i="71" s="1"/>
  <c r="L27" i="70"/>
  <c r="J59" i="70" s="1"/>
  <c r="L27" i="69"/>
  <c r="J59" i="69" s="1"/>
  <c r="L27" i="68"/>
  <c r="J59" i="68" s="1"/>
  <c r="L27" i="67"/>
  <c r="J59" i="67" s="1"/>
  <c r="L27" i="66"/>
  <c r="J59" i="66" s="1"/>
  <c r="L27" i="65"/>
  <c r="J59" i="65" s="1"/>
  <c r="L51" i="64"/>
  <c r="L27" i="64"/>
  <c r="J59" i="64" s="1"/>
  <c r="F33" i="63"/>
  <c r="L51" i="63"/>
  <c r="F34" i="63"/>
  <c r="F35" i="63"/>
  <c r="G9" i="2"/>
  <c r="E9" i="2"/>
  <c r="L27" i="63"/>
  <c r="J59" i="63" s="1"/>
  <c r="F32" i="63"/>
  <c r="D9" i="2"/>
  <c r="F36" i="73" l="1"/>
  <c r="F42" i="73" s="1"/>
  <c r="F36" i="69"/>
  <c r="F42" i="69" s="1"/>
  <c r="F36" i="67"/>
  <c r="F42" i="67" s="1"/>
  <c r="F36" i="66"/>
  <c r="F42" i="66" s="1"/>
  <c r="F36" i="65"/>
  <c r="F42" i="65" s="1"/>
  <c r="J57" i="64"/>
  <c r="F36" i="64"/>
  <c r="F42" i="64" s="1"/>
  <c r="J57" i="73"/>
  <c r="F36" i="68"/>
  <c r="F42" i="68" s="1"/>
  <c r="J57" i="72"/>
  <c r="J57" i="69"/>
  <c r="J57" i="66"/>
  <c r="J57" i="63"/>
  <c r="J57" i="71"/>
  <c r="J57" i="70"/>
  <c r="J57" i="68"/>
  <c r="J57" i="67"/>
  <c r="J57" i="65"/>
  <c r="F36" i="63"/>
  <c r="F42" i="63" s="1"/>
  <c r="K8" i="2" l="1"/>
  <c r="B8" i="2"/>
  <c r="J63" i="5"/>
  <c r="J61" i="5"/>
  <c r="F50" i="5"/>
  <c r="L49" i="5"/>
  <c r="F49" i="5"/>
  <c r="L48" i="5"/>
  <c r="F48" i="5"/>
  <c r="L47" i="5"/>
  <c r="F47" i="5"/>
  <c r="L46" i="5"/>
  <c r="F46" i="5"/>
  <c r="F41" i="5"/>
  <c r="L39" i="5"/>
  <c r="L42" i="5" s="1"/>
  <c r="L25" i="5"/>
  <c r="P8" i="2" s="1"/>
  <c r="K25" i="5"/>
  <c r="O8" i="2" s="1"/>
  <c r="J25" i="5"/>
  <c r="I25" i="5"/>
  <c r="F25" i="5"/>
  <c r="E25" i="5"/>
  <c r="D25" i="5"/>
  <c r="C25" i="5"/>
  <c r="D8" i="2" s="1"/>
  <c r="P7" i="2"/>
  <c r="K7" i="2"/>
  <c r="B7" i="2"/>
  <c r="K6" i="2"/>
  <c r="J63" i="4"/>
  <c r="J61" i="4"/>
  <c r="F50" i="4"/>
  <c r="L49" i="4"/>
  <c r="F49" i="4"/>
  <c r="L48" i="4"/>
  <c r="F48" i="4"/>
  <c r="L47" i="4"/>
  <c r="F47" i="4"/>
  <c r="L46" i="4"/>
  <c r="F46" i="4"/>
  <c r="F41" i="4"/>
  <c r="L39" i="4"/>
  <c r="L42" i="4" s="1"/>
  <c r="L25" i="4"/>
  <c r="K25" i="4"/>
  <c r="O7" i="2" s="1"/>
  <c r="J25" i="4"/>
  <c r="N7" i="2" s="1"/>
  <c r="I25" i="4"/>
  <c r="M7" i="2" s="1"/>
  <c r="F25" i="4"/>
  <c r="F35" i="4" s="1"/>
  <c r="E25" i="4"/>
  <c r="D25" i="4"/>
  <c r="C25" i="4"/>
  <c r="F34" i="4" l="1"/>
  <c r="F34" i="5"/>
  <c r="F35" i="5"/>
  <c r="L51" i="5"/>
  <c r="G8" i="2"/>
  <c r="F7" i="2"/>
  <c r="G7" i="2"/>
  <c r="F8" i="2"/>
  <c r="F32" i="5"/>
  <c r="F33" i="5"/>
  <c r="F51" i="5"/>
  <c r="E8" i="2"/>
  <c r="N8" i="2"/>
  <c r="M8" i="2"/>
  <c r="L27" i="5"/>
  <c r="J59" i="5" s="1"/>
  <c r="L51" i="4"/>
  <c r="F51" i="4"/>
  <c r="F33" i="4"/>
  <c r="L27" i="4"/>
  <c r="J59" i="4" s="1"/>
  <c r="E7" i="2"/>
  <c r="F32" i="4"/>
  <c r="D7" i="2"/>
  <c r="J57" i="5" l="1"/>
  <c r="F36" i="5"/>
  <c r="F42" i="5" s="1"/>
  <c r="F36" i="4"/>
  <c r="F42" i="4" s="1"/>
  <c r="J57" i="4"/>
  <c r="J63" i="3"/>
  <c r="J61" i="3"/>
  <c r="F50" i="3"/>
  <c r="L49" i="3"/>
  <c r="F49" i="3"/>
  <c r="L48" i="3"/>
  <c r="F48" i="3"/>
  <c r="L47" i="3"/>
  <c r="F47" i="3"/>
  <c r="L46" i="3"/>
  <c r="F46" i="3"/>
  <c r="F41" i="3"/>
  <c r="L39" i="3"/>
  <c r="L42" i="3" s="1"/>
  <c r="L25" i="3"/>
  <c r="P6" i="2" s="1"/>
  <c r="K25" i="3"/>
  <c r="O6" i="2" s="1"/>
  <c r="J25" i="3"/>
  <c r="N6" i="2" s="1"/>
  <c r="I25" i="3"/>
  <c r="M6" i="2" s="1"/>
  <c r="F25" i="3"/>
  <c r="G6" i="2" s="1"/>
  <c r="E25" i="3"/>
  <c r="F6" i="2" s="1"/>
  <c r="D25" i="3"/>
  <c r="E6" i="2" s="1"/>
  <c r="C25" i="3"/>
  <c r="D6" i="2" s="1"/>
  <c r="F50" i="55"/>
  <c r="L49" i="55"/>
  <c r="F49" i="55"/>
  <c r="L48" i="55"/>
  <c r="F48" i="55"/>
  <c r="L47" i="55"/>
  <c r="F47" i="55"/>
  <c r="L46" i="55"/>
  <c r="F46" i="55"/>
  <c r="F41" i="55"/>
  <c r="L39" i="55"/>
  <c r="L42" i="55" s="1"/>
  <c r="L25" i="55"/>
  <c r="K25" i="55"/>
  <c r="O10" i="2" s="1"/>
  <c r="J25" i="55"/>
  <c r="N10" i="2" s="1"/>
  <c r="I25" i="55"/>
  <c r="M10" i="2" s="1"/>
  <c r="F25" i="55"/>
  <c r="F35" i="55" s="1"/>
  <c r="E25" i="55"/>
  <c r="F10" i="2" s="1"/>
  <c r="D25" i="55"/>
  <c r="E10" i="2" s="1"/>
  <c r="C25" i="55"/>
  <c r="V22" i="2"/>
  <c r="F32" i="55" l="1"/>
  <c r="F34" i="55"/>
  <c r="F33" i="55"/>
  <c r="AB30" i="2"/>
  <c r="AB32" i="2"/>
  <c r="T22" i="2"/>
  <c r="F33" i="3"/>
  <c r="F35" i="3"/>
  <c r="F32" i="3"/>
  <c r="L51" i="3"/>
  <c r="F51" i="3"/>
  <c r="F34" i="3"/>
  <c r="L27" i="3"/>
  <c r="J59" i="3" s="1"/>
  <c r="J65" i="3" s="1"/>
  <c r="L51" i="55"/>
  <c r="F51" i="55"/>
  <c r="J57" i="55" s="1"/>
  <c r="L27" i="55"/>
  <c r="J59" i="55" s="1"/>
  <c r="AB29" i="2"/>
  <c r="F36" i="55" l="1"/>
  <c r="F42" i="55" s="1"/>
  <c r="J57" i="3"/>
  <c r="F36" i="3"/>
  <c r="F42" i="3" s="1"/>
  <c r="AB28" i="2"/>
  <c r="AB31" i="2"/>
  <c r="AB26" i="2"/>
  <c r="AB24" i="2"/>
  <c r="AB27" i="2"/>
  <c r="AB25" i="2"/>
  <c r="Z7" i="2" l="1"/>
  <c r="Z9" i="2"/>
  <c r="W10" i="2"/>
  <c r="Z10" i="2"/>
  <c r="Z13" i="2"/>
  <c r="W12" i="2"/>
  <c r="T10" i="2"/>
  <c r="V10" i="2"/>
  <c r="W9" i="2"/>
  <c r="Z8" i="2"/>
  <c r="W8" i="2"/>
  <c r="Z6" i="2"/>
  <c r="Q8" i="2"/>
  <c r="V16" i="2"/>
  <c r="V24" i="2"/>
  <c r="AB36" i="2"/>
  <c r="Z36" i="2"/>
  <c r="W36" i="2"/>
  <c r="V36" i="2"/>
  <c r="T36" i="2"/>
  <c r="Q36" i="2"/>
  <c r="H36" i="2"/>
  <c r="AB35" i="2"/>
  <c r="Z35" i="2"/>
  <c r="W35" i="2"/>
  <c r="V35" i="2"/>
  <c r="T35" i="2"/>
  <c r="Q35" i="2"/>
  <c r="H35" i="2"/>
  <c r="AB34" i="2"/>
  <c r="Z34" i="2"/>
  <c r="W34" i="2"/>
  <c r="V34" i="2"/>
  <c r="T34" i="2"/>
  <c r="Q34" i="2"/>
  <c r="H34" i="2"/>
  <c r="AB33" i="2"/>
  <c r="Z33" i="2"/>
  <c r="W33" i="2"/>
  <c r="V33" i="2"/>
  <c r="T33" i="2"/>
  <c r="Q33" i="2"/>
  <c r="H33" i="2"/>
  <c r="Z32" i="2"/>
  <c r="W32" i="2"/>
  <c r="V32" i="2"/>
  <c r="T32" i="2"/>
  <c r="Q32" i="2"/>
  <c r="H32" i="2"/>
  <c r="Z31" i="2"/>
  <c r="W31" i="2"/>
  <c r="V31" i="2"/>
  <c r="T31" i="2"/>
  <c r="Q31" i="2"/>
  <c r="H31" i="2"/>
  <c r="Z30" i="2"/>
  <c r="W30" i="2"/>
  <c r="V30" i="2"/>
  <c r="T30" i="2"/>
  <c r="Q30" i="2"/>
  <c r="H30" i="2"/>
  <c r="Z29" i="2"/>
  <c r="W27" i="2"/>
  <c r="Z25" i="2"/>
  <c r="W25" i="2"/>
  <c r="V25" i="2"/>
  <c r="T25" i="2"/>
  <c r="Q25" i="2"/>
  <c r="H25" i="2"/>
  <c r="T23" i="2"/>
  <c r="T21" i="2"/>
  <c r="Q21" i="2"/>
  <c r="Z21" i="2"/>
  <c r="W21" i="2"/>
  <c r="V21" i="2"/>
  <c r="Z20" i="2"/>
  <c r="W20" i="2"/>
  <c r="V20" i="2"/>
  <c r="Z19" i="2"/>
  <c r="W19" i="2"/>
  <c r="T19" i="2"/>
  <c r="Q19" i="2"/>
  <c r="AB19" i="2"/>
  <c r="AB18" i="2"/>
  <c r="Z18" i="2"/>
  <c r="W18" i="2"/>
  <c r="V18" i="2"/>
  <c r="T18" i="2"/>
  <c r="Q18" i="2"/>
  <c r="H18" i="2"/>
  <c r="AB17" i="2"/>
  <c r="Z17" i="2"/>
  <c r="W17" i="2"/>
  <c r="V17" i="2"/>
  <c r="T17" i="2"/>
  <c r="Q17" i="2"/>
  <c r="H17" i="2"/>
  <c r="Z16" i="2"/>
  <c r="Q16" i="2"/>
  <c r="W16" i="2"/>
  <c r="T16" i="2"/>
  <c r="Z15" i="2"/>
  <c r="W15" i="2"/>
  <c r="Q15" i="2"/>
  <c r="Z14" i="2"/>
  <c r="W14" i="2"/>
  <c r="T14" i="2"/>
  <c r="Q14" i="2"/>
  <c r="H14" i="2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B11" i="2"/>
  <c r="Z11" i="2"/>
  <c r="W11" i="2"/>
  <c r="V11" i="2"/>
  <c r="T11" i="2"/>
  <c r="Q11" i="2"/>
  <c r="H11" i="2"/>
  <c r="Q10" i="2"/>
  <c r="W7" i="2"/>
  <c r="A7" i="2"/>
  <c r="A8" i="2" s="1"/>
  <c r="A9" i="2" s="1"/>
  <c r="A10" i="2" s="1"/>
  <c r="V8" i="2" l="1"/>
  <c r="X8" i="2" s="1"/>
  <c r="T6" i="2"/>
  <c r="Q6" i="2"/>
  <c r="X34" i="2"/>
  <c r="W6" i="2"/>
  <c r="X31" i="2"/>
  <c r="X30" i="2"/>
  <c r="X16" i="2"/>
  <c r="Q22" i="2"/>
  <c r="T24" i="2"/>
  <c r="V29" i="2"/>
  <c r="Z22" i="2"/>
  <c r="W28" i="2"/>
  <c r="T29" i="2"/>
  <c r="X20" i="2"/>
  <c r="X33" i="2"/>
  <c r="AB15" i="2"/>
  <c r="W22" i="2"/>
  <c r="H9" i="2"/>
  <c r="X10" i="2"/>
  <c r="X11" i="2"/>
  <c r="V15" i="2"/>
  <c r="X15" i="2" s="1"/>
  <c r="X18" i="2"/>
  <c r="Q20" i="2"/>
  <c r="W23" i="2"/>
  <c r="T15" i="2"/>
  <c r="V9" i="2"/>
  <c r="X9" i="2" s="1"/>
  <c r="AB13" i="2"/>
  <c r="Q13" i="2"/>
  <c r="T12" i="2"/>
  <c r="Q12" i="2"/>
  <c r="H13" i="2"/>
  <c r="AB14" i="2"/>
  <c r="H15" i="2"/>
  <c r="H19" i="2"/>
  <c r="M37" i="2"/>
  <c r="N37" i="2"/>
  <c r="Q9" i="2"/>
  <c r="V12" i="2"/>
  <c r="X12" i="2" s="1"/>
  <c r="W13" i="2"/>
  <c r="X17" i="2"/>
  <c r="X21" i="2"/>
  <c r="AB22" i="2"/>
  <c r="V23" i="2"/>
  <c r="W24" i="2"/>
  <c r="X24" i="2" s="1"/>
  <c r="V26" i="2"/>
  <c r="T26" i="2"/>
  <c r="Z27" i="2"/>
  <c r="T28" i="2"/>
  <c r="W29" i="2"/>
  <c r="V28" i="2"/>
  <c r="Z23" i="2"/>
  <c r="X25" i="2"/>
  <c r="Z26" i="2"/>
  <c r="V27" i="2"/>
  <c r="X27" i="2" s="1"/>
  <c r="T27" i="2"/>
  <c r="Z28" i="2"/>
  <c r="X35" i="2"/>
  <c r="AB7" i="2"/>
  <c r="D37" i="2"/>
  <c r="V13" i="2"/>
  <c r="W26" i="2"/>
  <c r="Q28" i="2"/>
  <c r="V7" i="2"/>
  <c r="X7" i="2" s="1"/>
  <c r="Q7" i="2"/>
  <c r="Z12" i="2"/>
  <c r="P37" i="2"/>
  <c r="V14" i="2"/>
  <c r="X14" i="2" s="1"/>
  <c r="T20" i="2"/>
  <c r="H20" i="2"/>
  <c r="AB20" i="2"/>
  <c r="H23" i="2"/>
  <c r="AB23" i="2"/>
  <c r="Q24" i="2"/>
  <c r="H29" i="2"/>
  <c r="G37" i="2"/>
  <c r="H7" i="2"/>
  <c r="T7" i="2"/>
  <c r="T9" i="2"/>
  <c r="AB9" i="2"/>
  <c r="AB10" i="2"/>
  <c r="H12" i="2"/>
  <c r="AB12" i="2"/>
  <c r="AB16" i="2"/>
  <c r="H22" i="2"/>
  <c r="Q27" i="2"/>
  <c r="V6" i="2"/>
  <c r="AB8" i="2"/>
  <c r="H8" i="2"/>
  <c r="T8" i="2"/>
  <c r="H10" i="2"/>
  <c r="T13" i="2"/>
  <c r="H16" i="2"/>
  <c r="AB21" i="2"/>
  <c r="Q23" i="2"/>
  <c r="Z24" i="2"/>
  <c r="Q26" i="2"/>
  <c r="Q29" i="2"/>
  <c r="X32" i="2"/>
  <c r="X36" i="2"/>
  <c r="O37" i="2"/>
  <c r="H21" i="2"/>
  <c r="H28" i="2"/>
  <c r="V19" i="2"/>
  <c r="X19" i="2" s="1"/>
  <c r="H24" i="2"/>
  <c r="H26" i="2"/>
  <c r="H27" i="2"/>
  <c r="Q37" i="2" l="1"/>
  <c r="E37" i="2"/>
  <c r="H6" i="2"/>
  <c r="H37" i="2" s="1"/>
  <c r="AB6" i="2"/>
  <c r="AD16" i="2" s="1"/>
  <c r="X26" i="2"/>
  <c r="F37" i="2"/>
  <c r="X28" i="2"/>
  <c r="X29" i="2"/>
  <c r="X23" i="2"/>
  <c r="AD26" i="2"/>
  <c r="H40" i="2"/>
  <c r="W37" i="2"/>
  <c r="W38" i="2" s="1"/>
  <c r="W39" i="2" s="1"/>
  <c r="X22" i="2"/>
  <c r="AD36" i="2"/>
  <c r="X13" i="2"/>
  <c r="G40" i="2"/>
  <c r="Z37" i="2"/>
  <c r="T37" i="2"/>
  <c r="V37" i="2"/>
  <c r="X6" i="2"/>
  <c r="F40" i="2" l="1"/>
  <c r="Q38" i="2"/>
  <c r="D39" i="2"/>
  <c r="AB37" i="2"/>
  <c r="AB40" i="2" s="1"/>
  <c r="X37" i="2"/>
  <c r="W40" i="2"/>
  <c r="V38" i="2"/>
  <c r="Q39" i="2" l="1"/>
  <c r="D43" i="2" s="1"/>
  <c r="B45" i="2"/>
  <c r="D45" i="2" s="1"/>
  <c r="X38" i="2"/>
  <c r="V39" i="2"/>
  <c r="X39" i="2" s="1"/>
  <c r="D47" i="2" l="1"/>
  <c r="D49" i="2"/>
  <c r="X40" i="2"/>
  <c r="V40" i="2"/>
  <c r="D51" i="2" l="1"/>
  <c r="J67" i="3"/>
  <c r="J69" i="3"/>
  <c r="J71" i="3" s="1"/>
  <c r="J55" i="4" l="1"/>
  <c r="J65" i="4" s="1"/>
  <c r="J69" i="4" l="1"/>
  <c r="J55" i="5" s="1"/>
  <c r="J65" i="5" s="1"/>
  <c r="J67" i="4"/>
  <c r="J69" i="5" l="1"/>
  <c r="J67" i="5"/>
  <c r="J71" i="4"/>
  <c r="J71" i="5" l="1"/>
  <c r="J55" i="63"/>
  <c r="J65" i="63" s="1"/>
  <c r="J69" i="63" l="1"/>
  <c r="J55" i="55" s="1"/>
  <c r="J67" i="63"/>
  <c r="J69" i="55" l="1"/>
  <c r="J65" i="55"/>
  <c r="J67" i="55" s="1"/>
  <c r="J71" i="63"/>
  <c r="J71" i="55" l="1"/>
  <c r="J55" i="64"/>
  <c r="J69" i="64" l="1"/>
  <c r="J65" i="64"/>
  <c r="J67" i="64" s="1"/>
  <c r="J55" i="65" l="1"/>
  <c r="J71" i="64"/>
  <c r="J65" i="65" l="1"/>
  <c r="J67" i="65" s="1"/>
  <c r="J69" i="65"/>
  <c r="J71" i="65" l="1"/>
  <c r="J55" i="66"/>
  <c r="J65" i="66" l="1"/>
  <c r="J67" i="66" s="1"/>
  <c r="J69" i="66"/>
  <c r="J55" i="67" l="1"/>
  <c r="J71" i="66"/>
  <c r="J65" i="67" l="1"/>
  <c r="J67" i="67" s="1"/>
  <c r="J69" i="67"/>
  <c r="J71" i="67" l="1"/>
  <c r="J55" i="68"/>
  <c r="J65" i="68" l="1"/>
  <c r="J67" i="68" s="1"/>
  <c r="J69" i="68"/>
  <c r="J55" i="69" l="1"/>
  <c r="J71" i="68"/>
  <c r="J65" i="69" l="1"/>
  <c r="J67" i="69" s="1"/>
  <c r="J69" i="69"/>
  <c r="J71" i="69" l="1"/>
  <c r="J55" i="70"/>
  <c r="J65" i="70" l="1"/>
  <c r="J67" i="70" s="1"/>
  <c r="J69" i="70"/>
  <c r="J71" i="70" l="1"/>
  <c r="J55" i="71"/>
  <c r="J65" i="71" l="1"/>
  <c r="J67" i="71" s="1"/>
  <c r="J69" i="71"/>
  <c r="J71" i="71" l="1"/>
  <c r="J55" i="72"/>
  <c r="J65" i="72" l="1"/>
  <c r="J67" i="72" s="1"/>
  <c r="J69" i="72"/>
  <c r="J55" i="73" l="1"/>
  <c r="J71" i="72"/>
  <c r="J65" i="73" l="1"/>
  <c r="J67" i="73" s="1"/>
  <c r="J69" i="73"/>
  <c r="J55" i="79" l="1"/>
  <c r="J71" i="73"/>
  <c r="J65" i="79" l="1"/>
  <c r="J67" i="79" s="1"/>
  <c r="J69" i="79"/>
  <c r="J55" i="80" l="1"/>
  <c r="J71" i="79"/>
  <c r="J65" i="80" l="1"/>
  <c r="J67" i="80" s="1"/>
  <c r="J69" i="80"/>
  <c r="J71" i="80" l="1"/>
  <c r="J55" i="81"/>
  <c r="J65" i="81" l="1"/>
  <c r="J67" i="81" s="1"/>
  <c r="J69" i="81"/>
  <c r="J71" i="81" l="1"/>
  <c r="J55" i="82"/>
  <c r="J65" i="82" l="1"/>
  <c r="J67" i="82" s="1"/>
  <c r="J69" i="82"/>
  <c r="J71" i="82" l="1"/>
  <c r="J53" i="83"/>
  <c r="J63" i="83" l="1"/>
  <c r="J65" i="83" s="1"/>
  <c r="J67" i="83"/>
  <c r="J69" i="83" l="1"/>
  <c r="J53" i="84"/>
  <c r="J63" i="84" l="1"/>
  <c r="J65" i="84" s="1"/>
  <c r="J67" i="84"/>
  <c r="J69" i="84" l="1"/>
  <c r="J55" i="85"/>
  <c r="J65" i="85" l="1"/>
  <c r="J67" i="85" s="1"/>
  <c r="J69" i="85"/>
  <c r="J71" i="85" l="1"/>
  <c r="J55" i="88"/>
  <c r="J65" i="88" l="1"/>
  <c r="J67" i="88" s="1"/>
  <c r="J69" i="88"/>
  <c r="J71" i="88" l="1"/>
  <c r="J55" i="89"/>
  <c r="J65" i="89" l="1"/>
  <c r="J67" i="89" s="1"/>
  <c r="J69" i="89"/>
  <c r="J55" i="90" l="1"/>
  <c r="J71" i="89"/>
  <c r="J65" i="90" l="1"/>
  <c r="J67" i="90" s="1"/>
  <c r="J69" i="90"/>
  <c r="J71" i="90" l="1"/>
  <c r="J55" i="91"/>
  <c r="J65" i="91" l="1"/>
  <c r="J67" i="91" s="1"/>
  <c r="J69" i="91"/>
  <c r="J55" i="92" l="1"/>
  <c r="J71" i="91"/>
  <c r="J65" i="92" l="1"/>
  <c r="J67" i="92" s="1"/>
  <c r="J69" i="92"/>
  <c r="J71" i="92" l="1"/>
  <c r="J55" i="93"/>
  <c r="J65" i="93" l="1"/>
  <c r="J67" i="93" s="1"/>
  <c r="J69" i="93"/>
  <c r="J71" i="93" l="1"/>
  <c r="J55" i="95"/>
  <c r="J65" i="95" l="1"/>
  <c r="J67" i="95" s="1"/>
  <c r="J69" i="95"/>
  <c r="J55" i="94" l="1"/>
  <c r="J71" i="95"/>
  <c r="J65" i="94" l="1"/>
  <c r="J67" i="94" s="1"/>
  <c r="J69" i="94"/>
  <c r="J71" i="94" l="1"/>
  <c r="J55" i="96"/>
  <c r="J65" i="96" l="1"/>
  <c r="J67" i="96" s="1"/>
  <c r="J69" i="96"/>
  <c r="J71" i="96" s="1"/>
</calcChain>
</file>

<file path=xl/sharedStrings.xml><?xml version="1.0" encoding="utf-8"?>
<sst xmlns="http://schemas.openxmlformats.org/spreadsheetml/2006/main" count="2454" uniqueCount="113">
  <si>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</si>
  <si>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</si>
  <si>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</si>
  <si>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</si>
  <si>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</si>
  <si>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</si>
  <si>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</si>
  <si>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</si>
  <si>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</si>
  <si>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</si>
  <si>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</si>
  <si>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</si>
  <si>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</si>
  <si>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</si>
  <si>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</si>
  <si>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</si>
  <si>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</si>
  <si>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</si>
  <si>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</si>
  <si>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</si>
  <si>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</si>
  <si>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</si>
  <si>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</si>
  <si>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</si>
  <si>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</si>
  <si>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</si>
  <si>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</si>
  <si>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</si>
  <si>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</si>
  <si>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</si>
  <si>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</si>
  <si>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</si>
  <si>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</si>
  <si>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</si>
  <si>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</si>
  <si>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</si>
  <si>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</si>
  <si>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</si>
  <si>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</si>
  <si>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</si>
  <si>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</si>
  <si>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</si>
  <si>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</si>
  <si>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</si>
  <si>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</si>
  <si>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</si>
  <si>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</si>
  <si>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</si>
  <si>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</si>
  <si>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</si>
  <si>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</si>
  <si>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</si>
  <si>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</si>
  <si>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</si>
  <si>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</si>
  <si>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</si>
  <si>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</si>
  <si>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</si>
  <si>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</si>
  <si>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</si>
  <si>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</si>
  <si>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</si>
  <si>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</si>
  <si>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</si>
  <si>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</si>
  <si>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</si>
  <si>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</si>
  <si>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</si>
  <si>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</si>
  <si>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</si>
  <si>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</si>
  <si>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</si>
  <si>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</si>
  <si>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</si>
  <si>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</si>
  <si>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</si>
  <si>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</si>
  <si>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</si>
  <si>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</si>
  <si>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</si>
  <si>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</si>
  <si>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</si>
  <si>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</si>
  <si>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</si>
  <si>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</si>
  <si>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Augustina Drago</t>
  </si>
  <si>
    <t>Noviembre</t>
  </si>
  <si>
    <t>Retiro del laboratorio ($32.000) y retiro de la devolución de la garantía del canil en efectivo ($15.000) + Sobrante por adelanto de examenes paciente Mila ($2.500)</t>
  </si>
  <si>
    <t>Sasha Alcalá</t>
  </si>
  <si>
    <t>RETIRO 07/11 $1.410</t>
  </si>
  <si>
    <t xml:space="preserve">Retiro caja principal $80 + pago animald, sobran 20 pesos que no se dio cambio </t>
  </si>
  <si>
    <t>Pago animalab</t>
  </si>
  <si>
    <t>NOVIEMBRE</t>
  </si>
  <si>
    <t>506/509/282</t>
  </si>
  <si>
    <t>PAGO ANIMALAB $59.000 + RETIRO RONALD $3.800 + RETIRO EFECTIVO $60.000</t>
  </si>
  <si>
    <t>Pago Animal lab $73.000, sobran $20. que ingreso para dejar cuadrado</t>
  </si>
  <si>
    <t>Se deben 10 pesos, por lo que hay una diferencia positiva de 10 pesos. La primera boleta afecta es del jueves, y se pagó adelantado una cirugía de 1.115.000
RETIRO EFECTIVO 31/10 $20.000</t>
  </si>
  <si>
    <t>SASHA ALCALÁ</t>
  </si>
  <si>
    <t>Retiro a caja principal. Ingreso de $20 Sobrante para cuadre y pago Romina</t>
  </si>
  <si>
    <t>Pago de agua 7500 y biopsia del 08/11</t>
  </si>
  <si>
    <t>Retiro caja principal y pago $10.000 Carlos</t>
  </si>
  <si>
    <t>Retiro a caja principal</t>
  </si>
  <si>
    <t>Pago 21000 al laboratorio</t>
  </si>
  <si>
    <t>Pago Animalab</t>
  </si>
  <si>
    <t>NOBIEMBRE</t>
  </si>
  <si>
    <t>Pago de entrega a domicilio discos</t>
  </si>
  <si>
    <t>577 y 578</t>
  </si>
  <si>
    <t>Pago jimena</t>
  </si>
  <si>
    <t>Sasha Alala</t>
  </si>
  <si>
    <t>Ronald $30.000 y pago a animal pendiente del 12-11-2024</t>
  </si>
  <si>
    <t>Abono a animal lab y reenboso $2000 por collar isabelino</t>
  </si>
  <si>
    <t>pago animalab</t>
  </si>
  <si>
    <t>Sasha Alcala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</si>
</sst>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\ &quot;€&quot;_-;\-* #,##0\ &quot;€&quot;_-;_-* &quot;-&quot;\ &quot;€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&quot;€&quot;#,##0"/>
    <numFmt numFmtId="168" formatCode="[$$-340A]#,##0.00"/>
    <numFmt numFmtId="169" formatCode="[$$-340A]#,##0"/>
    <numFmt numFmtId="170" formatCode="[$$-340A]#,##0;[$$-340A]\-#,##0"/>
    <numFmt numFmtId="171" formatCode="_-&quot;$&quot;* #,##0_-;\-&quot;$&quot;* #,##0_-;_-&quot;$&quot;* &quot;-&quot;??_-;_-@_-"/>
    <numFmt numFmtId="172" formatCode="_ [$$-340A]* #,##0_ ;_ [$$-340A]* \-#,##0_ ;_ [$$-340A]* &quot;-&quot;??_ ;_ @_ "/>
  </numFmts>
  <fonts count="3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2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C0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u/>
      <sz val="11"/>
      <color rgb="FF000000"/>
      <name val="Calibri"/>
      <family val="2"/>
    </font>
    <font>
      <b/>
      <sz val="20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2"/>
      <color rgb="FF5E5E5E"/>
      <name val="Arial"/>
      <family val="2"/>
    </font>
    <font>
      <sz val="9"/>
      <color rgb="FF00000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4" tint="0.59999389629810485"/>
        <bgColor rgb="FFC9A4E4"/>
      </patternFill>
    </fill>
    <fill>
      <patternFill patternType="solid">
        <fgColor theme="4" tint="0.59999389629810485"/>
        <bgColor rgb="FFB9D749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AA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FFFF00"/>
      </patternFill>
    </fill>
    <fill>
      <patternFill patternType="solid">
        <fgColor rgb="FF19C3FF"/>
        <bgColor rgb="FFD99594"/>
      </patternFill>
    </fill>
    <fill>
      <patternFill patternType="solid">
        <fgColor rgb="FF9966FF"/>
        <bgColor rgb="FFD99594"/>
      </patternFill>
    </fill>
    <fill>
      <patternFill patternType="solid">
        <fgColor theme="4" tint="0.59999389629810485"/>
        <bgColor rgb="FF99FF66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82C836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A568D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599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13" fillId="0" borderId="0"/>
    <xf numFmtId="0" fontId="1" fillId="0" borderId="0"/>
    <xf numFmtId="164" fontId="1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40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164" fontId="1" fillId="0" borderId="0" xfId="1" applyFont="1" applyBorder="1" applyAlignment="1">
      <alignment horizontal="left" vertical="center"/>
    </xf>
    <xf numFmtId="164" fontId="1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1" applyFont="1" applyBorder="1" applyAlignment="1">
      <alignment horizontal="left" vertical="center"/>
    </xf>
    <xf numFmtId="164" fontId="0" fillId="0" borderId="0" xfId="1" applyFont="1" applyAlignment="1">
      <alignment horizontal="left" vertical="center"/>
    </xf>
    <xf numFmtId="0" fontId="0" fillId="0" borderId="20" xfId="0" applyBorder="1" applyAlignment="1">
      <alignment horizontal="left" vertical="center"/>
    </xf>
    <xf numFmtId="164" fontId="0" fillId="0" borderId="20" xfId="1" applyFont="1" applyBorder="1" applyAlignment="1">
      <alignment horizontal="left" vertical="center"/>
    </xf>
    <xf numFmtId="164" fontId="17" fillId="8" borderId="0" xfId="4" applyFont="1" applyFill="1" applyBorder="1" applyAlignment="1" applyProtection="1">
      <alignment horizontal="center" vertical="center" wrapText="1"/>
    </xf>
    <xf numFmtId="164" fontId="17" fillId="14" borderId="31" xfId="4" applyFont="1" applyFill="1" applyBorder="1" applyAlignment="1" applyProtection="1">
      <alignment horizontal="center" vertical="center"/>
    </xf>
    <xf numFmtId="164" fontId="17" fillId="14" borderId="35" xfId="4" applyFont="1" applyFill="1" applyBorder="1" applyAlignment="1" applyProtection="1">
      <alignment horizontal="center" vertical="center" wrapText="1"/>
    </xf>
    <xf numFmtId="164" fontId="17" fillId="14" borderId="36" xfId="4" applyFont="1" applyFill="1" applyBorder="1" applyAlignment="1" applyProtection="1">
      <alignment horizontal="center" vertical="center" wrapText="1"/>
    </xf>
    <xf numFmtId="164" fontId="15" fillId="21" borderId="40" xfId="4" applyFont="1" applyFill="1" applyBorder="1" applyAlignment="1" applyProtection="1">
      <alignment horizontal="center"/>
    </xf>
    <xf numFmtId="164" fontId="15" fillId="21" borderId="33" xfId="4" applyFont="1" applyFill="1" applyBorder="1" applyAlignment="1" applyProtection="1">
      <alignment horizontal="center"/>
    </xf>
    <xf numFmtId="164" fontId="15" fillId="21" borderId="41" xfId="4" applyFont="1" applyFill="1" applyBorder="1" applyAlignment="1" applyProtection="1">
      <alignment horizontal="center"/>
    </xf>
    <xf numFmtId="164" fontId="15" fillId="8" borderId="0" xfId="4" applyFont="1" applyFill="1" applyBorder="1" applyAlignment="1" applyProtection="1">
      <alignment horizontal="center"/>
    </xf>
    <xf numFmtId="164" fontId="18" fillId="31" borderId="21" xfId="4" applyFont="1" applyFill="1" applyBorder="1" applyAlignment="1" applyProtection="1">
      <alignment vertical="center"/>
    </xf>
    <xf numFmtId="164" fontId="18" fillId="31" borderId="22" xfId="4" applyFont="1" applyFill="1" applyBorder="1" applyAlignment="1" applyProtection="1">
      <alignment vertical="center"/>
    </xf>
    <xf numFmtId="164" fontId="0" fillId="0" borderId="0" xfId="4" applyFont="1" applyAlignment="1" applyProtection="1">
      <alignment vertical="center"/>
    </xf>
    <xf numFmtId="164" fontId="0" fillId="37" borderId="21" xfId="4" applyFont="1" applyFill="1" applyBorder="1" applyProtection="1"/>
    <xf numFmtId="164" fontId="0" fillId="37" borderId="57" xfId="4" applyFont="1" applyFill="1" applyBorder="1" applyProtection="1"/>
    <xf numFmtId="164" fontId="0" fillId="0" borderId="0" xfId="4" applyFont="1" applyProtection="1"/>
    <xf numFmtId="164" fontId="0" fillId="0" borderId="0" xfId="4" applyFont="1" applyFill="1" applyProtection="1"/>
    <xf numFmtId="164" fontId="0" fillId="0" borderId="0" xfId="4" applyFont="1" applyAlignment="1" applyProtection="1"/>
    <xf numFmtId="164" fontId="0" fillId="0" borderId="0" xfId="4" applyFont="1" applyAlignment="1" applyProtection="1">
      <alignment horizontal="center"/>
    </xf>
    <xf numFmtId="164" fontId="18" fillId="26" borderId="31" xfId="4" applyFont="1" applyFill="1" applyBorder="1" applyProtection="1"/>
    <xf numFmtId="164" fontId="18" fillId="26" borderId="23" xfId="4" applyFont="1" applyFill="1" applyBorder="1" applyProtection="1"/>
    <xf numFmtId="164" fontId="15" fillId="32" borderId="66" xfId="4" applyFont="1" applyFill="1" applyBorder="1" applyProtection="1"/>
    <xf numFmtId="164" fontId="18" fillId="0" borderId="0" xfId="4" applyFont="1" applyProtection="1"/>
    <xf numFmtId="164" fontId="18" fillId="26" borderId="21" xfId="4" applyFont="1" applyFill="1" applyBorder="1" applyProtection="1"/>
    <xf numFmtId="164" fontId="18" fillId="26" borderId="22" xfId="4" applyFont="1" applyFill="1" applyBorder="1" applyProtection="1"/>
    <xf numFmtId="169" fontId="18" fillId="16" borderId="38" xfId="4" applyNumberFormat="1" applyFont="1" applyFill="1" applyBorder="1" applyProtection="1"/>
    <xf numFmtId="169" fontId="18" fillId="24" borderId="55" xfId="4" applyNumberFormat="1" applyFont="1" applyFill="1" applyBorder="1" applyProtection="1"/>
    <xf numFmtId="169" fontId="18" fillId="0" borderId="28" xfId="4" applyNumberFormat="1" applyFont="1" applyFill="1" applyBorder="1" applyAlignment="1" applyProtection="1">
      <alignment horizontal="right"/>
    </xf>
    <xf numFmtId="169" fontId="18" fillId="0" borderId="34" xfId="4" applyNumberFormat="1" applyFont="1" applyFill="1" applyBorder="1" applyAlignment="1" applyProtection="1">
      <alignment horizontal="right"/>
    </xf>
    <xf numFmtId="169" fontId="19" fillId="26" borderId="38" xfId="4" applyNumberFormat="1" applyFont="1" applyFill="1" applyBorder="1" applyAlignment="1" applyProtection="1">
      <alignment horizontal="right"/>
    </xf>
    <xf numFmtId="169" fontId="20" fillId="27" borderId="56" xfId="4" applyNumberFormat="1" applyFont="1" applyFill="1" applyBorder="1" applyAlignment="1" applyProtection="1">
      <alignment horizontal="center"/>
    </xf>
    <xf numFmtId="169" fontId="18" fillId="0" borderId="39" xfId="4" applyNumberFormat="1" applyFont="1" applyFill="1" applyBorder="1" applyAlignment="1" applyProtection="1">
      <alignment horizontal="right"/>
    </xf>
    <xf numFmtId="170" fontId="0" fillId="33" borderId="57" xfId="4" applyNumberFormat="1" applyFont="1" applyFill="1" applyBorder="1" applyAlignment="1" applyProtection="1">
      <alignment horizontal="center"/>
    </xf>
    <xf numFmtId="170" fontId="0" fillId="33" borderId="61" xfId="4" applyNumberFormat="1" applyFont="1" applyFill="1" applyBorder="1" applyAlignment="1" applyProtection="1">
      <alignment horizontal="center"/>
    </xf>
    <xf numFmtId="170" fontId="18" fillId="31" borderId="63" xfId="4" applyNumberFormat="1" applyFont="1" applyFill="1" applyBorder="1" applyAlignment="1" applyProtection="1">
      <alignment horizontal="center" vertical="center"/>
    </xf>
    <xf numFmtId="170" fontId="0" fillId="0" borderId="0" xfId="4" applyNumberFormat="1" applyFont="1" applyAlignment="1" applyProtection="1">
      <alignment horizontal="center" vertical="center"/>
    </xf>
    <xf numFmtId="169" fontId="21" fillId="26" borderId="24" xfId="4" applyNumberFormat="1" applyFont="1" applyFill="1" applyBorder="1" applyAlignment="1" applyProtection="1">
      <alignment horizontal="center"/>
    </xf>
    <xf numFmtId="169" fontId="20" fillId="32" borderId="33" xfId="4" applyNumberFormat="1" applyFont="1" applyFill="1" applyBorder="1" applyAlignment="1" applyProtection="1">
      <alignment horizontal="center"/>
    </xf>
    <xf numFmtId="169" fontId="20" fillId="32" borderId="53" xfId="4" applyNumberFormat="1" applyFont="1" applyFill="1" applyBorder="1" applyAlignment="1" applyProtection="1">
      <alignment horizontal="center"/>
    </xf>
    <xf numFmtId="169" fontId="0" fillId="0" borderId="0" xfId="4" applyNumberFormat="1" applyFont="1" applyAlignment="1" applyProtection="1">
      <alignment horizontal="center"/>
    </xf>
    <xf numFmtId="169" fontId="21" fillId="26" borderId="63" xfId="4" applyNumberFormat="1" applyFont="1" applyFill="1" applyBorder="1" applyAlignment="1" applyProtection="1">
      <alignment horizontal="center"/>
    </xf>
    <xf numFmtId="169" fontId="18" fillId="17" borderId="63" xfId="4" applyNumberFormat="1" applyFont="1" applyFill="1" applyBorder="1" applyAlignment="1" applyProtection="1">
      <alignment horizontal="center"/>
    </xf>
    <xf numFmtId="169" fontId="18" fillId="0" borderId="34" xfId="4" applyNumberFormat="1" applyFont="1" applyFill="1" applyBorder="1" applyProtection="1"/>
    <xf numFmtId="169" fontId="0" fillId="0" borderId="43" xfId="4" applyNumberFormat="1" applyFont="1" applyFill="1" applyBorder="1" applyProtection="1"/>
    <xf numFmtId="169" fontId="0" fillId="0" borderId="44" xfId="4" applyNumberFormat="1" applyFont="1" applyFill="1" applyBorder="1" applyProtection="1"/>
    <xf numFmtId="169" fontId="18" fillId="0" borderId="45" xfId="4" applyNumberFormat="1" applyFont="1" applyFill="1" applyBorder="1" applyProtection="1"/>
    <xf numFmtId="169" fontId="18" fillId="8" borderId="0" xfId="4" applyNumberFormat="1" applyFont="1" applyFill="1" applyBorder="1" applyProtection="1"/>
    <xf numFmtId="169" fontId="18" fillId="22" borderId="46" xfId="4" applyNumberFormat="1" applyFont="1" applyFill="1" applyBorder="1" applyProtection="1"/>
    <xf numFmtId="169" fontId="0" fillId="0" borderId="34" xfId="4" applyNumberFormat="1" applyFont="1" applyFill="1" applyBorder="1" applyProtection="1"/>
    <xf numFmtId="169" fontId="0" fillId="0" borderId="47" xfId="4" applyNumberFormat="1" applyFont="1" applyFill="1" applyBorder="1" applyProtection="1"/>
    <xf numFmtId="169" fontId="0" fillId="0" borderId="33" xfId="4" applyNumberFormat="1" applyFont="1" applyFill="1" applyBorder="1" applyProtection="1"/>
    <xf numFmtId="169" fontId="18" fillId="0" borderId="48" xfId="4" applyNumberFormat="1" applyFont="1" applyFill="1" applyBorder="1" applyProtection="1"/>
    <xf numFmtId="169" fontId="18" fillId="22" borderId="49" xfId="4" applyNumberFormat="1" applyFont="1" applyFill="1" applyBorder="1" applyProtection="1"/>
    <xf numFmtId="169" fontId="18" fillId="0" borderId="51" xfId="4" applyNumberFormat="1" applyFont="1" applyFill="1" applyBorder="1" applyProtection="1"/>
    <xf numFmtId="169" fontId="13" fillId="0" borderId="34" xfId="4" applyNumberFormat="1" applyFont="1" applyFill="1" applyBorder="1" applyProtection="1"/>
    <xf numFmtId="169" fontId="0" fillId="0" borderId="52" xfId="4" applyNumberFormat="1" applyFont="1" applyFill="1" applyBorder="1" applyProtection="1"/>
    <xf numFmtId="169" fontId="0" fillId="0" borderId="53" xfId="4" applyNumberFormat="1" applyFont="1" applyFill="1" applyBorder="1" applyProtection="1"/>
    <xf numFmtId="169" fontId="18" fillId="22" borderId="54" xfId="4" applyNumberFormat="1" applyFont="1" applyFill="1" applyBorder="1" applyProtection="1"/>
    <xf numFmtId="169" fontId="18" fillId="0" borderId="39" xfId="4" applyNumberFormat="1" applyFont="1" applyFill="1" applyBorder="1" applyProtection="1"/>
    <xf numFmtId="169" fontId="18" fillId="28" borderId="57" xfId="4" applyNumberFormat="1" applyFont="1" applyFill="1" applyBorder="1" applyProtection="1"/>
    <xf numFmtId="169" fontId="20" fillId="24" borderId="58" xfId="4" applyNumberFormat="1" applyFont="1" applyFill="1" applyBorder="1" applyProtection="1"/>
    <xf numFmtId="169" fontId="20" fillId="24" borderId="59" xfId="4" applyNumberFormat="1" applyFont="1" applyFill="1" applyBorder="1" applyProtection="1"/>
    <xf numFmtId="169" fontId="20" fillId="24" borderId="60" xfId="4" applyNumberFormat="1" applyFont="1" applyFill="1" applyBorder="1" applyProtection="1"/>
    <xf numFmtId="169" fontId="15" fillId="8" borderId="0" xfId="4" applyNumberFormat="1" applyFont="1" applyFill="1" applyBorder="1" applyProtection="1"/>
    <xf numFmtId="169" fontId="18" fillId="29" borderId="61" xfId="4" applyNumberFormat="1" applyFont="1" applyFill="1" applyBorder="1" applyProtection="1"/>
    <xf numFmtId="169" fontId="0" fillId="30" borderId="61" xfId="4" applyNumberFormat="1" applyFont="1" applyFill="1" applyBorder="1" applyProtection="1"/>
    <xf numFmtId="169" fontId="15" fillId="30" borderId="53" xfId="4" applyNumberFormat="1" applyFont="1" applyFill="1" applyBorder="1" applyProtection="1"/>
    <xf numFmtId="169" fontId="15" fillId="0" borderId="0" xfId="4" applyNumberFormat="1" applyFont="1" applyFill="1" applyBorder="1" applyProtection="1"/>
    <xf numFmtId="169" fontId="18" fillId="34" borderId="61" xfId="4" applyNumberFormat="1" applyFont="1" applyFill="1" applyBorder="1" applyProtection="1"/>
    <xf numFmtId="169" fontId="20" fillId="34" borderId="53" xfId="4" applyNumberFormat="1" applyFont="1" applyFill="1" applyBorder="1" applyProtection="1"/>
    <xf numFmtId="169" fontId="20" fillId="0" borderId="0" xfId="4" applyNumberFormat="1" applyFont="1" applyFill="1" applyBorder="1" applyProtection="1"/>
    <xf numFmtId="169" fontId="18" fillId="35" borderId="21" xfId="4" applyNumberFormat="1" applyFont="1" applyFill="1" applyBorder="1" applyAlignment="1" applyProtection="1">
      <alignment horizontal="center"/>
    </xf>
    <xf numFmtId="169" fontId="20" fillId="32" borderId="65" xfId="4" applyNumberFormat="1" applyFont="1" applyFill="1" applyBorder="1" applyProtection="1"/>
    <xf numFmtId="0" fontId="0" fillId="8" borderId="0" xfId="0" applyFill="1"/>
    <xf numFmtId="0" fontId="1" fillId="0" borderId="0" xfId="0" applyFont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64" fontId="1" fillId="0" borderId="3" xfId="1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left" vertical="center"/>
      <protection locked="0"/>
    </xf>
    <xf numFmtId="164" fontId="1" fillId="3" borderId="0" xfId="1" applyFont="1" applyFill="1" applyAlignment="1" applyProtection="1">
      <alignment horizontal="left" vertical="center"/>
      <protection locked="0"/>
    </xf>
    <xf numFmtId="164" fontId="4" fillId="3" borderId="0" xfId="1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164" fontId="6" fillId="2" borderId="10" xfId="1" applyFont="1" applyFill="1" applyBorder="1" applyAlignment="1" applyProtection="1">
      <alignment horizontal="center" vertical="center" wrapText="1"/>
      <protection locked="0"/>
    </xf>
    <xf numFmtId="164" fontId="6" fillId="2" borderId="11" xfId="1" applyFont="1" applyFill="1" applyBorder="1" applyAlignment="1" applyProtection="1">
      <alignment horizontal="center" wrapText="1"/>
      <protection locked="0"/>
    </xf>
    <xf numFmtId="164" fontId="6" fillId="2" borderId="10" xfId="1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left" vertical="center"/>
      <protection locked="0"/>
    </xf>
    <xf numFmtId="171" fontId="6" fillId="4" borderId="10" xfId="5" applyNumberFormat="1" applyFont="1" applyFill="1" applyBorder="1" applyAlignment="1" applyProtection="1">
      <alignment horizontal="left" vertical="center"/>
      <protection locked="0"/>
    </xf>
    <xf numFmtId="171" fontId="6" fillId="6" borderId="10" xfId="5" applyNumberFormat="1" applyFont="1" applyFill="1" applyBorder="1" applyAlignment="1" applyProtection="1">
      <alignment horizontal="left" vertical="center"/>
      <protection locked="0"/>
    </xf>
    <xf numFmtId="171" fontId="6" fillId="4" borderId="3" xfId="5" applyNumberFormat="1" applyFont="1" applyFill="1" applyBorder="1" applyAlignment="1" applyProtection="1">
      <alignment horizontal="left" vertical="center"/>
      <protection locked="0"/>
    </xf>
    <xf numFmtId="171" fontId="6" fillId="4" borderId="11" xfId="5" applyNumberFormat="1" applyFont="1" applyFill="1" applyBorder="1" applyAlignment="1" applyProtection="1">
      <alignment horizontal="left"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6" fillId="5" borderId="10" xfId="0" applyFont="1" applyFill="1" applyBorder="1" applyAlignment="1" applyProtection="1">
      <alignment horizontal="left" vertical="center"/>
      <protection locked="0"/>
    </xf>
    <xf numFmtId="171" fontId="6" fillId="5" borderId="10" xfId="5" applyNumberFormat="1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171" fontId="6" fillId="0" borderId="10" xfId="5" applyNumberFormat="1" applyFont="1" applyBorder="1" applyAlignment="1" applyProtection="1">
      <alignment horizontal="left" vertical="center"/>
      <protection locked="0"/>
    </xf>
    <xf numFmtId="171" fontId="6" fillId="0" borderId="10" xfId="5" applyNumberFormat="1" applyFont="1" applyFill="1" applyBorder="1" applyAlignment="1" applyProtection="1">
      <alignment horizontal="left" vertical="center"/>
      <protection locked="0"/>
    </xf>
    <xf numFmtId="171" fontId="6" fillId="0" borderId="3" xfId="5" applyNumberFormat="1" applyFont="1" applyBorder="1" applyAlignment="1" applyProtection="1">
      <alignment horizontal="left" vertical="center"/>
      <protection locked="0"/>
    </xf>
    <xf numFmtId="171" fontId="6" fillId="0" borderId="11" xfId="5" applyNumberFormat="1" applyFont="1" applyFill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6" fillId="8" borderId="10" xfId="0" applyFont="1" applyFill="1" applyBorder="1" applyAlignment="1" applyProtection="1">
      <alignment horizontal="left" vertical="center"/>
      <protection locked="0"/>
    </xf>
    <xf numFmtId="171" fontId="6" fillId="8" borderId="10" xfId="5" applyNumberFormat="1" applyFont="1" applyFill="1" applyBorder="1" applyAlignment="1" applyProtection="1">
      <alignment horizontal="left" vertical="center"/>
      <protection locked="0"/>
    </xf>
    <xf numFmtId="171" fontId="6" fillId="8" borderId="3" xfId="5" applyNumberFormat="1" applyFont="1" applyFill="1" applyBorder="1" applyAlignment="1" applyProtection="1">
      <alignment horizontal="left" vertical="center"/>
      <protection locked="0"/>
    </xf>
    <xf numFmtId="171" fontId="6" fillId="8" borderId="11" xfId="5" applyNumberFormat="1" applyFont="1" applyFill="1" applyBorder="1" applyAlignment="1" applyProtection="1">
      <alignment horizontal="left" vertical="center"/>
      <protection locked="0"/>
    </xf>
    <xf numFmtId="0" fontId="6" fillId="8" borderId="2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64" fontId="6" fillId="2" borderId="10" xfId="1" applyFont="1" applyFill="1" applyBorder="1" applyAlignment="1" applyProtection="1">
      <alignment horizontal="right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6" fillId="0" borderId="0" xfId="1" applyFont="1" applyAlignment="1" applyProtection="1">
      <alignment horizontal="left" vertical="center"/>
      <protection locked="0"/>
    </xf>
    <xf numFmtId="164" fontId="6" fillId="0" borderId="0" xfId="1" applyFont="1" applyBorder="1" applyAlignment="1" applyProtection="1">
      <alignment horizontal="left" vertical="center"/>
      <protection locked="0"/>
    </xf>
    <xf numFmtId="171" fontId="6" fillId="0" borderId="0" xfId="5" applyNumberFormat="1" applyFont="1" applyAlignment="1" applyProtection="1">
      <alignment horizontal="left" vertical="center"/>
      <protection locked="0"/>
    </xf>
    <xf numFmtId="171" fontId="7" fillId="2" borderId="1" xfId="5" applyNumberFormat="1" applyFont="1" applyFill="1" applyBorder="1" applyAlignment="1" applyProtection="1">
      <alignment horizontal="right" vertical="center"/>
      <protection locked="0"/>
    </xf>
    <xf numFmtId="171" fontId="7" fillId="2" borderId="2" xfId="5" applyNumberFormat="1" applyFont="1" applyFill="1" applyBorder="1" applyAlignment="1" applyProtection="1">
      <alignment horizontal="right" vertical="center"/>
      <protection locked="0"/>
    </xf>
    <xf numFmtId="171" fontId="6" fillId="0" borderId="0" xfId="0" applyNumberFormat="1" applyFont="1" applyAlignment="1" applyProtection="1">
      <alignment horizontal="left" vertical="center"/>
      <protection locked="0"/>
    </xf>
    <xf numFmtId="172" fontId="6" fillId="0" borderId="0" xfId="1" applyNumberFormat="1" applyFont="1" applyAlignment="1" applyProtection="1">
      <alignment horizontal="left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164" fontId="6" fillId="3" borderId="0" xfId="1" applyFont="1" applyFill="1" applyAlignment="1" applyProtection="1">
      <alignment horizontal="left" vertical="center"/>
      <protection locked="0"/>
    </xf>
    <xf numFmtId="164" fontId="8" fillId="3" borderId="0" xfId="1" applyFont="1" applyFill="1" applyBorder="1" applyAlignment="1" applyProtection="1">
      <alignment horizontal="center" vertical="center"/>
      <protection locked="0"/>
    </xf>
    <xf numFmtId="164" fontId="7" fillId="43" borderId="1" xfId="1" applyFont="1" applyFill="1" applyBorder="1" applyAlignment="1" applyProtection="1">
      <alignment vertical="center" wrapText="1"/>
      <protection locked="0"/>
    </xf>
    <xf numFmtId="164" fontId="12" fillId="43" borderId="3" xfId="1" applyFont="1" applyFill="1" applyBorder="1" applyAlignment="1" applyProtection="1">
      <alignment vertical="center" wrapText="1"/>
      <protection locked="0"/>
    </xf>
    <xf numFmtId="164" fontId="7" fillId="43" borderId="5" xfId="1" applyFont="1" applyFill="1" applyBorder="1" applyAlignment="1" applyProtection="1">
      <alignment vertical="center" wrapText="1"/>
      <protection locked="0"/>
    </xf>
    <xf numFmtId="171" fontId="6" fillId="41" borderId="11" xfId="5" applyNumberFormat="1" applyFont="1" applyFill="1" applyBorder="1" applyAlignment="1" applyProtection="1">
      <alignment horizontal="center" vertical="center" wrapText="1"/>
      <protection locked="0"/>
    </xf>
    <xf numFmtId="164" fontId="9" fillId="6" borderId="1" xfId="1" applyFont="1" applyFill="1" applyBorder="1" applyAlignment="1" applyProtection="1">
      <alignment vertical="center"/>
      <protection locked="0"/>
    </xf>
    <xf numFmtId="164" fontId="9" fillId="6" borderId="2" xfId="1" applyFont="1" applyFill="1" applyBorder="1" applyAlignment="1" applyProtection="1">
      <alignment vertical="center" wrapText="1"/>
      <protection locked="0"/>
    </xf>
    <xf numFmtId="171" fontId="10" fillId="6" borderId="11" xfId="5" applyNumberFormat="1" applyFont="1" applyFill="1" applyBorder="1" applyAlignment="1" applyProtection="1">
      <alignment horizontal="left" vertical="center"/>
      <protection locked="0"/>
    </xf>
    <xf numFmtId="164" fontId="9" fillId="6" borderId="2" xfId="1" applyFont="1" applyFill="1" applyBorder="1" applyAlignment="1" applyProtection="1">
      <alignment vertical="center"/>
      <protection locked="0"/>
    </xf>
    <xf numFmtId="164" fontId="9" fillId="8" borderId="1" xfId="1" applyFont="1" applyFill="1" applyBorder="1" applyAlignment="1" applyProtection="1">
      <alignment vertical="center"/>
      <protection locked="0"/>
    </xf>
    <xf numFmtId="164" fontId="9" fillId="8" borderId="2" xfId="1" applyFont="1" applyFill="1" applyBorder="1" applyAlignment="1" applyProtection="1">
      <alignment vertical="center"/>
      <protection locked="0"/>
    </xf>
    <xf numFmtId="171" fontId="10" fillId="8" borderId="11" xfId="5" applyNumberFormat="1" applyFont="1" applyFill="1" applyBorder="1" applyAlignment="1" applyProtection="1">
      <alignment horizontal="left" vertical="center"/>
      <protection locked="0"/>
    </xf>
    <xf numFmtId="164" fontId="10" fillId="42" borderId="1" xfId="1" applyFont="1" applyFill="1" applyBorder="1" applyAlignment="1" applyProtection="1">
      <alignment vertical="center"/>
      <protection locked="0"/>
    </xf>
    <xf numFmtId="164" fontId="10" fillId="42" borderId="2" xfId="1" applyFont="1" applyFill="1" applyBorder="1" applyAlignment="1" applyProtection="1">
      <alignment vertical="center"/>
      <protection locked="0"/>
    </xf>
    <xf numFmtId="164" fontId="6" fillId="6" borderId="1" xfId="1" applyFont="1" applyFill="1" applyBorder="1" applyAlignment="1" applyProtection="1">
      <alignment horizontal="left" vertical="center" wrapText="1"/>
      <protection locked="0"/>
    </xf>
    <xf numFmtId="164" fontId="6" fillId="6" borderId="2" xfId="1" applyFont="1" applyFill="1" applyBorder="1" applyAlignment="1" applyProtection="1">
      <alignment horizontal="left" vertical="center" wrapText="1"/>
      <protection locked="0"/>
    </xf>
    <xf numFmtId="171" fontId="7" fillId="6" borderId="11" xfId="5" applyNumberFormat="1" applyFont="1" applyFill="1" applyBorder="1" applyAlignment="1" applyProtection="1">
      <alignment horizontal="left" vertical="center"/>
      <protection locked="0"/>
    </xf>
    <xf numFmtId="164" fontId="6" fillId="8" borderId="1" xfId="1" applyFont="1" applyFill="1" applyBorder="1" applyAlignment="1" applyProtection="1">
      <alignment horizontal="left" vertical="center"/>
      <protection locked="0"/>
    </xf>
    <xf numFmtId="164" fontId="6" fillId="8" borderId="2" xfId="1" applyFont="1" applyFill="1" applyBorder="1" applyAlignment="1" applyProtection="1">
      <alignment horizontal="left" vertical="center" wrapText="1"/>
      <protection locked="0"/>
    </xf>
    <xf numFmtId="171" fontId="7" fillId="8" borderId="11" xfId="5" applyNumberFormat="1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164" fontId="6" fillId="0" borderId="0" xfId="1" applyFont="1" applyFill="1" applyBorder="1" applyAlignment="1" applyProtection="1">
      <alignment horizontal="right" vertical="center"/>
      <protection locked="0"/>
    </xf>
    <xf numFmtId="164" fontId="27" fillId="9" borderId="1" xfId="1" applyFont="1" applyFill="1" applyBorder="1" applyAlignment="1" applyProtection="1">
      <alignment horizontal="left" vertical="center"/>
      <protection locked="0"/>
    </xf>
    <xf numFmtId="164" fontId="12" fillId="9" borderId="2" xfId="1" applyFont="1" applyFill="1" applyBorder="1" applyAlignment="1" applyProtection="1">
      <alignment horizontal="right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164" fontId="6" fillId="0" borderId="7" xfId="1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164" fontId="6" fillId="6" borderId="10" xfId="1" applyFont="1" applyFill="1" applyBorder="1" applyAlignment="1" applyProtection="1">
      <alignment horizontal="center" vertical="center" wrapText="1"/>
      <protection locked="0"/>
    </xf>
    <xf numFmtId="164" fontId="6" fillId="6" borderId="11" xfId="1" applyFont="1" applyFill="1" applyBorder="1" applyAlignment="1" applyProtection="1">
      <alignment horizontal="center" vertical="center" wrapText="1"/>
      <protection locked="0"/>
    </xf>
    <xf numFmtId="1" fontId="6" fillId="8" borderId="10" xfId="1" applyNumberFormat="1" applyFont="1" applyFill="1" applyBorder="1" applyAlignment="1" applyProtection="1">
      <alignment horizontal="center" vertical="center"/>
      <protection locked="0"/>
    </xf>
    <xf numFmtId="164" fontId="6" fillId="8" borderId="2" xfId="1" applyFont="1" applyFill="1" applyBorder="1" applyAlignment="1" applyProtection="1">
      <alignment horizontal="right" vertical="center"/>
      <protection locked="0"/>
    </xf>
    <xf numFmtId="164" fontId="6" fillId="0" borderId="0" xfId="1" applyFont="1" applyFill="1" applyBorder="1" applyAlignment="1" applyProtection="1">
      <alignment horizontal="left" vertical="center"/>
      <protection locked="0"/>
    </xf>
    <xf numFmtId="164" fontId="6" fillId="6" borderId="1" xfId="1" applyFont="1" applyFill="1" applyBorder="1" applyAlignment="1" applyProtection="1">
      <alignment horizontal="left" vertical="center"/>
      <protection locked="0"/>
    </xf>
    <xf numFmtId="164" fontId="7" fillId="6" borderId="2" xfId="1" applyFont="1" applyFill="1" applyBorder="1" applyAlignment="1" applyProtection="1">
      <alignment horizontal="right" vertical="center"/>
      <protection locked="0"/>
    </xf>
    <xf numFmtId="0" fontId="10" fillId="9" borderId="0" xfId="0" applyFont="1" applyFill="1" applyAlignment="1" applyProtection="1">
      <alignment horizontal="center" vertical="center"/>
      <protection locked="0"/>
    </xf>
    <xf numFmtId="0" fontId="11" fillId="9" borderId="0" xfId="0" applyFont="1" applyFill="1" applyAlignment="1" applyProtection="1">
      <alignment horizontal="center" vertical="center"/>
      <protection locked="0"/>
    </xf>
    <xf numFmtId="164" fontId="6" fillId="9" borderId="0" xfId="1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2" fillId="10" borderId="0" xfId="0" applyFont="1" applyFill="1" applyAlignment="1" applyProtection="1">
      <alignment horizontal="center" vertical="center"/>
      <protection locked="0"/>
    </xf>
    <xf numFmtId="0" fontId="12" fillId="10" borderId="0" xfId="0" applyFont="1" applyFill="1" applyAlignment="1" applyProtection="1">
      <alignment horizontal="right" vertical="center"/>
      <protection locked="0"/>
    </xf>
    <xf numFmtId="164" fontId="7" fillId="8" borderId="2" xfId="1" applyFont="1" applyFill="1" applyBorder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vertical="center"/>
      <protection locked="0"/>
    </xf>
    <xf numFmtId="0" fontId="10" fillId="11" borderId="0" xfId="0" applyFont="1" applyFill="1" applyAlignment="1" applyProtection="1">
      <alignment horizontal="center" vertical="center"/>
      <protection locked="0"/>
    </xf>
    <xf numFmtId="0" fontId="10" fillId="11" borderId="0" xfId="0" applyFont="1" applyFill="1" applyAlignment="1" applyProtection="1">
      <alignment horizontal="right" vertical="center"/>
      <protection locked="0"/>
    </xf>
    <xf numFmtId="164" fontId="6" fillId="6" borderId="2" xfId="1" applyFont="1" applyFill="1" applyBorder="1" applyAlignment="1" applyProtection="1">
      <alignment horizontal="center" vertical="center"/>
      <protection locked="0"/>
    </xf>
    <xf numFmtId="0" fontId="12" fillId="40" borderId="0" xfId="0" applyFont="1" applyFill="1" applyAlignment="1" applyProtection="1">
      <alignment horizontal="center" vertical="center"/>
      <protection locked="0"/>
    </xf>
    <xf numFmtId="0" fontId="12" fillId="40" borderId="0" xfId="0" applyFont="1" applyFill="1" applyAlignment="1" applyProtection="1">
      <alignment horizontal="right" vertical="center"/>
      <protection locked="0"/>
    </xf>
    <xf numFmtId="172" fontId="27" fillId="6" borderId="2" xfId="1" applyNumberFormat="1" applyFont="1" applyFill="1" applyBorder="1" applyAlignment="1" applyProtection="1">
      <alignment vertical="center"/>
      <protection locked="0"/>
    </xf>
    <xf numFmtId="172" fontId="12" fillId="0" borderId="2" xfId="1" applyNumberFormat="1" applyFont="1" applyFill="1" applyBorder="1" applyAlignment="1" applyProtection="1">
      <alignment horizontal="center" vertical="center"/>
      <protection locked="0"/>
    </xf>
    <xf numFmtId="164" fontId="6" fillId="6" borderId="2" xfId="1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vertical="center" wrapText="1"/>
      <protection locked="0"/>
    </xf>
    <xf numFmtId="164" fontId="0" fillId="0" borderId="0" xfId="1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4" fontId="0" fillId="0" borderId="0" xfId="1" applyFont="1" applyAlignment="1" applyProtection="1">
      <alignment horizontal="left" vertical="center"/>
      <protection locked="0"/>
    </xf>
    <xf numFmtId="171" fontId="6" fillId="2" borderId="10" xfId="5" applyNumberFormat="1" applyFont="1" applyFill="1" applyBorder="1" applyAlignment="1" applyProtection="1">
      <alignment horizontal="left" vertical="center"/>
    </xf>
    <xf numFmtId="171" fontId="7" fillId="2" borderId="10" xfId="5" applyNumberFormat="1" applyFont="1" applyFill="1" applyBorder="1" applyAlignment="1" applyProtection="1">
      <alignment horizontal="left" vertical="center"/>
    </xf>
    <xf numFmtId="171" fontId="10" fillId="6" borderId="11" xfId="5" applyNumberFormat="1" applyFont="1" applyFill="1" applyBorder="1" applyAlignment="1" applyProtection="1">
      <alignment horizontal="left" vertical="center"/>
    </xf>
    <xf numFmtId="171" fontId="10" fillId="42" borderId="11" xfId="5" applyNumberFormat="1" applyFont="1" applyFill="1" applyBorder="1" applyAlignment="1" applyProtection="1">
      <alignment horizontal="left" vertical="center"/>
    </xf>
    <xf numFmtId="171" fontId="12" fillId="9" borderId="10" xfId="5" applyNumberFormat="1" applyFont="1" applyFill="1" applyBorder="1" applyAlignment="1" applyProtection="1">
      <alignment horizontal="left" vertical="center"/>
    </xf>
    <xf numFmtId="171" fontId="6" fillId="7" borderId="10" xfId="5" applyNumberFormat="1" applyFont="1" applyFill="1" applyBorder="1" applyAlignment="1" applyProtection="1">
      <alignment horizontal="left" vertical="center"/>
    </xf>
    <xf numFmtId="171" fontId="7" fillId="7" borderId="11" xfId="5" applyNumberFormat="1" applyFont="1" applyFill="1" applyBorder="1" applyAlignment="1" applyProtection="1">
      <alignment horizontal="left" vertical="center"/>
    </xf>
    <xf numFmtId="171" fontId="7" fillId="6" borderId="10" xfId="5" applyNumberFormat="1" applyFont="1" applyFill="1" applyBorder="1" applyAlignment="1" applyProtection="1">
      <alignment horizontal="left" vertical="center"/>
    </xf>
    <xf numFmtId="171" fontId="7" fillId="7" borderId="10" xfId="5" applyNumberFormat="1" applyFont="1" applyFill="1" applyBorder="1" applyAlignment="1" applyProtection="1">
      <alignment horizontal="left" vertical="center"/>
    </xf>
    <xf numFmtId="171" fontId="7" fillId="8" borderId="1" xfId="5" applyNumberFormat="1" applyFont="1" applyFill="1" applyBorder="1" applyAlignment="1" applyProtection="1">
      <alignment horizontal="center" vertical="center"/>
    </xf>
    <xf numFmtId="171" fontId="6" fillId="0" borderId="0" xfId="5" applyNumberFormat="1" applyFont="1" applyAlignment="1" applyProtection="1">
      <alignment horizontal="left" vertical="center"/>
    </xf>
    <xf numFmtId="171" fontId="6" fillId="6" borderId="1" xfId="5" applyNumberFormat="1" applyFont="1" applyFill="1" applyBorder="1" applyAlignment="1" applyProtection="1">
      <alignment horizontal="center" vertical="center"/>
    </xf>
    <xf numFmtId="171" fontId="6" fillId="0" borderId="0" xfId="5" applyNumberFormat="1" applyFont="1" applyFill="1" applyBorder="1" applyAlignment="1" applyProtection="1">
      <alignment horizontal="left" vertical="center"/>
    </xf>
    <xf numFmtId="171" fontId="7" fillId="6" borderId="1" xfId="5" applyNumberFormat="1" applyFont="1" applyFill="1" applyBorder="1" applyAlignment="1" applyProtection="1">
      <alignment horizontal="center" vertical="center"/>
    </xf>
    <xf numFmtId="171" fontId="6" fillId="11" borderId="1" xfId="5" applyNumberFormat="1" applyFont="1" applyFill="1" applyBorder="1" applyAlignment="1" applyProtection="1">
      <alignment vertical="center"/>
    </xf>
    <xf numFmtId="169" fontId="0" fillId="39" borderId="38" xfId="2" applyNumberFormat="1" applyFont="1" applyFill="1" applyBorder="1"/>
    <xf numFmtId="0" fontId="1" fillId="0" borderId="0" xfId="3"/>
    <xf numFmtId="0" fontId="15" fillId="8" borderId="0" xfId="2" applyFont="1" applyFill="1"/>
    <xf numFmtId="0" fontId="1" fillId="8" borderId="0" xfId="3" applyFill="1"/>
    <xf numFmtId="164" fontId="0" fillId="8" borderId="0" xfId="4" applyFont="1" applyFill="1" applyProtection="1"/>
    <xf numFmtId="164" fontId="0" fillId="8" borderId="0" xfId="4" applyFont="1" applyFill="1" applyAlignment="1" applyProtection="1">
      <alignment horizontal="center"/>
    </xf>
    <xf numFmtId="0" fontId="17" fillId="19" borderId="38" xfId="2" applyFont="1" applyFill="1" applyBorder="1" applyAlignment="1">
      <alignment horizontal="center" vertical="center"/>
    </xf>
    <xf numFmtId="0" fontId="17" fillId="19" borderId="25" xfId="2" applyFont="1" applyFill="1" applyBorder="1" applyAlignment="1">
      <alignment horizontal="center" vertical="center"/>
    </xf>
    <xf numFmtId="167" fontId="17" fillId="19" borderId="38" xfId="2" applyNumberFormat="1" applyFont="1" applyFill="1" applyBorder="1" applyAlignment="1">
      <alignment horizontal="center" vertical="center"/>
    </xf>
    <xf numFmtId="168" fontId="17" fillId="19" borderId="25" xfId="2" applyNumberFormat="1" applyFont="1" applyFill="1" applyBorder="1" applyAlignment="1">
      <alignment horizontal="center" vertical="center"/>
    </xf>
    <xf numFmtId="168" fontId="17" fillId="19" borderId="38" xfId="2" applyNumberFormat="1" applyFont="1" applyFill="1" applyBorder="1" applyAlignment="1">
      <alignment horizontal="center" vertical="center"/>
    </xf>
    <xf numFmtId="164" fontId="0" fillId="8" borderId="0" xfId="4" applyFont="1" applyFill="1" applyAlignment="1" applyProtection="1"/>
    <xf numFmtId="0" fontId="18" fillId="0" borderId="28" xfId="2" applyFont="1" applyBorder="1"/>
    <xf numFmtId="0" fontId="13" fillId="0" borderId="8" xfId="2" applyBorder="1" applyAlignment="1">
      <alignment horizontal="right"/>
    </xf>
    <xf numFmtId="169" fontId="0" fillId="0" borderId="8" xfId="2" applyNumberFormat="1" applyFont="1" applyBorder="1" applyAlignment="1">
      <alignment horizontal="right"/>
    </xf>
    <xf numFmtId="169" fontId="0" fillId="0" borderId="18" xfId="2" applyNumberFormat="1" applyFont="1" applyBorder="1" applyAlignment="1">
      <alignment horizontal="right"/>
    </xf>
    <xf numFmtId="0" fontId="13" fillId="0" borderId="9" xfId="2" applyBorder="1" applyAlignment="1">
      <alignment horizontal="right"/>
    </xf>
    <xf numFmtId="169" fontId="0" fillId="8" borderId="0" xfId="4" applyNumberFormat="1" applyFont="1" applyFill="1" applyProtection="1"/>
    <xf numFmtId="169" fontId="1" fillId="0" borderId="0" xfId="3" applyNumberFormat="1"/>
    <xf numFmtId="169" fontId="1" fillId="8" borderId="0" xfId="3" applyNumberFormat="1" applyFill="1"/>
    <xf numFmtId="0" fontId="18" fillId="0" borderId="34" xfId="2" applyFont="1" applyBorder="1"/>
    <xf numFmtId="0" fontId="15" fillId="0" borderId="2" xfId="2" applyFont="1" applyBorder="1" applyAlignment="1">
      <alignment horizontal="right"/>
    </xf>
    <xf numFmtId="0" fontId="13" fillId="0" borderId="10" xfId="2" applyBorder="1" applyAlignment="1">
      <alignment horizontal="right"/>
    </xf>
    <xf numFmtId="169" fontId="0" fillId="0" borderId="10" xfId="2" applyNumberFormat="1" applyFont="1" applyBorder="1" applyAlignment="1">
      <alignment horizontal="right"/>
    </xf>
    <xf numFmtId="169" fontId="0" fillId="0" borderId="1" xfId="2" applyNumberFormat="1" applyFont="1" applyBorder="1" applyAlignment="1">
      <alignment horizontal="right"/>
    </xf>
    <xf numFmtId="0" fontId="13" fillId="0" borderId="2" xfId="2" applyBorder="1" applyAlignment="1">
      <alignment horizontal="right"/>
    </xf>
    <xf numFmtId="0" fontId="1" fillId="0" borderId="2" xfId="3" applyBorder="1"/>
    <xf numFmtId="169" fontId="1" fillId="0" borderId="18" xfId="2" applyNumberFormat="1" applyFont="1" applyBorder="1" applyAlignment="1">
      <alignment horizontal="right"/>
    </xf>
    <xf numFmtId="0" fontId="1" fillId="0" borderId="10" xfId="3" applyBorder="1"/>
    <xf numFmtId="169" fontId="1" fillId="0" borderId="10" xfId="3" applyNumberFormat="1" applyBorder="1"/>
    <xf numFmtId="169" fontId="1" fillId="0" borderId="10" xfId="2" applyNumberFormat="1" applyFont="1" applyBorder="1" applyAlignment="1">
      <alignment horizontal="right"/>
    </xf>
    <xf numFmtId="0" fontId="18" fillId="0" borderId="34" xfId="2" applyFont="1" applyBorder="1" applyAlignment="1">
      <alignment horizontal="right"/>
    </xf>
    <xf numFmtId="0" fontId="15" fillId="0" borderId="10" xfId="2" applyFont="1" applyBorder="1" applyAlignment="1">
      <alignment horizontal="right"/>
    </xf>
    <xf numFmtId="169" fontId="15" fillId="0" borderId="10" xfId="2" applyNumberFormat="1" applyFont="1" applyBorder="1" applyAlignment="1">
      <alignment horizontal="right"/>
    </xf>
    <xf numFmtId="0" fontId="0" fillId="0" borderId="2" xfId="2" applyFont="1" applyBorder="1" applyAlignment="1">
      <alignment horizontal="right"/>
    </xf>
    <xf numFmtId="0" fontId="0" fillId="0" borderId="10" xfId="2" applyFont="1" applyBorder="1" applyAlignment="1">
      <alignment horizontal="right"/>
    </xf>
    <xf numFmtId="164" fontId="0" fillId="8" borderId="0" xfId="4" applyFont="1" applyFill="1" applyBorder="1" applyProtection="1"/>
    <xf numFmtId="164" fontId="1" fillId="8" borderId="0" xfId="3" applyNumberFormat="1" applyFill="1"/>
    <xf numFmtId="0" fontId="18" fillId="0" borderId="17" xfId="2" applyFont="1" applyBorder="1"/>
    <xf numFmtId="0" fontId="0" fillId="0" borderId="50" xfId="2" applyFont="1" applyBorder="1" applyAlignment="1">
      <alignment horizontal="right"/>
    </xf>
    <xf numFmtId="0" fontId="1" fillId="0" borderId="50" xfId="3" applyBorder="1"/>
    <xf numFmtId="169" fontId="0" fillId="8" borderId="0" xfId="4" applyNumberFormat="1" applyFont="1" applyFill="1" applyBorder="1" applyProtection="1"/>
    <xf numFmtId="0" fontId="15" fillId="0" borderId="2" xfId="2" applyFont="1" applyBorder="1" applyAlignment="1">
      <alignment horizontal="right" vertical="center"/>
    </xf>
    <xf numFmtId="0" fontId="13" fillId="0" borderId="10" xfId="2" applyBorder="1" applyAlignment="1">
      <alignment horizontal="right" vertical="center"/>
    </xf>
    <xf numFmtId="169" fontId="1" fillId="0" borderId="1" xfId="2" applyNumberFormat="1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0" fillId="8" borderId="0" xfId="2" applyFont="1" applyFill="1"/>
    <xf numFmtId="0" fontId="18" fillId="0" borderId="39" xfId="2" applyFont="1" applyBorder="1"/>
    <xf numFmtId="0" fontId="0" fillId="0" borderId="0" xfId="2" applyFont="1"/>
    <xf numFmtId="0" fontId="2" fillId="0" borderId="30" xfId="2" applyFont="1" applyBorder="1" applyAlignment="1">
      <alignment horizontal="center"/>
    </xf>
    <xf numFmtId="0" fontId="0" fillId="0" borderId="0" xfId="2" applyFont="1" applyAlignment="1">
      <alignment horizontal="center"/>
    </xf>
    <xf numFmtId="169" fontId="0" fillId="0" borderId="0" xfId="4" applyNumberFormat="1" applyFont="1" applyFill="1" applyAlignment="1" applyProtection="1"/>
    <xf numFmtId="164" fontId="0" fillId="0" borderId="0" xfId="4" applyFont="1" applyFill="1" applyAlignment="1" applyProtection="1"/>
    <xf numFmtId="169" fontId="0" fillId="0" borderId="0" xfId="2" applyNumberFormat="1" applyFont="1" applyAlignment="1">
      <alignment horizontal="center"/>
    </xf>
    <xf numFmtId="169" fontId="0" fillId="0" borderId="0" xfId="2" applyNumberFormat="1" applyFont="1"/>
    <xf numFmtId="169" fontId="19" fillId="0" borderId="0" xfId="2" applyNumberFormat="1" applyFont="1" applyAlignment="1">
      <alignment horizontal="right"/>
    </xf>
    <xf numFmtId="169" fontId="19" fillId="26" borderId="17" xfId="2" applyNumberFormat="1" applyFont="1" applyFill="1" applyBorder="1" applyAlignment="1">
      <alignment horizontal="center"/>
    </xf>
    <xf numFmtId="0" fontId="2" fillId="0" borderId="37" xfId="2" applyFont="1" applyBorder="1" applyAlignment="1">
      <alignment horizontal="center"/>
    </xf>
    <xf numFmtId="169" fontId="0" fillId="0" borderId="0" xfId="4" applyNumberFormat="1" applyFont="1" applyAlignment="1" applyProtection="1"/>
    <xf numFmtId="169" fontId="0" fillId="0" borderId="0" xfId="4" applyNumberFormat="1" applyFont="1" applyProtection="1"/>
    <xf numFmtId="169" fontId="0" fillId="0" borderId="0" xfId="4" applyNumberFormat="1" applyFont="1" applyFill="1" applyProtection="1"/>
    <xf numFmtId="164" fontId="0" fillId="0" borderId="0" xfId="4" applyFont="1" applyFill="1" applyBorder="1" applyProtection="1"/>
    <xf numFmtId="164" fontId="0" fillId="0" borderId="0" xfId="4" applyFont="1" applyBorder="1" applyAlignment="1" applyProtection="1"/>
    <xf numFmtId="167" fontId="0" fillId="0" borderId="0" xfId="2" applyNumberFormat="1" applyFont="1"/>
    <xf numFmtId="169" fontId="1" fillId="0" borderId="21" xfId="2" applyNumberFormat="1" applyFont="1" applyBorder="1"/>
    <xf numFmtId="169" fontId="1" fillId="0" borderId="38" xfId="2" applyNumberFormat="1" applyFont="1" applyBorder="1" applyAlignment="1">
      <alignment horizontal="center"/>
    </xf>
    <xf numFmtId="169" fontId="20" fillId="0" borderId="0" xfId="2" applyNumberFormat="1" applyFont="1"/>
    <xf numFmtId="169" fontId="20" fillId="0" borderId="0" xfId="2" applyNumberFormat="1" applyFont="1" applyAlignment="1">
      <alignment horizontal="right"/>
    </xf>
    <xf numFmtId="169" fontId="21" fillId="0" borderId="0" xfId="2" applyNumberFormat="1" applyFont="1" applyAlignment="1">
      <alignment horizontal="right"/>
    </xf>
    <xf numFmtId="169" fontId="20" fillId="32" borderId="62" xfId="2" applyNumberFormat="1" applyFont="1" applyFill="1" applyBorder="1" applyAlignment="1">
      <alignment horizontal="center"/>
    </xf>
    <xf numFmtId="0" fontId="20" fillId="32" borderId="42" xfId="2" applyFont="1" applyFill="1" applyBorder="1" applyAlignment="1">
      <alignment horizontal="center"/>
    </xf>
    <xf numFmtId="0" fontId="20" fillId="0" borderId="0" xfId="2" applyFont="1" applyAlignment="1">
      <alignment horizontal="center"/>
    </xf>
    <xf numFmtId="164" fontId="0" fillId="0" borderId="0" xfId="4" applyFont="1" applyBorder="1" applyProtection="1"/>
    <xf numFmtId="164" fontId="23" fillId="0" borderId="0" xfId="4" applyFont="1" applyFill="1" applyBorder="1" applyAlignment="1" applyProtection="1"/>
    <xf numFmtId="0" fontId="24" fillId="0" borderId="0" xfId="2" applyFont="1"/>
    <xf numFmtId="167" fontId="0" fillId="0" borderId="0" xfId="2" applyNumberFormat="1" applyFont="1" applyAlignment="1">
      <alignment horizontal="center"/>
    </xf>
    <xf numFmtId="168" fontId="0" fillId="0" borderId="0" xfId="2" applyNumberFormat="1" applyFont="1" applyAlignment="1">
      <alignment horizontal="center"/>
    </xf>
    <xf numFmtId="168" fontId="0" fillId="0" borderId="25" xfId="2" applyNumberFormat="1" applyFont="1" applyBorder="1"/>
    <xf numFmtId="168" fontId="0" fillId="0" borderId="26" xfId="2" applyNumberFormat="1" applyFont="1" applyBorder="1"/>
    <xf numFmtId="167" fontId="21" fillId="0" borderId="0" xfId="2" applyNumberFormat="1" applyFont="1"/>
    <xf numFmtId="168" fontId="21" fillId="0" borderId="0" xfId="2" applyNumberFormat="1" applyFont="1"/>
    <xf numFmtId="169" fontId="21" fillId="0" borderId="0" xfId="2" applyNumberFormat="1" applyFont="1"/>
    <xf numFmtId="168" fontId="0" fillId="0" borderId="0" xfId="2" applyNumberFormat="1" applyFont="1"/>
    <xf numFmtId="0" fontId="16" fillId="12" borderId="21" xfId="2" applyFont="1" applyFill="1" applyBorder="1" applyAlignment="1">
      <alignment vertical="center"/>
    </xf>
    <xf numFmtId="0" fontId="16" fillId="12" borderId="22" xfId="2" applyFont="1" applyFill="1" applyBorder="1" applyAlignment="1">
      <alignment vertical="center"/>
    </xf>
    <xf numFmtId="169" fontId="16" fillId="12" borderId="63" xfId="2" applyNumberFormat="1" applyFont="1" applyFill="1" applyBorder="1" applyAlignment="1">
      <alignment horizontal="center" vertical="center"/>
    </xf>
    <xf numFmtId="0" fontId="15" fillId="0" borderId="9" xfId="2" applyFont="1" applyBorder="1" applyAlignment="1">
      <alignment horizontal="right"/>
    </xf>
    <xf numFmtId="169" fontId="1" fillId="0" borderId="10" xfId="3" applyNumberFormat="1" applyBorder="1" applyAlignment="1">
      <alignment horizontal="right"/>
    </xf>
    <xf numFmtId="0" fontId="15" fillId="0" borderId="50" xfId="2" applyFont="1" applyBorder="1" applyAlignment="1">
      <alignment horizontal="right"/>
    </xf>
    <xf numFmtId="0" fontId="1" fillId="38" borderId="0" xfId="3" applyFill="1" applyProtection="1">
      <protection locked="0"/>
    </xf>
    <xf numFmtId="0" fontId="25" fillId="38" borderId="0" xfId="3" applyFont="1" applyFill="1" applyAlignment="1" applyProtection="1">
      <alignment horizontal="center"/>
      <protection locked="0"/>
    </xf>
    <xf numFmtId="164" fontId="0" fillId="38" borderId="0" xfId="4" applyFont="1" applyFill="1" applyProtection="1">
      <protection locked="0"/>
    </xf>
    <xf numFmtId="164" fontId="0" fillId="0" borderId="0" xfId="4" applyFont="1" applyFill="1" applyProtection="1">
      <protection locked="0"/>
    </xf>
    <xf numFmtId="0" fontId="1" fillId="0" borderId="0" xfId="3" applyProtection="1">
      <protection locked="0"/>
    </xf>
    <xf numFmtId="171" fontId="7" fillId="37" borderId="1" xfId="5" applyNumberFormat="1" applyFont="1" applyFill="1" applyBorder="1" applyAlignment="1" applyProtection="1">
      <alignment horizontal="center" vertical="center"/>
      <protection locked="0"/>
    </xf>
    <xf numFmtId="0" fontId="29" fillId="4" borderId="1" xfId="0" applyFont="1" applyFill="1" applyBorder="1" applyAlignment="1" applyProtection="1">
      <alignment horizontal="center" vertical="center"/>
      <protection locked="0"/>
    </xf>
    <xf numFmtId="164" fontId="6" fillId="2" borderId="3" xfId="1" applyFont="1" applyFill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/>
      <protection locked="0"/>
    </xf>
    <xf numFmtId="0" fontId="30" fillId="4" borderId="1" xfId="0" applyFont="1" applyFill="1" applyBorder="1" applyAlignment="1" applyProtection="1">
      <alignment horizontal="center" vertical="center"/>
      <protection locked="0"/>
    </xf>
    <xf numFmtId="164" fontId="16" fillId="13" borderId="28" xfId="4" applyFont="1" applyFill="1" applyBorder="1" applyAlignment="1" applyProtection="1">
      <alignment horizontal="center" vertical="center" wrapText="1"/>
    </xf>
    <xf numFmtId="164" fontId="16" fillId="13" borderId="34" xfId="4" applyFont="1" applyFill="1" applyBorder="1" applyAlignment="1" applyProtection="1">
      <alignment horizontal="center" vertical="center" wrapText="1"/>
    </xf>
    <xf numFmtId="164" fontId="16" fillId="13" borderId="39" xfId="4" applyFont="1" applyFill="1" applyBorder="1" applyAlignment="1" applyProtection="1">
      <alignment horizontal="center" vertical="center" wrapText="1"/>
    </xf>
    <xf numFmtId="164" fontId="18" fillId="15" borderId="28" xfId="4" applyFont="1" applyFill="1" applyBorder="1" applyAlignment="1" applyProtection="1">
      <alignment horizontal="center" vertical="center" wrapText="1"/>
    </xf>
    <xf numFmtId="164" fontId="18" fillId="15" borderId="34" xfId="4" applyFont="1" applyFill="1" applyBorder="1" applyAlignment="1" applyProtection="1">
      <alignment horizontal="center" vertical="center" wrapText="1"/>
    </xf>
    <xf numFmtId="0" fontId="17" fillId="18" borderId="32" xfId="2" applyFont="1" applyFill="1" applyBorder="1" applyAlignment="1">
      <alignment horizontal="center" vertical="center"/>
    </xf>
    <xf numFmtId="0" fontId="15" fillId="0" borderId="0" xfId="2" applyFont="1"/>
    <xf numFmtId="168" fontId="17" fillId="19" borderId="28" xfId="2" applyNumberFormat="1" applyFont="1" applyFill="1" applyBorder="1" applyAlignment="1">
      <alignment horizontal="center" vertical="center"/>
    </xf>
    <xf numFmtId="0" fontId="15" fillId="0" borderId="39" xfId="2" applyFont="1" applyBorder="1"/>
    <xf numFmtId="0" fontId="17" fillId="18" borderId="31" xfId="2" applyFont="1" applyFill="1" applyBorder="1" applyAlignment="1">
      <alignment horizontal="center" vertical="center"/>
    </xf>
    <xf numFmtId="0" fontId="15" fillId="0" borderId="32" xfId="2" applyFont="1" applyBorder="1"/>
    <xf numFmtId="0" fontId="15" fillId="0" borderId="23" xfId="2" applyFont="1" applyBorder="1"/>
    <xf numFmtId="167" fontId="17" fillId="19" borderId="28" xfId="2" applyNumberFormat="1" applyFont="1" applyFill="1" applyBorder="1" applyAlignment="1">
      <alignment horizontal="center" vertical="center"/>
    </xf>
    <xf numFmtId="167" fontId="15" fillId="0" borderId="39" xfId="2" applyNumberFormat="1" applyFont="1" applyBorder="1"/>
    <xf numFmtId="0" fontId="17" fillId="20" borderId="23" xfId="2" applyFont="1" applyFill="1" applyBorder="1" applyAlignment="1">
      <alignment horizontal="center" vertical="center"/>
    </xf>
    <xf numFmtId="164" fontId="18" fillId="17" borderId="21" xfId="4" applyFont="1" applyFill="1" applyBorder="1" applyAlignment="1" applyProtection="1">
      <alignment horizontal="left"/>
    </xf>
    <xf numFmtId="164" fontId="15" fillId="0" borderId="22" xfId="4" applyFont="1" applyBorder="1" applyAlignment="1" applyProtection="1">
      <alignment horizontal="left"/>
    </xf>
    <xf numFmtId="168" fontId="17" fillId="18" borderId="33" xfId="2" applyNumberFormat="1" applyFont="1" applyFill="1" applyBorder="1" applyAlignment="1">
      <alignment horizontal="center" vertical="center"/>
    </xf>
    <xf numFmtId="0" fontId="15" fillId="0" borderId="33" xfId="2" applyFont="1" applyBorder="1"/>
    <xf numFmtId="0" fontId="18" fillId="23" borderId="25" xfId="2" applyFont="1" applyFill="1" applyBorder="1" applyAlignment="1">
      <alignment horizontal="center"/>
    </xf>
    <xf numFmtId="0" fontId="18" fillId="23" borderId="27" xfId="2" applyFont="1" applyFill="1" applyBorder="1" applyAlignment="1">
      <alignment horizontal="center"/>
    </xf>
    <xf numFmtId="0" fontId="18" fillId="25" borderId="25" xfId="2" applyFont="1" applyFill="1" applyBorder="1" applyAlignment="1">
      <alignment horizontal="center"/>
    </xf>
    <xf numFmtId="0" fontId="18" fillId="25" borderId="27" xfId="2" applyFont="1" applyFill="1" applyBorder="1" applyAlignment="1">
      <alignment horizontal="center"/>
    </xf>
    <xf numFmtId="164" fontId="22" fillId="36" borderId="25" xfId="4" applyFont="1" applyFill="1" applyBorder="1" applyAlignment="1" applyProtection="1">
      <alignment horizontal="center"/>
    </xf>
    <xf numFmtId="164" fontId="22" fillId="36" borderId="64" xfId="4" applyFont="1" applyFill="1" applyBorder="1" applyAlignment="1" applyProtection="1">
      <alignment horizontal="center"/>
    </xf>
    <xf numFmtId="164" fontId="16" fillId="0" borderId="25" xfId="4" applyFont="1" applyBorder="1" applyAlignment="1" applyProtection="1">
      <alignment horizontal="center"/>
    </xf>
    <xf numFmtId="164" fontId="18" fillId="0" borderId="26" xfId="4" applyFont="1" applyBorder="1" applyAlignment="1" applyProtection="1"/>
    <xf numFmtId="164" fontId="18" fillId="0" borderId="27" xfId="4" applyFont="1" applyBorder="1" applyAlignment="1" applyProtection="1"/>
    <xf numFmtId="164" fontId="20" fillId="32" borderId="32" xfId="4" applyFont="1" applyFill="1" applyBorder="1" applyAlignment="1" applyProtection="1">
      <alignment horizontal="center"/>
    </xf>
    <xf numFmtId="164" fontId="15" fillId="0" borderId="0" xfId="4" applyFont="1" applyBorder="1" applyAlignment="1" applyProtection="1"/>
    <xf numFmtId="164" fontId="18" fillId="16" borderId="28" xfId="4" applyFont="1" applyFill="1" applyBorder="1" applyAlignment="1" applyProtection="1">
      <alignment horizontal="center" vertical="center" wrapText="1"/>
    </xf>
    <xf numFmtId="164" fontId="18" fillId="16" borderId="34" xfId="4" applyFont="1" applyFill="1" applyBorder="1" applyAlignment="1" applyProtection="1">
      <alignment horizontal="center" vertical="center" wrapText="1"/>
    </xf>
    <xf numFmtId="164" fontId="18" fillId="16" borderId="39" xfId="4" applyFont="1" applyFill="1" applyBorder="1" applyAlignment="1" applyProtection="1">
      <alignment horizontal="center" vertical="center" wrapText="1"/>
    </xf>
    <xf numFmtId="0" fontId="17" fillId="20" borderId="0" xfId="2" applyFont="1" applyFill="1" applyAlignment="1">
      <alignment horizontal="center" vertical="center"/>
    </xf>
    <xf numFmtId="169" fontId="17" fillId="18" borderId="28" xfId="2" applyNumberFormat="1" applyFont="1" applyFill="1" applyBorder="1" applyAlignment="1">
      <alignment horizontal="center" vertical="center"/>
    </xf>
    <xf numFmtId="169" fontId="15" fillId="0" borderId="39" xfId="2" applyNumberFormat="1" applyFont="1" applyBorder="1" applyAlignment="1">
      <alignment horizontal="center"/>
    </xf>
    <xf numFmtId="0" fontId="14" fillId="12" borderId="21" xfId="2" applyFont="1" applyFill="1" applyBorder="1" applyAlignment="1">
      <alignment horizontal="center" vertical="center"/>
    </xf>
    <xf numFmtId="0" fontId="15" fillId="0" borderId="22" xfId="2" applyFont="1" applyBorder="1"/>
    <xf numFmtId="0" fontId="15" fillId="0" borderId="24" xfId="2" applyFont="1" applyBorder="1"/>
    <xf numFmtId="0" fontId="14" fillId="12" borderId="25" xfId="2" applyFont="1" applyFill="1" applyBorder="1" applyAlignment="1">
      <alignment horizontal="center"/>
    </xf>
    <xf numFmtId="0" fontId="14" fillId="12" borderId="26" xfId="2" applyFont="1" applyFill="1" applyBorder="1" applyAlignment="1">
      <alignment horizontal="center"/>
    </xf>
    <xf numFmtId="0" fontId="14" fillId="12" borderId="27" xfId="2" applyFont="1" applyFill="1" applyBorder="1" applyAlignment="1">
      <alignment horizontal="center"/>
    </xf>
    <xf numFmtId="164" fontId="17" fillId="14" borderId="21" xfId="4" applyFont="1" applyFill="1" applyBorder="1" applyAlignment="1" applyProtection="1">
      <alignment horizontal="center" vertical="center" wrapText="1"/>
    </xf>
    <xf numFmtId="164" fontId="17" fillId="14" borderId="22" xfId="4" applyFont="1" applyFill="1" applyBorder="1" applyAlignment="1" applyProtection="1">
      <alignment horizontal="center" vertical="center" wrapText="1"/>
    </xf>
    <xf numFmtId="164" fontId="17" fillId="14" borderId="29" xfId="4" applyFont="1" applyFill="1" applyBorder="1" applyAlignment="1" applyProtection="1">
      <alignment horizontal="center" vertical="center" wrapText="1"/>
    </xf>
    <xf numFmtId="0" fontId="26" fillId="2" borderId="1" xfId="0" applyFont="1" applyFill="1" applyBorder="1" applyAlignment="1" applyProtection="1">
      <alignment horizontal="center" vertical="center"/>
      <protection locked="0"/>
    </xf>
    <xf numFmtId="0" fontId="26" fillId="2" borderId="2" xfId="0" applyFont="1" applyFill="1" applyBorder="1" applyAlignment="1" applyProtection="1">
      <alignment horizontal="center" vertical="center"/>
      <protection locked="0"/>
    </xf>
    <xf numFmtId="14" fontId="26" fillId="0" borderId="1" xfId="1" applyNumberFormat="1" applyFont="1" applyBorder="1" applyAlignment="1" applyProtection="1">
      <alignment horizontal="center" vertical="center"/>
      <protection locked="0"/>
    </xf>
    <xf numFmtId="14" fontId="26" fillId="0" borderId="3" xfId="1" applyNumberFormat="1" applyFont="1" applyBorder="1" applyAlignment="1" applyProtection="1">
      <alignment horizontal="center" vertical="center"/>
      <protection locked="0"/>
    </xf>
    <xf numFmtId="14" fontId="26" fillId="0" borderId="2" xfId="1" applyNumberFormat="1" applyFont="1" applyBorder="1" applyAlignment="1" applyProtection="1">
      <alignment horizontal="center" vertical="center"/>
      <protection locked="0"/>
    </xf>
    <xf numFmtId="0" fontId="26" fillId="2" borderId="3" xfId="0" applyFont="1" applyFill="1" applyBorder="1" applyAlignment="1" applyProtection="1">
      <alignment horizontal="center" vertical="center"/>
      <protection locked="0"/>
    </xf>
    <xf numFmtId="164" fontId="26" fillId="0" borderId="3" xfId="1" applyFont="1" applyBorder="1" applyAlignment="1" applyProtection="1">
      <alignment horizontal="center" vertical="center"/>
      <protection locked="0"/>
    </xf>
    <xf numFmtId="164" fontId="26" fillId="0" borderId="2" xfId="1" applyFont="1" applyBorder="1" applyAlignment="1" applyProtection="1">
      <alignment horizontal="center" vertical="center"/>
      <protection locked="0"/>
    </xf>
    <xf numFmtId="164" fontId="26" fillId="0" borderId="1" xfId="1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164" fontId="6" fillId="2" borderId="1" xfId="1" applyFont="1" applyFill="1" applyBorder="1" applyAlignment="1" applyProtection="1">
      <alignment horizontal="center" vertical="center" wrapText="1"/>
      <protection locked="0"/>
    </xf>
    <xf numFmtId="164" fontId="6" fillId="2" borderId="3" xfId="1" applyFont="1" applyFill="1" applyBorder="1" applyAlignment="1" applyProtection="1">
      <alignment horizontal="center" vertical="center" wrapText="1"/>
      <protection locked="0"/>
    </xf>
    <xf numFmtId="164" fontId="6" fillId="2" borderId="5" xfId="1" applyFont="1" applyFill="1" applyBorder="1" applyAlignment="1" applyProtection="1">
      <alignment horizontal="center" vertical="center" wrapText="1"/>
      <protection locked="0"/>
    </xf>
    <xf numFmtId="164" fontId="6" fillId="2" borderId="2" xfId="1" applyFont="1" applyFill="1" applyBorder="1" applyAlignment="1" applyProtection="1">
      <alignment horizontal="center" vertical="center" wrapText="1"/>
      <protection locked="0"/>
    </xf>
    <xf numFmtId="164" fontId="5" fillId="6" borderId="13" xfId="1" applyFont="1" applyFill="1" applyBorder="1" applyAlignment="1" applyProtection="1">
      <alignment horizontal="center" vertical="center" textRotation="90" wrapText="1"/>
      <protection locked="0"/>
    </xf>
    <xf numFmtId="164" fontId="5" fillId="6" borderId="12" xfId="1" applyFont="1" applyFill="1" applyBorder="1" applyAlignment="1" applyProtection="1">
      <alignment horizontal="center" vertical="center" textRotation="90" wrapText="1"/>
      <protection locked="0"/>
    </xf>
    <xf numFmtId="164" fontId="5" fillId="6" borderId="7" xfId="1" applyFont="1" applyFill="1" applyBorder="1" applyAlignment="1" applyProtection="1">
      <alignment horizontal="center" vertical="center" textRotation="90" wrapText="1"/>
      <protection locked="0"/>
    </xf>
    <xf numFmtId="164" fontId="5" fillId="6" borderId="15" xfId="1" applyFont="1" applyFill="1" applyBorder="1" applyAlignment="1" applyProtection="1">
      <alignment horizontal="center" vertical="center" textRotation="90" wrapText="1"/>
      <protection locked="0"/>
    </xf>
    <xf numFmtId="164" fontId="5" fillId="6" borderId="0" xfId="1" applyFont="1" applyFill="1" applyBorder="1" applyAlignment="1" applyProtection="1">
      <alignment horizontal="center" vertical="center" textRotation="90" wrapText="1"/>
      <protection locked="0"/>
    </xf>
    <xf numFmtId="164" fontId="5" fillId="6" borderId="16" xfId="1" applyFont="1" applyFill="1" applyBorder="1" applyAlignment="1" applyProtection="1">
      <alignment horizontal="center" vertical="center" textRotation="90" wrapText="1"/>
      <protection locked="0"/>
    </xf>
    <xf numFmtId="164" fontId="5" fillId="6" borderId="18" xfId="1" applyFont="1" applyFill="1" applyBorder="1" applyAlignment="1" applyProtection="1">
      <alignment horizontal="center" vertical="center" textRotation="90" wrapText="1"/>
      <protection locked="0"/>
    </xf>
    <xf numFmtId="164" fontId="5" fillId="6" borderId="4" xfId="1" applyFont="1" applyFill="1" applyBorder="1" applyAlignment="1" applyProtection="1">
      <alignment horizontal="center" vertical="center" textRotation="90" wrapText="1"/>
      <protection locked="0"/>
    </xf>
    <xf numFmtId="164" fontId="5" fillId="6" borderId="9" xfId="1" applyFont="1" applyFill="1" applyBorder="1" applyAlignment="1" applyProtection="1">
      <alignment horizontal="center" vertical="center" textRotation="90" wrapText="1"/>
      <protection locked="0"/>
    </xf>
    <xf numFmtId="164" fontId="12" fillId="40" borderId="1" xfId="1" applyFont="1" applyFill="1" applyBorder="1" applyAlignment="1" applyProtection="1">
      <alignment horizontal="center" vertical="center"/>
      <protection locked="0"/>
    </xf>
    <xf numFmtId="164" fontId="12" fillId="40" borderId="3" xfId="1" applyFont="1" applyFill="1" applyBorder="1" applyAlignment="1" applyProtection="1">
      <alignment horizontal="center" vertical="center"/>
      <protection locked="0"/>
    </xf>
    <xf numFmtId="164" fontId="12" fillId="40" borderId="5" xfId="1" applyFont="1" applyFill="1" applyBorder="1" applyAlignment="1" applyProtection="1">
      <alignment horizontal="center" vertical="center"/>
      <protection locked="0"/>
    </xf>
    <xf numFmtId="164" fontId="6" fillId="41" borderId="1" xfId="1" applyFont="1" applyFill="1" applyBorder="1" applyAlignment="1" applyProtection="1">
      <alignment horizontal="left" vertical="center" wrapText="1"/>
      <protection locked="0"/>
    </xf>
    <xf numFmtId="164" fontId="6" fillId="41" borderId="2" xfId="1" applyFont="1" applyFill="1" applyBorder="1" applyAlignment="1" applyProtection="1">
      <alignment horizontal="left" vertical="center" wrapText="1"/>
      <protection locked="0"/>
    </xf>
    <xf numFmtId="164" fontId="12" fillId="40" borderId="1" xfId="1" applyFont="1" applyFill="1" applyBorder="1" applyAlignment="1" applyProtection="1">
      <alignment horizontal="center" vertical="center" wrapText="1"/>
      <protection locked="0"/>
    </xf>
    <xf numFmtId="164" fontId="12" fillId="40" borderId="3" xfId="1" applyFont="1" applyFill="1" applyBorder="1" applyAlignment="1" applyProtection="1">
      <alignment horizontal="center" vertical="center" wrapText="1"/>
      <protection locked="0"/>
    </xf>
    <xf numFmtId="164" fontId="12" fillId="40" borderId="5" xfId="1" applyFont="1" applyFill="1" applyBorder="1" applyAlignment="1" applyProtection="1">
      <alignment horizontal="center" vertical="center" wrapText="1"/>
      <protection locked="0"/>
    </xf>
    <xf numFmtId="164" fontId="6" fillId="0" borderId="0" xfId="1" applyFont="1" applyFill="1" applyBorder="1" applyAlignment="1" applyProtection="1">
      <alignment horizontal="center" vertical="center"/>
      <protection locked="0"/>
    </xf>
    <xf numFmtId="164" fontId="28" fillId="6" borderId="13" xfId="1" applyFont="1" applyFill="1" applyBorder="1" applyAlignment="1" applyProtection="1">
      <alignment horizontal="center" vertical="center" textRotation="90" wrapText="1"/>
      <protection locked="0"/>
    </xf>
    <xf numFmtId="164" fontId="28" fillId="6" borderId="12" xfId="1" applyFont="1" applyFill="1" applyBorder="1" applyAlignment="1" applyProtection="1">
      <alignment horizontal="center" vertical="center" textRotation="90" wrapText="1"/>
      <protection locked="0"/>
    </xf>
    <xf numFmtId="164" fontId="28" fillId="6" borderId="7" xfId="1" applyFont="1" applyFill="1" applyBorder="1" applyAlignment="1" applyProtection="1">
      <alignment horizontal="center" vertical="center" textRotation="90" wrapText="1"/>
      <protection locked="0"/>
    </xf>
    <xf numFmtId="164" fontId="28" fillId="6" borderId="15" xfId="1" applyFont="1" applyFill="1" applyBorder="1" applyAlignment="1" applyProtection="1">
      <alignment horizontal="center" vertical="center" textRotation="90" wrapText="1"/>
      <protection locked="0"/>
    </xf>
    <xf numFmtId="164" fontId="28" fillId="6" borderId="0" xfId="1" applyFont="1" applyFill="1" applyBorder="1" applyAlignment="1" applyProtection="1">
      <alignment horizontal="center" vertical="center" textRotation="90" wrapText="1"/>
      <protection locked="0"/>
    </xf>
    <xf numFmtId="164" fontId="28" fillId="6" borderId="16" xfId="1" applyFont="1" applyFill="1" applyBorder="1" applyAlignment="1" applyProtection="1">
      <alignment horizontal="center" vertical="center" textRotation="90" wrapText="1"/>
      <protection locked="0"/>
    </xf>
    <xf numFmtId="164" fontId="28" fillId="6" borderId="18" xfId="1" applyFont="1" applyFill="1" applyBorder="1" applyAlignment="1" applyProtection="1">
      <alignment horizontal="center" vertical="center" textRotation="90" wrapText="1"/>
      <protection locked="0"/>
    </xf>
    <xf numFmtId="164" fontId="28" fillId="6" borderId="4" xfId="1" applyFont="1" applyFill="1" applyBorder="1" applyAlignment="1" applyProtection="1">
      <alignment horizontal="center" vertical="center" textRotation="90" wrapText="1"/>
      <protection locked="0"/>
    </xf>
    <xf numFmtId="164" fontId="28" fillId="6" borderId="9" xfId="1" applyFont="1" applyFill="1" applyBorder="1" applyAlignment="1" applyProtection="1">
      <alignment horizontal="center" vertical="center" textRotation="90" wrapText="1"/>
      <protection locked="0"/>
    </xf>
    <xf numFmtId="164" fontId="28" fillId="6" borderId="14" xfId="1" applyFont="1" applyFill="1" applyBorder="1" applyAlignment="1" applyProtection="1">
      <alignment horizontal="center" vertical="center" textRotation="90" wrapText="1"/>
      <protection locked="0"/>
    </xf>
    <xf numFmtId="164" fontId="28" fillId="6" borderId="17" xfId="1" applyFont="1" applyFill="1" applyBorder="1" applyAlignment="1" applyProtection="1">
      <alignment horizontal="center" vertical="center" textRotation="90" wrapText="1"/>
      <protection locked="0"/>
    </xf>
    <xf numFmtId="164" fontId="28" fillId="6" borderId="19" xfId="1" applyFont="1" applyFill="1" applyBorder="1" applyAlignment="1" applyProtection="1">
      <alignment horizontal="center" vertical="center" textRotation="90" wrapText="1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165" fontId="6" fillId="0" borderId="10" xfId="0" applyNumberFormat="1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5" xfId="0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/>
      <protection locked="0"/>
    </xf>
  </cellXfs>
  <cellStyles count="6">
    <cellStyle name="Moneda" xfId="5" builtinId="4"/>
    <cellStyle name="Moneda [0]" xfId="1" builtinId="7"/>
    <cellStyle name="Moneda [0] 2" xfId="4" xr:uid="{69D86926-47D0-42D2-8551-242AF678D44D}"/>
    <cellStyle name="Normal" xfId="0" builtinId="0"/>
    <cellStyle name="Normal 2" xfId="3" xr:uid="{70556C62-9D1B-458B-99EF-C9ED47BEFD09}"/>
    <cellStyle name="Normal 3" xfId="2" xr:uid="{3EF3EC8F-CF80-494D-A007-313AC2BEABC0}"/>
  </cellStyles>
  <dxfs count="9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5996"/>
      <color rgb="FF0082DA"/>
      <color rgb="FF0099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4E46-249E-4AB4-9CFB-32151FAE19D5}">
  <sheetPr codeName="Hoja2">
    <tabColor rgb="FF005996"/>
  </sheetPr>
  <dimension ref="A1:AG51"/>
  <sheetViews>
    <sheetView zoomScale="75" zoomScaleNormal="75" workbookViewId="0">
      <pane ySplit="5" topLeftCell="A6" activePane="bottomLeft" state="frozen"/>
      <selection pane="bottomLeft" activeCell="F12" sqref="F12"/>
    </sheetView>
  </sheetViews>
  <sheetFormatPr baseColWidth="10" defaultColWidth="11.42578125" defaultRowHeight="15" x14ac:dyDescent="0.25"/>
  <cols>
    <col min="1" max="1" width="11.42578125" style="205"/>
    <col min="2" max="2" width="13" style="205" customWidth="1"/>
    <col min="3" max="3" width="11.42578125" style="205"/>
    <col min="4" max="4" width="12.28515625" style="205" bestFit="1" customWidth="1"/>
    <col min="5" max="5" width="12" style="205" bestFit="1" customWidth="1"/>
    <col min="6" max="6" width="13.42578125" style="205" customWidth="1"/>
    <col min="7" max="8" width="12" style="205" bestFit="1" customWidth="1"/>
    <col min="9" max="9" width="4.5703125" style="205" customWidth="1"/>
    <col min="10" max="13" width="11.42578125" style="205"/>
    <col min="14" max="14" width="13.42578125" style="205" customWidth="1"/>
    <col min="15" max="16" width="11.42578125" style="205"/>
    <col min="17" max="17" width="12.28515625" style="205" bestFit="1" customWidth="1"/>
    <col min="18" max="18" width="6.28515625" style="205" bestFit="1" customWidth="1"/>
    <col min="19" max="19" width="2.7109375" style="205" customWidth="1"/>
    <col min="20" max="20" width="12.28515625" style="25" bestFit="1" customWidth="1"/>
    <col min="21" max="21" width="2.85546875" style="25" customWidth="1"/>
    <col min="22" max="23" width="13.5703125" style="25" bestFit="1" customWidth="1"/>
    <col min="24" max="24" width="12" style="25" bestFit="1" customWidth="1"/>
    <col min="25" max="25" width="2.85546875" style="26" customWidth="1"/>
    <col min="26" max="26" width="17.7109375" style="25" customWidth="1"/>
    <col min="27" max="27" width="5.7109375" style="205" customWidth="1"/>
    <col min="28" max="28" width="12" style="25" bestFit="1" customWidth="1"/>
    <col min="29" max="29" width="11.42578125" style="25" customWidth="1"/>
    <col min="30" max="30" width="12" style="25" bestFit="1" customWidth="1"/>
    <col min="31" max="31" width="5.7109375" style="25" customWidth="1"/>
    <col min="32" max="33" width="11.42578125" style="25"/>
    <col min="34" max="16384" width="11.42578125" style="205"/>
  </cols>
  <sheetData>
    <row r="1" spans="1:33" s="297" customFormat="1" ht="26.25" x14ac:dyDescent="0.4">
      <c r="A1" s="293"/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4" t="s">
        <v>0</v>
      </c>
      <c r="R1" s="293"/>
      <c r="S1" s="293"/>
      <c r="T1" s="295"/>
      <c r="U1" s="295"/>
      <c r="V1" s="295"/>
      <c r="W1" s="295"/>
      <c r="X1" s="295"/>
      <c r="Y1" s="295"/>
      <c r="Z1" s="295"/>
      <c r="AA1" s="293"/>
      <c r="AB1" s="295"/>
      <c r="AC1" s="295"/>
      <c r="AD1" s="295"/>
      <c r="AE1" s="295"/>
      <c r="AF1" s="296"/>
      <c r="AG1" s="296"/>
    </row>
    <row r="2" spans="1:33" ht="3.75" customHeight="1" thickBot="1" x14ac:dyDescent="0.3"/>
    <row r="3" spans="1:33" ht="21.75" thickBot="1" x14ac:dyDescent="0.4">
      <c r="A3" s="339" t="s">
        <v>1</v>
      </c>
      <c r="B3" s="340"/>
      <c r="C3" s="340"/>
      <c r="D3" s="314"/>
      <c r="E3" s="340"/>
      <c r="F3" s="340"/>
      <c r="G3" s="314"/>
      <c r="H3" s="341"/>
      <c r="I3" s="206"/>
      <c r="J3" s="342" t="s">
        <v>2</v>
      </c>
      <c r="K3" s="343"/>
      <c r="L3" s="343"/>
      <c r="M3" s="343"/>
      <c r="N3" s="343"/>
      <c r="O3" s="343"/>
      <c r="P3" s="343"/>
      <c r="Q3" s="344"/>
      <c r="R3" s="207"/>
      <c r="S3" s="207"/>
      <c r="T3" s="303" t="s">
        <v>3</v>
      </c>
      <c r="U3" s="208"/>
      <c r="V3" s="345" t="s">
        <v>4</v>
      </c>
      <c r="W3" s="346"/>
      <c r="X3" s="347"/>
      <c r="Y3" s="12"/>
      <c r="Z3" s="303" t="s">
        <v>5</v>
      </c>
      <c r="AA3" s="207"/>
      <c r="AB3" s="306" t="s">
        <v>6</v>
      </c>
      <c r="AC3" s="209"/>
      <c r="AD3" s="333" t="s">
        <v>7</v>
      </c>
      <c r="AE3" s="209"/>
      <c r="AF3" s="205"/>
      <c r="AG3" s="205"/>
    </row>
    <row r="4" spans="1:33" ht="19.5" thickBot="1" x14ac:dyDescent="0.3">
      <c r="A4" s="312" t="s">
        <v>8</v>
      </c>
      <c r="B4" s="312" t="s">
        <v>9</v>
      </c>
      <c r="C4" s="314"/>
      <c r="D4" s="315" t="s">
        <v>10</v>
      </c>
      <c r="E4" s="317" t="s">
        <v>11</v>
      </c>
      <c r="F4" s="314"/>
      <c r="G4" s="310" t="s">
        <v>12</v>
      </c>
      <c r="H4" s="337" t="s">
        <v>13</v>
      </c>
      <c r="I4" s="207"/>
      <c r="J4" s="308" t="s">
        <v>8</v>
      </c>
      <c r="K4" s="308" t="s">
        <v>9</v>
      </c>
      <c r="L4" s="309"/>
      <c r="M4" s="310" t="s">
        <v>10</v>
      </c>
      <c r="N4" s="336" t="s">
        <v>11</v>
      </c>
      <c r="O4" s="309"/>
      <c r="P4" s="310" t="s">
        <v>12</v>
      </c>
      <c r="Q4" s="320" t="s">
        <v>13</v>
      </c>
      <c r="R4" s="207"/>
      <c r="S4" s="207"/>
      <c r="T4" s="304"/>
      <c r="U4" s="208"/>
      <c r="V4" s="13" t="s">
        <v>14</v>
      </c>
      <c r="W4" s="14" t="s">
        <v>15</v>
      </c>
      <c r="X4" s="15" t="s">
        <v>16</v>
      </c>
      <c r="Y4" s="12"/>
      <c r="Z4" s="304"/>
      <c r="AA4" s="207"/>
      <c r="AB4" s="307"/>
      <c r="AC4" s="209"/>
      <c r="AD4" s="334"/>
      <c r="AE4" s="208"/>
      <c r="AF4" s="205"/>
      <c r="AG4" s="205"/>
    </row>
    <row r="5" spans="1:33" ht="19.5" thickBot="1" x14ac:dyDescent="0.3">
      <c r="A5" s="313"/>
      <c r="B5" s="210" t="s">
        <v>17</v>
      </c>
      <c r="C5" s="211" t="s">
        <v>18</v>
      </c>
      <c r="D5" s="316"/>
      <c r="E5" s="212" t="s">
        <v>14</v>
      </c>
      <c r="F5" s="213" t="s">
        <v>15</v>
      </c>
      <c r="G5" s="311"/>
      <c r="H5" s="338"/>
      <c r="I5" s="207"/>
      <c r="J5" s="313"/>
      <c r="K5" s="210" t="s">
        <v>17</v>
      </c>
      <c r="L5" s="211" t="s">
        <v>18</v>
      </c>
      <c r="M5" s="311"/>
      <c r="N5" s="214" t="s">
        <v>14</v>
      </c>
      <c r="O5" s="213" t="s">
        <v>15</v>
      </c>
      <c r="P5" s="311"/>
      <c r="Q5" s="321"/>
      <c r="R5" s="207"/>
      <c r="S5" s="207"/>
      <c r="T5" s="305"/>
      <c r="U5" s="208"/>
      <c r="V5" s="16"/>
      <c r="W5" s="17"/>
      <c r="X5" s="18"/>
      <c r="Y5" s="19"/>
      <c r="Z5" s="305"/>
      <c r="AA5" s="207"/>
      <c r="AB5" s="307"/>
      <c r="AC5" s="209"/>
      <c r="AD5" s="335"/>
      <c r="AE5" s="215"/>
      <c r="AF5" s="205"/>
      <c r="AG5" s="205"/>
    </row>
    <row r="6" spans="1:33" x14ac:dyDescent="0.25">
      <c r="A6" s="216">
        <v>1</v>
      </c>
      <c r="B6" s="290">
        <f>'01'!A8</f>
        <v>0</v>
      </c>
      <c r="C6" s="217"/>
      <c r="D6" s="218">
        <f>'01'!C25</f>
        <v>0</v>
      </c>
      <c r="E6" s="218">
        <f>'01'!D25</f>
        <v>0</v>
      </c>
      <c r="F6" s="218">
        <f>'01'!E25</f>
        <v>0</v>
      </c>
      <c r="G6" s="219">
        <f>'01'!F25</f>
        <v>0</v>
      </c>
      <c r="H6" s="37">
        <f t="shared" ref="H6:H36" si="0">D6+E6+F6+G6</f>
        <v>0</v>
      </c>
      <c r="I6" s="207"/>
      <c r="J6" s="216">
        <v>1</v>
      </c>
      <c r="K6" s="220">
        <f>'01'!G8</f>
        <v>0</v>
      </c>
      <c r="L6" s="217"/>
      <c r="M6" s="218">
        <f>'01'!I25</f>
        <v>0</v>
      </c>
      <c r="N6" s="218">
        <f>'01'!J25</f>
        <v>0</v>
      </c>
      <c r="O6" s="218">
        <f>'01'!K25</f>
        <v>0</v>
      </c>
      <c r="P6" s="219">
        <f>'01'!L25</f>
        <v>0</v>
      </c>
      <c r="Q6" s="37">
        <f t="shared" ref="Q6:Q36" si="1">M6+N6+O6+P6</f>
        <v>0</v>
      </c>
      <c r="R6" s="207"/>
      <c r="S6" s="207"/>
      <c r="T6" s="52">
        <f t="shared" ref="T6:T36" si="2">D6+M6</f>
        <v>0</v>
      </c>
      <c r="U6" s="221"/>
      <c r="V6" s="53">
        <f t="shared" ref="V6:W36" si="3">E6+N6</f>
        <v>0</v>
      </c>
      <c r="W6" s="54">
        <f t="shared" si="3"/>
        <v>0</v>
      </c>
      <c r="X6" s="55">
        <f t="shared" ref="X6:X36" si="4">V6+W6</f>
        <v>0</v>
      </c>
      <c r="Y6" s="56"/>
      <c r="Z6" s="52">
        <f t="shared" ref="Z6:Z36" si="5">G6+P6</f>
        <v>0</v>
      </c>
      <c r="AA6" s="222"/>
      <c r="AB6" s="57">
        <f t="shared" ref="AB6:AB36" si="6">D6+E6+F6+G6+M6+N6+O6+P6</f>
        <v>0</v>
      </c>
      <c r="AC6" s="223"/>
      <c r="AD6" s="58"/>
      <c r="AE6" s="208"/>
      <c r="AF6" s="205"/>
      <c r="AG6" s="205"/>
    </row>
    <row r="7" spans="1:33" x14ac:dyDescent="0.25">
      <c r="A7" s="224">
        <f>1+A6</f>
        <v>2</v>
      </c>
      <c r="B7" s="225">
        <f>'02'!A8</f>
        <v>0</v>
      </c>
      <c r="C7" s="226"/>
      <c r="D7" s="227">
        <f>'02'!C25</f>
        <v>40000</v>
      </c>
      <c r="E7" s="227">
        <f>'02'!D25</f>
        <v>27900</v>
      </c>
      <c r="F7" s="227">
        <f>'02'!E25</f>
        <v>0</v>
      </c>
      <c r="G7" s="228">
        <f>'02'!F25</f>
        <v>0</v>
      </c>
      <c r="H7" s="38">
        <f t="shared" si="0"/>
        <v>67900</v>
      </c>
      <c r="I7" s="207"/>
      <c r="J7" s="224">
        <v>2</v>
      </c>
      <c r="K7" s="229">
        <f>'02'!G8</f>
        <v>493</v>
      </c>
      <c r="L7" s="226"/>
      <c r="M7" s="227">
        <f>'02'!I25</f>
        <v>39980</v>
      </c>
      <c r="N7" s="227">
        <f>'02'!J25</f>
        <v>692460</v>
      </c>
      <c r="O7" s="227">
        <f>'02'!K25</f>
        <v>600000</v>
      </c>
      <c r="P7" s="228">
        <f>'02'!L25</f>
        <v>0</v>
      </c>
      <c r="Q7" s="38">
        <f t="shared" si="1"/>
        <v>1332440</v>
      </c>
      <c r="R7" s="207"/>
      <c r="S7" s="207"/>
      <c r="T7" s="52">
        <f t="shared" si="2"/>
        <v>79980</v>
      </c>
      <c r="U7" s="221"/>
      <c r="V7" s="59">
        <f t="shared" si="3"/>
        <v>720360</v>
      </c>
      <c r="W7" s="60">
        <f t="shared" si="3"/>
        <v>600000</v>
      </c>
      <c r="X7" s="61">
        <f t="shared" si="4"/>
        <v>1320360</v>
      </c>
      <c r="Y7" s="56"/>
      <c r="Z7" s="52">
        <f t="shared" si="5"/>
        <v>0</v>
      </c>
      <c r="AA7" s="223"/>
      <c r="AB7" s="62">
        <f t="shared" si="6"/>
        <v>1400340</v>
      </c>
      <c r="AC7" s="223"/>
      <c r="AD7" s="58"/>
      <c r="AE7" s="208"/>
      <c r="AF7" s="205"/>
      <c r="AG7" s="205"/>
    </row>
    <row r="8" spans="1:33" x14ac:dyDescent="0.25">
      <c r="A8" s="224">
        <f>1+A7</f>
        <v>3</v>
      </c>
      <c r="B8" s="230">
        <f>'03'!A8</f>
        <v>0</v>
      </c>
      <c r="C8" s="226"/>
      <c r="D8" s="291">
        <f>'03'!C25</f>
        <v>0</v>
      </c>
      <c r="E8" s="227">
        <f>'03'!D25</f>
        <v>0</v>
      </c>
      <c r="F8" s="218">
        <f>'03'!E25</f>
        <v>0</v>
      </c>
      <c r="G8" s="231">
        <f>'03'!F25</f>
        <v>0</v>
      </c>
      <c r="H8" s="38">
        <f t="shared" si="0"/>
        <v>0</v>
      </c>
      <c r="I8" s="207"/>
      <c r="J8" s="224">
        <v>3</v>
      </c>
      <c r="K8" s="230">
        <f>'03'!G8</f>
        <v>0</v>
      </c>
      <c r="L8" s="232"/>
      <c r="M8" s="233">
        <f>'03'!I25</f>
        <v>0</v>
      </c>
      <c r="N8" s="233">
        <f>'03'!J25</f>
        <v>0</v>
      </c>
      <c r="O8" s="218">
        <f>'03'!K25</f>
        <v>0</v>
      </c>
      <c r="P8" s="231">
        <f>'03'!L25</f>
        <v>0</v>
      </c>
      <c r="Q8" s="38">
        <f t="shared" si="1"/>
        <v>0</v>
      </c>
      <c r="R8" s="207"/>
      <c r="S8" s="207"/>
      <c r="T8" s="52">
        <f t="shared" si="2"/>
        <v>0</v>
      </c>
      <c r="U8" s="221"/>
      <c r="V8" s="59">
        <f t="shared" si="3"/>
        <v>0</v>
      </c>
      <c r="W8" s="60">
        <f t="shared" si="3"/>
        <v>0</v>
      </c>
      <c r="X8" s="61">
        <f t="shared" si="4"/>
        <v>0</v>
      </c>
      <c r="Y8" s="56"/>
      <c r="Z8" s="52">
        <f t="shared" si="5"/>
        <v>0</v>
      </c>
      <c r="AA8" s="223"/>
      <c r="AB8" s="62">
        <f t="shared" si="6"/>
        <v>0</v>
      </c>
      <c r="AC8" s="223"/>
      <c r="AD8" s="58"/>
      <c r="AE8" s="208"/>
      <c r="AF8" s="205"/>
      <c r="AG8" s="205"/>
    </row>
    <row r="9" spans="1:33" x14ac:dyDescent="0.25">
      <c r="A9" s="224">
        <f>1+A8</f>
        <v>4</v>
      </c>
      <c r="B9" s="232">
        <f>'04'!A8</f>
        <v>502</v>
      </c>
      <c r="C9" s="225"/>
      <c r="D9" s="234">
        <f>'04'!C25</f>
        <v>12500</v>
      </c>
      <c r="E9" s="234">
        <f>'04'!D25</f>
        <v>15000</v>
      </c>
      <c r="F9" s="234">
        <f>'04'!E25</f>
        <v>0</v>
      </c>
      <c r="G9" s="234">
        <f>'04'!F25</f>
        <v>0</v>
      </c>
      <c r="H9" s="38">
        <f t="shared" si="0"/>
        <v>27500</v>
      </c>
      <c r="I9" s="207"/>
      <c r="J9" s="235">
        <v>4</v>
      </c>
      <c r="K9" s="220">
        <f>'04'!G8</f>
        <v>500</v>
      </c>
      <c r="L9" s="217"/>
      <c r="M9" s="218">
        <f>'04'!I25</f>
        <v>17990</v>
      </c>
      <c r="N9" s="218">
        <f>'04'!J25</f>
        <v>24990</v>
      </c>
      <c r="O9" s="218">
        <f>'04'!K25</f>
        <v>553500</v>
      </c>
      <c r="P9" s="218">
        <f>'04'!L25</f>
        <v>0</v>
      </c>
      <c r="Q9" s="38">
        <f t="shared" si="1"/>
        <v>596480</v>
      </c>
      <c r="R9" s="207"/>
      <c r="S9" s="207"/>
      <c r="T9" s="52">
        <f t="shared" si="2"/>
        <v>30490</v>
      </c>
      <c r="U9" s="221"/>
      <c r="V9" s="59">
        <f t="shared" si="3"/>
        <v>39990</v>
      </c>
      <c r="W9" s="60">
        <f t="shared" si="3"/>
        <v>553500</v>
      </c>
      <c r="X9" s="61">
        <f t="shared" si="4"/>
        <v>593490</v>
      </c>
      <c r="Y9" s="56"/>
      <c r="Z9" s="52">
        <f t="shared" si="5"/>
        <v>0</v>
      </c>
      <c r="AA9" s="223"/>
      <c r="AB9" s="62">
        <f t="shared" si="6"/>
        <v>623980</v>
      </c>
      <c r="AC9" s="223"/>
      <c r="AD9" s="58"/>
      <c r="AE9" s="208"/>
      <c r="AF9" s="205"/>
      <c r="AG9" s="205"/>
    </row>
    <row r="10" spans="1:33" x14ac:dyDescent="0.25">
      <c r="A10" s="224">
        <f>1+A9</f>
        <v>5</v>
      </c>
      <c r="B10" s="292">
        <f>'05'!A8</f>
        <v>505</v>
      </c>
      <c r="C10" s="236"/>
      <c r="D10" s="237">
        <f>'05'!C25</f>
        <v>0</v>
      </c>
      <c r="E10" s="237">
        <f>'05'!D25</f>
        <v>57200</v>
      </c>
      <c r="F10" s="237">
        <f>'05'!E25</f>
        <v>18500</v>
      </c>
      <c r="G10" s="237">
        <f>'05'!F25</f>
        <v>0</v>
      </c>
      <c r="H10" s="38">
        <f t="shared" si="0"/>
        <v>75700</v>
      </c>
      <c r="I10" s="207"/>
      <c r="J10" s="224">
        <v>5</v>
      </c>
      <c r="K10" s="238">
        <f>'05'!G8</f>
        <v>504</v>
      </c>
      <c r="L10" s="239"/>
      <c r="M10" s="227">
        <f>'05'!I25</f>
        <v>105000</v>
      </c>
      <c r="N10" s="227">
        <f>'05'!J25</f>
        <v>133490</v>
      </c>
      <c r="O10" s="227">
        <f>'05'!K25</f>
        <v>49500</v>
      </c>
      <c r="P10" s="227">
        <f>'05'!L25</f>
        <v>0</v>
      </c>
      <c r="Q10" s="38">
        <f t="shared" si="1"/>
        <v>287990</v>
      </c>
      <c r="R10" s="207"/>
      <c r="S10" s="207"/>
      <c r="T10" s="52">
        <f t="shared" si="2"/>
        <v>105000</v>
      </c>
      <c r="U10" s="221"/>
      <c r="V10" s="59">
        <f t="shared" si="3"/>
        <v>190690</v>
      </c>
      <c r="W10" s="60">
        <f t="shared" si="3"/>
        <v>68000</v>
      </c>
      <c r="X10" s="61">
        <f t="shared" si="4"/>
        <v>258690</v>
      </c>
      <c r="Y10" s="56"/>
      <c r="Z10" s="52">
        <f t="shared" si="5"/>
        <v>0</v>
      </c>
      <c r="AA10" s="223"/>
      <c r="AB10" s="62">
        <f t="shared" si="6"/>
        <v>363690</v>
      </c>
      <c r="AC10" s="223"/>
      <c r="AD10" s="58"/>
      <c r="AE10" s="208"/>
      <c r="AF10" s="205"/>
      <c r="AG10" s="205"/>
    </row>
    <row r="11" spans="1:33" x14ac:dyDescent="0.25">
      <c r="A11" s="224">
        <v>6</v>
      </c>
      <c r="B11" s="225">
        <f>'06'!A8</f>
        <v>915188012</v>
      </c>
      <c r="C11" s="236"/>
      <c r="D11" s="237">
        <f>'06'!C25</f>
        <v>0</v>
      </c>
      <c r="E11" s="237">
        <f>'06'!D25</f>
        <v>44400</v>
      </c>
      <c r="F11" s="237">
        <f>'06'!E25</f>
        <v>0</v>
      </c>
      <c r="G11" s="237">
        <f>'06'!F25</f>
        <v>17250</v>
      </c>
      <c r="H11" s="38">
        <f t="shared" si="0"/>
        <v>61650</v>
      </c>
      <c r="I11" s="207"/>
      <c r="J11" s="224">
        <v>6</v>
      </c>
      <c r="K11" s="238">
        <f>'06'!G8</f>
        <v>0</v>
      </c>
      <c r="L11" s="239"/>
      <c r="M11" s="227">
        <f>'06'!I25</f>
        <v>14500</v>
      </c>
      <c r="N11" s="227">
        <f>'06'!J25</f>
        <v>24990</v>
      </c>
      <c r="O11" s="227">
        <f>'06'!K25</f>
        <v>0</v>
      </c>
      <c r="P11" s="227">
        <f>'06'!L25</f>
        <v>0</v>
      </c>
      <c r="Q11" s="38">
        <f t="shared" si="1"/>
        <v>39490</v>
      </c>
      <c r="R11" s="207"/>
      <c r="S11" s="207"/>
      <c r="T11" s="52">
        <f t="shared" si="2"/>
        <v>14500</v>
      </c>
      <c r="U11" s="221"/>
      <c r="V11" s="59">
        <f t="shared" si="3"/>
        <v>69390</v>
      </c>
      <c r="W11" s="60">
        <f t="shared" si="3"/>
        <v>0</v>
      </c>
      <c r="X11" s="61">
        <f t="shared" si="4"/>
        <v>69390</v>
      </c>
      <c r="Y11" s="56"/>
      <c r="Z11" s="52">
        <f t="shared" si="5"/>
        <v>17250</v>
      </c>
      <c r="AA11" s="223"/>
      <c r="AB11" s="62">
        <f t="shared" si="6"/>
        <v>101140</v>
      </c>
      <c r="AC11" s="223"/>
      <c r="AD11" s="58"/>
      <c r="AE11" s="240"/>
      <c r="AF11" s="205"/>
      <c r="AG11" s="205"/>
    </row>
    <row r="12" spans="1:33" x14ac:dyDescent="0.25">
      <c r="A12" s="224">
        <v>7</v>
      </c>
      <c r="B12" s="225">
        <f>'07'!A8</f>
        <v>0</v>
      </c>
      <c r="C12" s="236"/>
      <c r="D12" s="237">
        <f>'07'!C25</f>
        <v>49500</v>
      </c>
      <c r="E12" s="237">
        <f>'07'!D25</f>
        <v>9200</v>
      </c>
      <c r="F12" s="237">
        <f>'07'!E25</f>
        <v>0</v>
      </c>
      <c r="G12" s="237">
        <f>'07'!F25</f>
        <v>0</v>
      </c>
      <c r="H12" s="38">
        <f t="shared" si="0"/>
        <v>58700</v>
      </c>
      <c r="I12" s="207"/>
      <c r="J12" s="224">
        <v>7</v>
      </c>
      <c r="K12" s="238">
        <f>'07'!G8</f>
        <v>511</v>
      </c>
      <c r="L12" s="239"/>
      <c r="M12" s="227">
        <f>'07'!I25</f>
        <v>32980</v>
      </c>
      <c r="N12" s="227">
        <f>'07'!J25</f>
        <v>59990</v>
      </c>
      <c r="O12" s="227">
        <f>'07'!K25</f>
        <v>0</v>
      </c>
      <c r="P12" s="227">
        <f>'07'!L25</f>
        <v>59500</v>
      </c>
      <c r="Q12" s="38">
        <f t="shared" si="1"/>
        <v>152470</v>
      </c>
      <c r="R12" s="241"/>
      <c r="S12" s="241"/>
      <c r="T12" s="52">
        <f t="shared" si="2"/>
        <v>82480</v>
      </c>
      <c r="U12" s="221"/>
      <c r="V12" s="59">
        <f t="shared" si="3"/>
        <v>69190</v>
      </c>
      <c r="W12" s="60">
        <f t="shared" si="3"/>
        <v>0</v>
      </c>
      <c r="X12" s="61">
        <f t="shared" si="4"/>
        <v>69190</v>
      </c>
      <c r="Y12" s="56"/>
      <c r="Z12" s="52">
        <f t="shared" si="5"/>
        <v>59500</v>
      </c>
      <c r="AA12" s="223"/>
      <c r="AB12" s="62">
        <f t="shared" si="6"/>
        <v>211170</v>
      </c>
      <c r="AC12" s="223"/>
      <c r="AD12" s="58"/>
      <c r="AE12" s="208"/>
      <c r="AF12" s="205"/>
      <c r="AG12" s="205"/>
    </row>
    <row r="13" spans="1:33" x14ac:dyDescent="0.25">
      <c r="A13" s="224">
        <v>8</v>
      </c>
      <c r="B13" s="225">
        <f>'08'!A8</f>
        <v>289</v>
      </c>
      <c r="C13" s="236"/>
      <c r="D13" s="237">
        <f>'08'!C25</f>
        <v>0</v>
      </c>
      <c r="E13" s="237">
        <f>'08'!D25</f>
        <v>26000</v>
      </c>
      <c r="F13" s="237">
        <f>'08'!E25</f>
        <v>0</v>
      </c>
      <c r="G13" s="237">
        <f>'08'!F25</f>
        <v>0</v>
      </c>
      <c r="H13" s="38">
        <f t="shared" si="0"/>
        <v>26000</v>
      </c>
      <c r="I13" s="207"/>
      <c r="J13" s="242">
        <v>8</v>
      </c>
      <c r="K13" s="243">
        <f>'08'!G8</f>
        <v>514</v>
      </c>
      <c r="L13" s="239"/>
      <c r="M13" s="227">
        <f>'08'!I25</f>
        <v>0</v>
      </c>
      <c r="N13" s="227">
        <f>'08'!J25</f>
        <v>561460</v>
      </c>
      <c r="O13" s="227">
        <f>'08'!K25</f>
        <v>65960</v>
      </c>
      <c r="P13" s="227">
        <f>'08'!L25</f>
        <v>0</v>
      </c>
      <c r="Q13" s="38">
        <f t="shared" si="1"/>
        <v>627420</v>
      </c>
      <c r="R13" s="207"/>
      <c r="S13" s="207"/>
      <c r="T13" s="52">
        <f t="shared" si="2"/>
        <v>0</v>
      </c>
      <c r="U13" s="221"/>
      <c r="V13" s="59">
        <f t="shared" si="3"/>
        <v>587460</v>
      </c>
      <c r="W13" s="60">
        <f t="shared" si="3"/>
        <v>65960</v>
      </c>
      <c r="X13" s="61">
        <f t="shared" si="4"/>
        <v>653420</v>
      </c>
      <c r="Y13" s="56"/>
      <c r="Z13" s="52">
        <f t="shared" si="5"/>
        <v>0</v>
      </c>
      <c r="AA13" s="223"/>
      <c r="AB13" s="62">
        <f t="shared" si="6"/>
        <v>653420</v>
      </c>
      <c r="AC13" s="223"/>
      <c r="AD13" s="58"/>
      <c r="AE13" s="208"/>
      <c r="AF13" s="205"/>
      <c r="AG13" s="205"/>
    </row>
    <row r="14" spans="1:33" x14ac:dyDescent="0.25">
      <c r="A14" s="224">
        <f t="shared" ref="A14:A32" si="7">1+A13</f>
        <v>9</v>
      </c>
      <c r="B14" s="225">
        <f>'09'!A8</f>
        <v>0</v>
      </c>
      <c r="C14" s="236"/>
      <c r="D14" s="237">
        <f>'09'!C25</f>
        <v>7000</v>
      </c>
      <c r="E14" s="237">
        <f>'09'!D25</f>
        <v>55700</v>
      </c>
      <c r="F14" s="237">
        <f>'09'!E25</f>
        <v>0</v>
      </c>
      <c r="G14" s="237">
        <f>'09'!F25</f>
        <v>0</v>
      </c>
      <c r="H14" s="38">
        <f t="shared" si="0"/>
        <v>62700</v>
      </c>
      <c r="I14" s="207"/>
      <c r="J14" s="224">
        <v>9</v>
      </c>
      <c r="K14" s="244">
        <f>'09'!G8</f>
        <v>521</v>
      </c>
      <c r="L14" s="230"/>
      <c r="M14" s="227">
        <f>'09'!I25</f>
        <v>209980</v>
      </c>
      <c r="N14" s="227">
        <f>'09'!J25</f>
        <v>169120</v>
      </c>
      <c r="O14" s="227">
        <f>'09'!K25</f>
        <v>0</v>
      </c>
      <c r="P14" s="227">
        <f>'09'!L25</f>
        <v>0</v>
      </c>
      <c r="Q14" s="38">
        <f t="shared" si="1"/>
        <v>379100</v>
      </c>
      <c r="R14" s="207"/>
      <c r="S14" s="207"/>
      <c r="T14" s="52">
        <f t="shared" si="2"/>
        <v>216980</v>
      </c>
      <c r="U14" s="221"/>
      <c r="V14" s="59">
        <f t="shared" si="3"/>
        <v>224820</v>
      </c>
      <c r="W14" s="60">
        <f t="shared" si="3"/>
        <v>0</v>
      </c>
      <c r="X14" s="61">
        <f t="shared" si="4"/>
        <v>224820</v>
      </c>
      <c r="Y14" s="56"/>
      <c r="Z14" s="52">
        <f t="shared" si="5"/>
        <v>0</v>
      </c>
      <c r="AA14" s="223"/>
      <c r="AB14" s="62">
        <f t="shared" si="6"/>
        <v>441800</v>
      </c>
      <c r="AC14" s="223"/>
      <c r="AD14" s="58"/>
      <c r="AE14" s="208"/>
      <c r="AF14" s="205"/>
      <c r="AG14" s="205"/>
    </row>
    <row r="15" spans="1:33" x14ac:dyDescent="0.25">
      <c r="A15" s="224">
        <f t="shared" si="7"/>
        <v>10</v>
      </c>
      <c r="B15" s="225">
        <f>'10'!A8</f>
        <v>0</v>
      </c>
      <c r="C15" s="226"/>
      <c r="D15" s="227">
        <f>'10'!C25</f>
        <v>0</v>
      </c>
      <c r="E15" s="227">
        <f>'10'!D25</f>
        <v>0</v>
      </c>
      <c r="F15" s="227">
        <f>'10'!E25</f>
        <v>0</v>
      </c>
      <c r="G15" s="227">
        <f>'10'!F25</f>
        <v>0</v>
      </c>
      <c r="H15" s="38">
        <f t="shared" si="0"/>
        <v>0</v>
      </c>
      <c r="I15" s="207"/>
      <c r="J15" s="224">
        <v>10</v>
      </c>
      <c r="K15" s="229">
        <f>'10'!G8</f>
        <v>0</v>
      </c>
      <c r="L15" s="226"/>
      <c r="M15" s="227">
        <f>'10'!I25</f>
        <v>0</v>
      </c>
      <c r="N15" s="227">
        <f>'10'!J25</f>
        <v>0</v>
      </c>
      <c r="O15" s="227">
        <f>'10'!K25</f>
        <v>0</v>
      </c>
      <c r="P15" s="227">
        <f>'10'!L25</f>
        <v>0</v>
      </c>
      <c r="Q15" s="38">
        <f t="shared" si="1"/>
        <v>0</v>
      </c>
      <c r="R15" s="207"/>
      <c r="S15" s="207"/>
      <c r="T15" s="52">
        <f t="shared" si="2"/>
        <v>0</v>
      </c>
      <c r="U15" s="221"/>
      <c r="V15" s="59">
        <f t="shared" si="3"/>
        <v>0</v>
      </c>
      <c r="W15" s="60">
        <f t="shared" si="3"/>
        <v>0</v>
      </c>
      <c r="X15" s="61">
        <f t="shared" si="4"/>
        <v>0</v>
      </c>
      <c r="Y15" s="56"/>
      <c r="Z15" s="52">
        <f t="shared" si="5"/>
        <v>0</v>
      </c>
      <c r="AA15" s="223"/>
      <c r="AB15" s="62">
        <f t="shared" si="6"/>
        <v>0</v>
      </c>
      <c r="AC15" s="223"/>
      <c r="AD15" s="58"/>
      <c r="AE15" s="208"/>
      <c r="AF15" s="205"/>
      <c r="AG15" s="205"/>
    </row>
    <row r="16" spans="1:33" x14ac:dyDescent="0.25">
      <c r="A16" s="224">
        <f t="shared" si="7"/>
        <v>11</v>
      </c>
      <c r="B16" s="225">
        <f>'11'!A8</f>
        <v>530</v>
      </c>
      <c r="C16" s="226"/>
      <c r="D16" s="227">
        <f>'11'!C25</f>
        <v>10000</v>
      </c>
      <c r="E16" s="227">
        <f>'11'!D25</f>
        <v>24000</v>
      </c>
      <c r="F16" s="227">
        <f>'11'!E25</f>
        <v>0</v>
      </c>
      <c r="G16" s="227">
        <f>'11'!F25</f>
        <v>0</v>
      </c>
      <c r="H16" s="38">
        <f t="shared" si="0"/>
        <v>34000</v>
      </c>
      <c r="I16" s="207"/>
      <c r="J16" s="224">
        <v>11</v>
      </c>
      <c r="K16" s="238">
        <f>'11'!G8</f>
        <v>530</v>
      </c>
      <c r="L16" s="239"/>
      <c r="M16" s="227">
        <f>'11'!I25</f>
        <v>316500</v>
      </c>
      <c r="N16" s="227">
        <f>'11'!J25</f>
        <v>222990</v>
      </c>
      <c r="O16" s="227">
        <f>'11'!K25</f>
        <v>188920</v>
      </c>
      <c r="P16" s="227">
        <f>'11'!L25</f>
        <v>0</v>
      </c>
      <c r="Q16" s="38">
        <f t="shared" si="1"/>
        <v>728410</v>
      </c>
      <c r="R16" s="207"/>
      <c r="S16" s="207"/>
      <c r="T16" s="52">
        <f t="shared" si="2"/>
        <v>326500</v>
      </c>
      <c r="U16" s="221"/>
      <c r="V16" s="59">
        <f t="shared" si="3"/>
        <v>246990</v>
      </c>
      <c r="W16" s="60">
        <f t="shared" si="3"/>
        <v>188920</v>
      </c>
      <c r="X16" s="61">
        <f t="shared" si="4"/>
        <v>435910</v>
      </c>
      <c r="Y16" s="56"/>
      <c r="Z16" s="52">
        <f t="shared" si="5"/>
        <v>0</v>
      </c>
      <c r="AA16" s="223"/>
      <c r="AB16" s="62">
        <f t="shared" si="6"/>
        <v>762410</v>
      </c>
      <c r="AC16" s="223"/>
      <c r="AD16" s="63">
        <f>SUM(AB6:AB16)</f>
        <v>4557950</v>
      </c>
      <c r="AE16" s="208"/>
      <c r="AF16" s="205"/>
      <c r="AG16" s="205"/>
    </row>
    <row r="17" spans="1:33" x14ac:dyDescent="0.25">
      <c r="A17" s="224">
        <f t="shared" si="7"/>
        <v>12</v>
      </c>
      <c r="B17" s="225">
        <f>'12'!A8</f>
        <v>297</v>
      </c>
      <c r="C17" s="236"/>
      <c r="D17" s="237">
        <f>'12'!C25</f>
        <v>0</v>
      </c>
      <c r="E17" s="237">
        <f>'12'!D25</f>
        <v>12500</v>
      </c>
      <c r="F17" s="237">
        <f>'12'!E25</f>
        <v>0</v>
      </c>
      <c r="G17" s="237">
        <f>'12'!F25</f>
        <v>0</v>
      </c>
      <c r="H17" s="38">
        <f t="shared" si="0"/>
        <v>12500</v>
      </c>
      <c r="I17" s="207"/>
      <c r="J17" s="224">
        <v>12</v>
      </c>
      <c r="K17" s="225">
        <f>'12'!G8</f>
        <v>535</v>
      </c>
      <c r="L17" s="236"/>
      <c r="M17" s="237">
        <f>'12'!I25</f>
        <v>0</v>
      </c>
      <c r="N17" s="237">
        <f>'12'!J25</f>
        <v>427950</v>
      </c>
      <c r="O17" s="237">
        <f>'12'!K25</f>
        <v>0</v>
      </c>
      <c r="P17" s="237">
        <f>'12'!L25</f>
        <v>0</v>
      </c>
      <c r="Q17" s="38">
        <f t="shared" si="1"/>
        <v>427950</v>
      </c>
      <c r="R17" s="207"/>
      <c r="S17" s="207"/>
      <c r="T17" s="52">
        <f t="shared" si="2"/>
        <v>0</v>
      </c>
      <c r="U17" s="221"/>
      <c r="V17" s="59">
        <f t="shared" si="3"/>
        <v>440450</v>
      </c>
      <c r="W17" s="60">
        <f t="shared" si="3"/>
        <v>0</v>
      </c>
      <c r="X17" s="61">
        <f t="shared" si="4"/>
        <v>440450</v>
      </c>
      <c r="Y17" s="56"/>
      <c r="Z17" s="52">
        <f t="shared" si="5"/>
        <v>0</v>
      </c>
      <c r="AA17" s="223"/>
      <c r="AB17" s="62">
        <f t="shared" si="6"/>
        <v>440450</v>
      </c>
      <c r="AC17" s="221"/>
      <c r="AD17" s="58"/>
      <c r="AE17" s="208"/>
      <c r="AF17" s="205"/>
      <c r="AG17" s="205"/>
    </row>
    <row r="18" spans="1:33" x14ac:dyDescent="0.25">
      <c r="A18" s="224">
        <f t="shared" si="7"/>
        <v>13</v>
      </c>
      <c r="B18" s="225">
        <f>'13'!A8</f>
        <v>8034573</v>
      </c>
      <c r="C18" s="236"/>
      <c r="D18" s="237">
        <f>'13'!C25</f>
        <v>15700</v>
      </c>
      <c r="E18" s="237">
        <f>'13'!D25</f>
        <v>25000</v>
      </c>
      <c r="F18" s="237">
        <f>'13'!E25</f>
        <v>0</v>
      </c>
      <c r="G18" s="237">
        <f>'13'!F25</f>
        <v>500</v>
      </c>
      <c r="H18" s="38">
        <f t="shared" si="0"/>
        <v>41200</v>
      </c>
      <c r="I18" s="207"/>
      <c r="J18" s="224">
        <v>13</v>
      </c>
      <c r="K18" s="225">
        <f>'13'!G8</f>
        <v>0</v>
      </c>
      <c r="L18" s="236"/>
      <c r="M18" s="237">
        <f>'13'!I25</f>
        <v>92500</v>
      </c>
      <c r="N18" s="237">
        <f>'13'!J25</f>
        <v>557000</v>
      </c>
      <c r="O18" s="237">
        <f>'13'!K25</f>
        <v>0</v>
      </c>
      <c r="P18" s="237">
        <f>'13'!L25</f>
        <v>193490</v>
      </c>
      <c r="Q18" s="38">
        <f t="shared" si="1"/>
        <v>842990</v>
      </c>
      <c r="R18" s="207"/>
      <c r="S18" s="207"/>
      <c r="T18" s="52">
        <f t="shared" si="2"/>
        <v>108200</v>
      </c>
      <c r="U18" s="221"/>
      <c r="V18" s="59">
        <f t="shared" si="3"/>
        <v>582000</v>
      </c>
      <c r="W18" s="60">
        <f t="shared" si="3"/>
        <v>0</v>
      </c>
      <c r="X18" s="61">
        <f t="shared" si="4"/>
        <v>582000</v>
      </c>
      <c r="Y18" s="56"/>
      <c r="Z18" s="52">
        <f t="shared" si="5"/>
        <v>193990</v>
      </c>
      <c r="AA18" s="223"/>
      <c r="AB18" s="62">
        <f t="shared" si="6"/>
        <v>884190</v>
      </c>
      <c r="AC18" s="245"/>
      <c r="AD18" s="58"/>
      <c r="AE18" s="240"/>
      <c r="AF18" s="205"/>
      <c r="AG18" s="205"/>
    </row>
    <row r="19" spans="1:33" x14ac:dyDescent="0.25">
      <c r="A19" s="224">
        <f t="shared" si="7"/>
        <v>14</v>
      </c>
      <c r="B19" s="225">
        <f>'14'!A8</f>
        <v>0</v>
      </c>
      <c r="C19" s="236"/>
      <c r="D19" s="237">
        <f>'14'!C25</f>
        <v>0</v>
      </c>
      <c r="E19" s="237">
        <f>'14'!D25</f>
        <v>0</v>
      </c>
      <c r="F19" s="237">
        <f>'14'!E25</f>
        <v>0</v>
      </c>
      <c r="G19" s="237">
        <f>'14'!F25</f>
        <v>0</v>
      </c>
      <c r="H19" s="38">
        <f>D19+E19+F19+G19</f>
        <v>0</v>
      </c>
      <c r="I19" s="207"/>
      <c r="J19" s="224">
        <v>14</v>
      </c>
      <c r="K19" s="238">
        <f>'14'!G8</f>
        <v>0</v>
      </c>
      <c r="L19" s="239"/>
      <c r="M19" s="227">
        <f>'14'!I25</f>
        <v>14500</v>
      </c>
      <c r="N19" s="227">
        <f>'14'!J25</f>
        <v>17990</v>
      </c>
      <c r="O19" s="227">
        <f>'14'!K25</f>
        <v>0</v>
      </c>
      <c r="P19" s="227">
        <f>'14'!L25</f>
        <v>0</v>
      </c>
      <c r="Q19" s="38">
        <f t="shared" si="1"/>
        <v>32490</v>
      </c>
      <c r="R19" s="207"/>
      <c r="S19" s="207"/>
      <c r="T19" s="52">
        <f>D19+M19</f>
        <v>14500</v>
      </c>
      <c r="U19" s="221"/>
      <c r="V19" s="59">
        <f>E19+N19</f>
        <v>17990</v>
      </c>
      <c r="W19" s="60">
        <f t="shared" si="3"/>
        <v>0</v>
      </c>
      <c r="X19" s="61">
        <f t="shared" si="4"/>
        <v>17990</v>
      </c>
      <c r="Y19" s="56"/>
      <c r="Z19" s="52">
        <f t="shared" si="5"/>
        <v>0</v>
      </c>
      <c r="AA19" s="223"/>
      <c r="AB19" s="62">
        <f>D19+E19+F19+G19+M19+N19+O19+P19</f>
        <v>32490</v>
      </c>
      <c r="AC19" s="221"/>
      <c r="AD19" s="58"/>
      <c r="AE19" s="208"/>
      <c r="AF19" s="205"/>
      <c r="AG19" s="205"/>
    </row>
    <row r="20" spans="1:33" x14ac:dyDescent="0.25">
      <c r="A20" s="224">
        <f t="shared" si="7"/>
        <v>15</v>
      </c>
      <c r="B20" s="225">
        <f>'15'!A8</f>
        <v>8036260</v>
      </c>
      <c r="C20" s="236"/>
      <c r="D20" s="237">
        <f>'15'!C25</f>
        <v>0</v>
      </c>
      <c r="E20" s="237">
        <f>'15'!D25</f>
        <v>0</v>
      </c>
      <c r="F20" s="237">
        <f>'15'!E25</f>
        <v>0</v>
      </c>
      <c r="G20" s="237">
        <f>'15'!F25</f>
        <v>7600</v>
      </c>
      <c r="H20" s="38">
        <f t="shared" si="0"/>
        <v>7600</v>
      </c>
      <c r="I20" s="207"/>
      <c r="J20" s="224">
        <v>15</v>
      </c>
      <c r="K20" s="238">
        <f>'15'!G8</f>
        <v>0</v>
      </c>
      <c r="L20" s="239"/>
      <c r="M20" s="227">
        <f>'15'!I25</f>
        <v>108000</v>
      </c>
      <c r="N20" s="227">
        <f>'15'!J25</f>
        <v>10000</v>
      </c>
      <c r="O20" s="227">
        <f>'15'!K25</f>
        <v>43500</v>
      </c>
      <c r="P20" s="227">
        <f>'15'!L25</f>
        <v>233600</v>
      </c>
      <c r="Q20" s="38">
        <f t="shared" si="1"/>
        <v>395100</v>
      </c>
      <c r="R20" s="207"/>
      <c r="S20" s="207"/>
      <c r="T20" s="52">
        <f t="shared" si="2"/>
        <v>108000</v>
      </c>
      <c r="U20" s="221"/>
      <c r="V20" s="59">
        <f t="shared" si="3"/>
        <v>10000</v>
      </c>
      <c r="W20" s="60">
        <f t="shared" si="3"/>
        <v>43500</v>
      </c>
      <c r="X20" s="61">
        <f t="shared" si="4"/>
        <v>53500</v>
      </c>
      <c r="Y20" s="56"/>
      <c r="Z20" s="52">
        <f t="shared" si="5"/>
        <v>241200</v>
      </c>
      <c r="AA20" s="223"/>
      <c r="AB20" s="62">
        <f t="shared" si="6"/>
        <v>402700</v>
      </c>
      <c r="AC20" s="221"/>
      <c r="AD20" s="58"/>
      <c r="AE20" s="208"/>
      <c r="AF20" s="205"/>
      <c r="AG20" s="205"/>
    </row>
    <row r="21" spans="1:33" x14ac:dyDescent="0.25">
      <c r="A21" s="224">
        <f t="shared" si="7"/>
        <v>16</v>
      </c>
      <c r="B21" s="225">
        <f>'16'!A8</f>
        <v>303</v>
      </c>
      <c r="C21" s="236"/>
      <c r="D21" s="237">
        <f>'16'!C25</f>
        <v>0</v>
      </c>
      <c r="E21" s="237">
        <f>'16'!D25</f>
        <v>29150</v>
      </c>
      <c r="F21" s="237">
        <f>'16'!E25</f>
        <v>25000</v>
      </c>
      <c r="G21" s="237">
        <f>'16'!F25</f>
        <v>0</v>
      </c>
      <c r="H21" s="38">
        <f t="shared" si="0"/>
        <v>54150</v>
      </c>
      <c r="I21" s="207"/>
      <c r="J21" s="224">
        <v>16</v>
      </c>
      <c r="K21" s="238">
        <f>'16'!G8</f>
        <v>550</v>
      </c>
      <c r="L21" s="239"/>
      <c r="M21" s="227">
        <f>'16'!I25</f>
        <v>38500</v>
      </c>
      <c r="N21" s="227">
        <f>'16'!J25</f>
        <v>10000</v>
      </c>
      <c r="O21" s="227">
        <f>'16'!K25</f>
        <v>52980</v>
      </c>
      <c r="P21" s="227">
        <f>'16'!L25</f>
        <v>0</v>
      </c>
      <c r="Q21" s="38">
        <f t="shared" si="1"/>
        <v>101480</v>
      </c>
      <c r="R21" s="207"/>
      <c r="S21" s="207"/>
      <c r="T21" s="52">
        <f t="shared" si="2"/>
        <v>38500</v>
      </c>
      <c r="U21" s="221"/>
      <c r="V21" s="59">
        <f t="shared" si="3"/>
        <v>39150</v>
      </c>
      <c r="W21" s="60">
        <f t="shared" si="3"/>
        <v>77980</v>
      </c>
      <c r="X21" s="61">
        <f t="shared" si="4"/>
        <v>117130</v>
      </c>
      <c r="Y21" s="56"/>
      <c r="Z21" s="52">
        <f t="shared" si="5"/>
        <v>0</v>
      </c>
      <c r="AA21" s="223"/>
      <c r="AB21" s="62">
        <f t="shared" si="6"/>
        <v>155630</v>
      </c>
      <c r="AC21" s="221"/>
      <c r="AD21" s="58"/>
      <c r="AE21" s="208"/>
      <c r="AF21" s="205"/>
      <c r="AG21" s="205"/>
    </row>
    <row r="22" spans="1:33" x14ac:dyDescent="0.25">
      <c r="A22" s="224">
        <f t="shared" si="7"/>
        <v>17</v>
      </c>
      <c r="B22" s="225">
        <f>'17'!A8</f>
        <v>0</v>
      </c>
      <c r="C22" s="236"/>
      <c r="D22" s="237">
        <f>'17'!C25</f>
        <v>0</v>
      </c>
      <c r="E22" s="237">
        <f>'17'!D25</f>
        <v>0</v>
      </c>
      <c r="F22" s="237">
        <f>'17'!E25</f>
        <v>0</v>
      </c>
      <c r="G22" s="237">
        <f>'17'!F25</f>
        <v>0</v>
      </c>
      <c r="H22" s="38">
        <f t="shared" si="0"/>
        <v>0</v>
      </c>
      <c r="I22" s="207"/>
      <c r="J22" s="224">
        <v>17</v>
      </c>
      <c r="K22" s="238">
        <f>'17'!G8</f>
        <v>0</v>
      </c>
      <c r="L22" s="239"/>
      <c r="M22" s="227">
        <f>'17'!I25</f>
        <v>0</v>
      </c>
      <c r="N22" s="227">
        <f>'17'!J25</f>
        <v>0</v>
      </c>
      <c r="O22" s="227">
        <f>'17'!K25</f>
        <v>0</v>
      </c>
      <c r="P22" s="227">
        <f>'17'!L25</f>
        <v>0</v>
      </c>
      <c r="Q22" s="38">
        <f t="shared" si="1"/>
        <v>0</v>
      </c>
      <c r="R22" s="207"/>
      <c r="S22" s="207"/>
      <c r="T22" s="52">
        <f>D22+M22</f>
        <v>0</v>
      </c>
      <c r="U22" s="221"/>
      <c r="V22" s="59">
        <f>E22+N22</f>
        <v>0</v>
      </c>
      <c r="W22" s="60">
        <f t="shared" si="3"/>
        <v>0</v>
      </c>
      <c r="X22" s="61">
        <f t="shared" si="4"/>
        <v>0</v>
      </c>
      <c r="Y22" s="56"/>
      <c r="Z22" s="52">
        <f t="shared" si="5"/>
        <v>0</v>
      </c>
      <c r="AA22" s="223"/>
      <c r="AB22" s="62">
        <f t="shared" si="6"/>
        <v>0</v>
      </c>
      <c r="AC22" s="221"/>
      <c r="AD22" s="58"/>
      <c r="AE22" s="208"/>
      <c r="AF22" s="205"/>
      <c r="AG22" s="205"/>
    </row>
    <row r="23" spans="1:33" x14ac:dyDescent="0.25">
      <c r="A23" s="224">
        <f t="shared" si="7"/>
        <v>18</v>
      </c>
      <c r="B23" s="225">
        <f>'18'!A8</f>
        <v>305</v>
      </c>
      <c r="C23" s="236"/>
      <c r="D23" s="237">
        <f>'18'!C25</f>
        <v>10510</v>
      </c>
      <c r="E23" s="237">
        <f>'18'!D25</f>
        <v>43990</v>
      </c>
      <c r="F23" s="237">
        <f>'18'!E25</f>
        <v>0</v>
      </c>
      <c r="G23" s="237">
        <f>'18'!F25</f>
        <v>0</v>
      </c>
      <c r="H23" s="38">
        <f t="shared" si="0"/>
        <v>54500</v>
      </c>
      <c r="I23" s="207"/>
      <c r="J23" s="224">
        <v>18</v>
      </c>
      <c r="K23" s="238">
        <f>'18'!G8</f>
        <v>553</v>
      </c>
      <c r="L23" s="239"/>
      <c r="M23" s="227">
        <f>'18'!I25</f>
        <v>36980</v>
      </c>
      <c r="N23" s="227">
        <f>'18'!J25</f>
        <v>119980</v>
      </c>
      <c r="O23" s="227">
        <f>'18'!K25</f>
        <v>0</v>
      </c>
      <c r="P23" s="227">
        <f>'18'!L25</f>
        <v>0</v>
      </c>
      <c r="Q23" s="38">
        <f t="shared" si="1"/>
        <v>156960</v>
      </c>
      <c r="R23" s="207"/>
      <c r="S23" s="207"/>
      <c r="T23" s="52">
        <f t="shared" si="2"/>
        <v>47490</v>
      </c>
      <c r="U23" s="221"/>
      <c r="V23" s="59">
        <f t="shared" si="3"/>
        <v>163970</v>
      </c>
      <c r="W23" s="60">
        <f t="shared" si="3"/>
        <v>0</v>
      </c>
      <c r="X23" s="61">
        <f t="shared" si="4"/>
        <v>163970</v>
      </c>
      <c r="Y23" s="56"/>
      <c r="Z23" s="52">
        <f t="shared" si="5"/>
        <v>0</v>
      </c>
      <c r="AA23" s="223"/>
      <c r="AB23" s="62">
        <f t="shared" si="6"/>
        <v>211460</v>
      </c>
      <c r="AC23" s="221" t="s">
        <v>19</v>
      </c>
      <c r="AD23" s="58"/>
      <c r="AE23" s="208"/>
      <c r="AF23" s="205"/>
      <c r="AG23" s="205"/>
    </row>
    <row r="24" spans="1:33" x14ac:dyDescent="0.25">
      <c r="A24" s="224">
        <f t="shared" si="7"/>
        <v>19</v>
      </c>
      <c r="B24" s="246">
        <f>'19'!A8</f>
        <v>308</v>
      </c>
      <c r="C24" s="247"/>
      <c r="D24" s="227">
        <f>'19'!C25</f>
        <v>0</v>
      </c>
      <c r="E24" s="227">
        <f>'19'!D25</f>
        <v>73500</v>
      </c>
      <c r="F24" s="227">
        <f>'19'!E25</f>
        <v>0</v>
      </c>
      <c r="G24" s="227">
        <f>'19'!F25</f>
        <v>0</v>
      </c>
      <c r="H24" s="38">
        <f t="shared" si="0"/>
        <v>73500</v>
      </c>
      <c r="I24" s="207"/>
      <c r="J24" s="224">
        <v>19</v>
      </c>
      <c r="K24" s="238">
        <f>'19'!G8</f>
        <v>558</v>
      </c>
      <c r="L24" s="239"/>
      <c r="M24" s="234">
        <f>'19'!I25</f>
        <v>0</v>
      </c>
      <c r="N24" s="234">
        <f>'19'!J25</f>
        <v>1035330</v>
      </c>
      <c r="O24" s="234">
        <f>'19'!K25</f>
        <v>35980</v>
      </c>
      <c r="P24" s="234">
        <f>'19'!L25</f>
        <v>0</v>
      </c>
      <c r="Q24" s="38">
        <f t="shared" si="1"/>
        <v>1071310</v>
      </c>
      <c r="R24" s="207"/>
      <c r="S24" s="207"/>
      <c r="T24" s="52">
        <f t="shared" si="2"/>
        <v>0</v>
      </c>
      <c r="U24" s="221"/>
      <c r="V24" s="59">
        <f t="shared" si="3"/>
        <v>1108830</v>
      </c>
      <c r="W24" s="60">
        <f t="shared" si="3"/>
        <v>35980</v>
      </c>
      <c r="X24" s="61">
        <f t="shared" si="4"/>
        <v>1144810</v>
      </c>
      <c r="Y24" s="56"/>
      <c r="Z24" s="52">
        <f t="shared" si="5"/>
        <v>0</v>
      </c>
      <c r="AA24" s="223"/>
      <c r="AB24" s="62">
        <f t="shared" ref="AB24:AB32" si="8">D24+E24+F24+G24+M24+N24+O24+P24</f>
        <v>1144810</v>
      </c>
      <c r="AC24" s="221"/>
      <c r="AD24" s="58"/>
      <c r="AE24" s="208"/>
      <c r="AF24" s="205"/>
      <c r="AG24" s="205"/>
    </row>
    <row r="25" spans="1:33" x14ac:dyDescent="0.25">
      <c r="A25" s="224">
        <f t="shared" si="7"/>
        <v>20</v>
      </c>
      <c r="B25" s="225">
        <f>'20'!A8</f>
        <v>0</v>
      </c>
      <c r="C25" s="236"/>
      <c r="D25" s="227">
        <f>'20'!C23</f>
        <v>15200</v>
      </c>
      <c r="E25" s="227">
        <f>'20'!D23</f>
        <v>0</v>
      </c>
      <c r="F25" s="227">
        <f>'20'!E23</f>
        <v>0</v>
      </c>
      <c r="G25" s="227">
        <f>'20'!F23</f>
        <v>0</v>
      </c>
      <c r="H25" s="38">
        <f t="shared" si="0"/>
        <v>15200</v>
      </c>
      <c r="I25" s="207"/>
      <c r="J25" s="224">
        <v>20</v>
      </c>
      <c r="K25" s="225">
        <f>'20'!G8</f>
        <v>566</v>
      </c>
      <c r="L25" s="236"/>
      <c r="M25" s="227">
        <f>'20'!I23</f>
        <v>20000</v>
      </c>
      <c r="N25" s="227">
        <f>'20'!J23</f>
        <v>62960</v>
      </c>
      <c r="O25" s="227">
        <f>'20'!K23</f>
        <v>32980</v>
      </c>
      <c r="P25" s="227">
        <f>'20'!L23</f>
        <v>0</v>
      </c>
      <c r="Q25" s="38">
        <f t="shared" si="1"/>
        <v>115940</v>
      </c>
      <c r="R25" s="207"/>
      <c r="S25" s="207"/>
      <c r="T25" s="52">
        <f t="shared" si="2"/>
        <v>35200</v>
      </c>
      <c r="U25" s="221"/>
      <c r="V25" s="59">
        <f t="shared" si="3"/>
        <v>62960</v>
      </c>
      <c r="W25" s="60">
        <f t="shared" si="3"/>
        <v>32980</v>
      </c>
      <c r="X25" s="61">
        <f t="shared" si="4"/>
        <v>95940</v>
      </c>
      <c r="Y25" s="56"/>
      <c r="Z25" s="52">
        <f t="shared" si="5"/>
        <v>0</v>
      </c>
      <c r="AA25" s="223"/>
      <c r="AB25" s="62">
        <f t="shared" si="8"/>
        <v>131140</v>
      </c>
      <c r="AC25" s="245"/>
      <c r="AD25" s="58"/>
      <c r="AE25" s="240"/>
      <c r="AF25" s="205"/>
      <c r="AG25" s="205"/>
    </row>
    <row r="26" spans="1:33" x14ac:dyDescent="0.25">
      <c r="A26" s="224">
        <f t="shared" si="7"/>
        <v>21</v>
      </c>
      <c r="B26" s="225">
        <f>'21'!A8</f>
        <v>0</v>
      </c>
      <c r="C26" s="236"/>
      <c r="D26" s="227">
        <f>'21'!C23</f>
        <v>0</v>
      </c>
      <c r="E26" s="227">
        <f>'21'!D23</f>
        <v>0</v>
      </c>
      <c r="F26" s="227">
        <f>'21'!E23</f>
        <v>0</v>
      </c>
      <c r="G26" s="227">
        <f>'21'!F23</f>
        <v>0</v>
      </c>
      <c r="H26" s="38">
        <f t="shared" si="0"/>
        <v>0</v>
      </c>
      <c r="I26" s="207"/>
      <c r="J26" s="224">
        <v>21</v>
      </c>
      <c r="K26" s="229">
        <f>'21'!G8</f>
        <v>570</v>
      </c>
      <c r="L26" s="226"/>
      <c r="M26" s="227">
        <f>'21'!I23</f>
        <v>0</v>
      </c>
      <c r="N26" s="227">
        <f>'21'!J23</f>
        <v>48990</v>
      </c>
      <c r="O26" s="227">
        <f>'21'!K23</f>
        <v>1000</v>
      </c>
      <c r="P26" s="227">
        <f>'21'!L23</f>
        <v>49500</v>
      </c>
      <c r="Q26" s="38">
        <f t="shared" si="1"/>
        <v>99490</v>
      </c>
      <c r="R26" s="207"/>
      <c r="S26" s="207"/>
      <c r="T26" s="52">
        <f t="shared" si="2"/>
        <v>0</v>
      </c>
      <c r="U26" s="221"/>
      <c r="V26" s="59">
        <f t="shared" si="3"/>
        <v>48990</v>
      </c>
      <c r="W26" s="60">
        <f t="shared" si="3"/>
        <v>1000</v>
      </c>
      <c r="X26" s="61">
        <f t="shared" si="4"/>
        <v>49990</v>
      </c>
      <c r="Y26" s="56"/>
      <c r="Z26" s="52">
        <f t="shared" si="5"/>
        <v>49500</v>
      </c>
      <c r="AA26" s="223"/>
      <c r="AB26" s="62">
        <f t="shared" si="8"/>
        <v>99490</v>
      </c>
      <c r="AC26" s="221"/>
      <c r="AD26" s="63">
        <f>SUM(AB17:AB26)</f>
        <v>3502360</v>
      </c>
      <c r="AE26" s="208"/>
      <c r="AF26" s="205"/>
      <c r="AG26" s="205"/>
    </row>
    <row r="27" spans="1:33" x14ac:dyDescent="0.25">
      <c r="A27" s="224">
        <f t="shared" si="7"/>
        <v>22</v>
      </c>
      <c r="B27" s="225">
        <f>'22'!A8</f>
        <v>0</v>
      </c>
      <c r="C27" s="236"/>
      <c r="D27" s="227">
        <f>'22'!C25</f>
        <v>0</v>
      </c>
      <c r="E27" s="227">
        <f>'22'!D25</f>
        <v>0</v>
      </c>
      <c r="F27" s="227">
        <f>'22'!E25</f>
        <v>0</v>
      </c>
      <c r="G27" s="227">
        <f>'22'!F25</f>
        <v>0</v>
      </c>
      <c r="H27" s="38">
        <f t="shared" si="0"/>
        <v>0</v>
      </c>
      <c r="I27" s="207"/>
      <c r="J27" s="224">
        <v>22</v>
      </c>
      <c r="K27" s="229">
        <f>'22'!G8</f>
        <v>561631</v>
      </c>
      <c r="L27" s="226"/>
      <c r="M27" s="227">
        <f>'22'!I25</f>
        <v>0</v>
      </c>
      <c r="N27" s="227">
        <f>'22'!J25</f>
        <v>0</v>
      </c>
      <c r="O27" s="227">
        <f>'22'!K25</f>
        <v>0</v>
      </c>
      <c r="P27" s="227">
        <f>'22'!L25</f>
        <v>25000</v>
      </c>
      <c r="Q27" s="38">
        <f t="shared" si="1"/>
        <v>25000</v>
      </c>
      <c r="R27" s="207"/>
      <c r="S27" s="207"/>
      <c r="T27" s="52">
        <f t="shared" si="2"/>
        <v>0</v>
      </c>
      <c r="U27" s="221"/>
      <c r="V27" s="59">
        <f t="shared" si="3"/>
        <v>0</v>
      </c>
      <c r="W27" s="60">
        <f t="shared" si="3"/>
        <v>0</v>
      </c>
      <c r="X27" s="61">
        <f t="shared" si="4"/>
        <v>0</v>
      </c>
      <c r="Y27" s="56"/>
      <c r="Z27" s="52">
        <f t="shared" si="5"/>
        <v>25000</v>
      </c>
      <c r="AA27" s="223"/>
      <c r="AB27" s="62">
        <f t="shared" si="8"/>
        <v>25000</v>
      </c>
      <c r="AC27" s="221"/>
      <c r="AD27" s="58"/>
      <c r="AE27" s="208"/>
      <c r="AF27" s="205"/>
      <c r="AG27" s="205"/>
    </row>
    <row r="28" spans="1:33" x14ac:dyDescent="0.25">
      <c r="A28" s="224">
        <f t="shared" si="7"/>
        <v>23</v>
      </c>
      <c r="B28" s="225">
        <f>'23'!A8</f>
        <v>576</v>
      </c>
      <c r="C28" s="236"/>
      <c r="D28" s="227">
        <f>'23'!C25</f>
        <v>0</v>
      </c>
      <c r="E28" s="227">
        <f>'23'!D25</f>
        <v>32400</v>
      </c>
      <c r="F28" s="227">
        <f>'23'!E25</f>
        <v>20200</v>
      </c>
      <c r="G28" s="227">
        <f>'23'!F25</f>
        <v>12700</v>
      </c>
      <c r="H28" s="38">
        <f t="shared" si="0"/>
        <v>65300</v>
      </c>
      <c r="I28" s="207"/>
      <c r="J28" s="224">
        <v>23</v>
      </c>
      <c r="K28" s="229">
        <f>'23'!G8</f>
        <v>575</v>
      </c>
      <c r="L28" s="226"/>
      <c r="M28" s="227">
        <f>'23'!I25</f>
        <v>0</v>
      </c>
      <c r="N28" s="227">
        <f>'23'!J25</f>
        <v>84490</v>
      </c>
      <c r="O28" s="227">
        <f>'23'!K25</f>
        <v>112490</v>
      </c>
      <c r="P28" s="227">
        <f>'23'!L25</f>
        <v>0</v>
      </c>
      <c r="Q28" s="38">
        <f t="shared" si="1"/>
        <v>196980</v>
      </c>
      <c r="R28" s="207"/>
      <c r="S28" s="207"/>
      <c r="T28" s="52">
        <f t="shared" si="2"/>
        <v>0</v>
      </c>
      <c r="U28" s="221"/>
      <c r="V28" s="59">
        <f t="shared" si="3"/>
        <v>116890</v>
      </c>
      <c r="W28" s="60">
        <f t="shared" si="3"/>
        <v>132690</v>
      </c>
      <c r="X28" s="61">
        <f t="shared" si="4"/>
        <v>249580</v>
      </c>
      <c r="Y28" s="56"/>
      <c r="Z28" s="52">
        <f t="shared" si="5"/>
        <v>12700</v>
      </c>
      <c r="AA28" s="223"/>
      <c r="AB28" s="62">
        <f t="shared" si="8"/>
        <v>262280</v>
      </c>
      <c r="AC28" s="221"/>
      <c r="AD28" s="58"/>
      <c r="AE28" s="208"/>
      <c r="AF28" s="205"/>
      <c r="AG28" s="205"/>
    </row>
    <row r="29" spans="1:33" x14ac:dyDescent="0.25">
      <c r="A29" s="224">
        <f t="shared" si="7"/>
        <v>24</v>
      </c>
      <c r="B29" s="225">
        <f>'24'!A8</f>
        <v>0</v>
      </c>
      <c r="C29" s="236"/>
      <c r="D29" s="227">
        <f>'24'!C25</f>
        <v>0</v>
      </c>
      <c r="E29" s="227">
        <f>'24'!D25</f>
        <v>0</v>
      </c>
      <c r="F29" s="227">
        <f>'24'!E25</f>
        <v>0</v>
      </c>
      <c r="G29" s="227">
        <f>'24'!F25</f>
        <v>0</v>
      </c>
      <c r="H29" s="38">
        <f t="shared" si="0"/>
        <v>0</v>
      </c>
      <c r="I29" s="207"/>
      <c r="J29" s="224">
        <v>24</v>
      </c>
      <c r="K29" s="229">
        <f>'24'!G8</f>
        <v>0</v>
      </c>
      <c r="L29" s="226"/>
      <c r="M29" s="227">
        <f>'24'!I25</f>
        <v>0</v>
      </c>
      <c r="N29" s="227">
        <f>'24'!J25</f>
        <v>0</v>
      </c>
      <c r="O29" s="227">
        <f>'24'!K25</f>
        <v>0</v>
      </c>
      <c r="P29" s="227">
        <f>'24'!L25</f>
        <v>0</v>
      </c>
      <c r="Q29" s="38">
        <f t="shared" si="1"/>
        <v>0</v>
      </c>
      <c r="R29" s="207"/>
      <c r="S29" s="207"/>
      <c r="T29" s="52">
        <f t="shared" si="2"/>
        <v>0</v>
      </c>
      <c r="U29" s="221"/>
      <c r="V29" s="59">
        <f t="shared" si="3"/>
        <v>0</v>
      </c>
      <c r="W29" s="60">
        <f t="shared" si="3"/>
        <v>0</v>
      </c>
      <c r="X29" s="61">
        <f t="shared" si="4"/>
        <v>0</v>
      </c>
      <c r="Y29" s="56"/>
      <c r="Z29" s="52">
        <f t="shared" si="5"/>
        <v>0</v>
      </c>
      <c r="AA29" s="223"/>
      <c r="AB29" s="62">
        <f t="shared" si="8"/>
        <v>0</v>
      </c>
      <c r="AC29" s="221"/>
      <c r="AD29" s="58"/>
      <c r="AE29" s="208"/>
      <c r="AF29" s="205"/>
      <c r="AG29" s="205"/>
    </row>
    <row r="30" spans="1:33" x14ac:dyDescent="0.25">
      <c r="A30" s="224">
        <f t="shared" si="7"/>
        <v>25</v>
      </c>
      <c r="B30" s="225">
        <f>'25'!A8</f>
        <v>587</v>
      </c>
      <c r="C30" s="236"/>
      <c r="D30" s="227">
        <f>'25'!C25</f>
        <v>0</v>
      </c>
      <c r="E30" s="227">
        <f>'25'!D25</f>
        <v>12500</v>
      </c>
      <c r="F30" s="227">
        <f>'25'!E25</f>
        <v>0</v>
      </c>
      <c r="G30" s="227">
        <f>'25'!F25</f>
        <v>0</v>
      </c>
      <c r="H30" s="38">
        <f t="shared" si="0"/>
        <v>12500</v>
      </c>
      <c r="I30" s="207"/>
      <c r="J30" s="224">
        <v>25</v>
      </c>
      <c r="K30" s="238">
        <f>'25'!G8</f>
        <v>582</v>
      </c>
      <c r="L30" s="239"/>
      <c r="M30" s="227">
        <f>'25'!I25</f>
        <v>35980</v>
      </c>
      <c r="N30" s="227">
        <f>'25'!J25</f>
        <v>437990</v>
      </c>
      <c r="O30" s="227">
        <f>'25'!K25</f>
        <v>0</v>
      </c>
      <c r="P30" s="227">
        <f>'25'!L25</f>
        <v>396420</v>
      </c>
      <c r="Q30" s="38">
        <f t="shared" si="1"/>
        <v>870390</v>
      </c>
      <c r="R30" s="207"/>
      <c r="S30" s="207"/>
      <c r="T30" s="52">
        <f t="shared" si="2"/>
        <v>35980</v>
      </c>
      <c r="U30" s="221"/>
      <c r="V30" s="59">
        <f t="shared" si="3"/>
        <v>450490</v>
      </c>
      <c r="W30" s="60">
        <f t="shared" si="3"/>
        <v>0</v>
      </c>
      <c r="X30" s="61">
        <f t="shared" si="4"/>
        <v>450490</v>
      </c>
      <c r="Y30" s="56"/>
      <c r="Z30" s="52">
        <f t="shared" si="5"/>
        <v>396420</v>
      </c>
      <c r="AA30" s="223"/>
      <c r="AB30" s="62">
        <f t="shared" si="8"/>
        <v>882890</v>
      </c>
      <c r="AC30" s="221"/>
      <c r="AD30" s="58"/>
      <c r="AE30" s="208"/>
      <c r="AF30" s="205"/>
      <c r="AG30" s="205"/>
    </row>
    <row r="31" spans="1:33" x14ac:dyDescent="0.25">
      <c r="A31" s="224">
        <f t="shared" si="7"/>
        <v>26</v>
      </c>
      <c r="B31" s="225">
        <f>'26'!A8</f>
        <v>0</v>
      </c>
      <c r="C31" s="236"/>
      <c r="D31" s="227">
        <f>'26'!C25</f>
        <v>0</v>
      </c>
      <c r="E31" s="227">
        <f>'26'!D25</f>
        <v>0</v>
      </c>
      <c r="F31" s="227">
        <f>'26'!E25</f>
        <v>0</v>
      </c>
      <c r="G31" s="227">
        <f>'26'!F25</f>
        <v>0</v>
      </c>
      <c r="H31" s="38">
        <f t="shared" si="0"/>
        <v>0</v>
      </c>
      <c r="I31" s="207"/>
      <c r="J31" s="224">
        <v>26</v>
      </c>
      <c r="K31" s="238">
        <f>'26'!G8</f>
        <v>0</v>
      </c>
      <c r="L31" s="239"/>
      <c r="M31" s="227">
        <f>'26'!I25</f>
        <v>0</v>
      </c>
      <c r="N31" s="227">
        <f>'26'!J25</f>
        <v>0</v>
      </c>
      <c r="O31" s="227">
        <f>'26'!K25</f>
        <v>0</v>
      </c>
      <c r="P31" s="227">
        <f>'26'!L25</f>
        <v>0</v>
      </c>
      <c r="Q31" s="38">
        <f t="shared" si="1"/>
        <v>0</v>
      </c>
      <c r="R31" s="207"/>
      <c r="S31" s="207"/>
      <c r="T31" s="52">
        <f t="shared" si="2"/>
        <v>0</v>
      </c>
      <c r="U31" s="221"/>
      <c r="V31" s="59">
        <f t="shared" si="3"/>
        <v>0</v>
      </c>
      <c r="W31" s="60">
        <f t="shared" si="3"/>
        <v>0</v>
      </c>
      <c r="X31" s="61">
        <f t="shared" si="4"/>
        <v>0</v>
      </c>
      <c r="Y31" s="56"/>
      <c r="Z31" s="52">
        <f t="shared" si="5"/>
        <v>0</v>
      </c>
      <c r="AA31" s="223"/>
      <c r="AB31" s="62">
        <f t="shared" si="8"/>
        <v>0</v>
      </c>
      <c r="AC31" s="221"/>
      <c r="AD31" s="58"/>
      <c r="AE31" s="208"/>
      <c r="AF31" s="205"/>
      <c r="AG31" s="205"/>
    </row>
    <row r="32" spans="1:33" x14ac:dyDescent="0.25">
      <c r="A32" s="224">
        <f t="shared" si="7"/>
        <v>27</v>
      </c>
      <c r="B32" s="246">
        <f>'27'!A8</f>
        <v>0</v>
      </c>
      <c r="C32" s="226"/>
      <c r="D32" s="227">
        <f>'27'!C25</f>
        <v>0</v>
      </c>
      <c r="E32" s="227">
        <f>'27'!D25</f>
        <v>0</v>
      </c>
      <c r="F32" s="227">
        <f>'27'!E25</f>
        <v>0</v>
      </c>
      <c r="G32" s="227">
        <f>'27'!F25</f>
        <v>0</v>
      </c>
      <c r="H32" s="38">
        <f t="shared" si="0"/>
        <v>0</v>
      </c>
      <c r="I32" s="207"/>
      <c r="J32" s="224">
        <v>27</v>
      </c>
      <c r="K32" s="246">
        <f>'27'!G8</f>
        <v>590</v>
      </c>
      <c r="L32" s="226"/>
      <c r="M32" s="227">
        <f>'27'!I25</f>
        <v>30000</v>
      </c>
      <c r="N32" s="227">
        <f>'27'!J25</f>
        <v>120490</v>
      </c>
      <c r="O32" s="227">
        <f>'27'!K25</f>
        <v>0</v>
      </c>
      <c r="P32" s="227">
        <f>'27'!L25</f>
        <v>100000</v>
      </c>
      <c r="Q32" s="38">
        <f t="shared" si="1"/>
        <v>250490</v>
      </c>
      <c r="R32" s="207"/>
      <c r="S32" s="207"/>
      <c r="T32" s="52">
        <f t="shared" si="2"/>
        <v>30000</v>
      </c>
      <c r="U32" s="221"/>
      <c r="V32" s="59">
        <f t="shared" si="3"/>
        <v>120490</v>
      </c>
      <c r="W32" s="60">
        <f t="shared" si="3"/>
        <v>0</v>
      </c>
      <c r="X32" s="61">
        <f t="shared" si="4"/>
        <v>120490</v>
      </c>
      <c r="Y32" s="56"/>
      <c r="Z32" s="52">
        <f t="shared" si="5"/>
        <v>100000</v>
      </c>
      <c r="AA32" s="223"/>
      <c r="AB32" s="62">
        <f t="shared" si="8"/>
        <v>250490</v>
      </c>
      <c r="AC32" s="245"/>
      <c r="AD32" s="58"/>
      <c r="AE32" s="240"/>
      <c r="AF32" s="205"/>
      <c r="AG32" s="205"/>
    </row>
    <row r="33" spans="1:33" x14ac:dyDescent="0.25">
      <c r="A33" s="224">
        <v>28</v>
      </c>
      <c r="B33" s="246">
        <f>'28'!A8</f>
        <v>0</v>
      </c>
      <c r="C33" s="226"/>
      <c r="D33" s="227">
        <f>'28'!C25</f>
        <v>0</v>
      </c>
      <c r="E33" s="227">
        <f>'28'!D25</f>
        <v>0</v>
      </c>
      <c r="F33" s="227">
        <f>'28'!E25</f>
        <v>0</v>
      </c>
      <c r="G33" s="227">
        <f>'28'!F25</f>
        <v>0</v>
      </c>
      <c r="H33" s="38">
        <f t="shared" si="0"/>
        <v>0</v>
      </c>
      <c r="I33" s="207"/>
      <c r="J33" s="224">
        <v>28</v>
      </c>
      <c r="K33" s="249">
        <f>'28'!G8</f>
        <v>594</v>
      </c>
      <c r="L33" s="239"/>
      <c r="M33" s="227">
        <f>'28'!I25</f>
        <v>20000</v>
      </c>
      <c r="N33" s="227">
        <f>'28'!J25</f>
        <v>230000</v>
      </c>
      <c r="O33" s="227">
        <f>'28'!K25</f>
        <v>63970</v>
      </c>
      <c r="P33" s="227">
        <f>'28'!L25</f>
        <v>10000</v>
      </c>
      <c r="Q33" s="38">
        <f t="shared" si="1"/>
        <v>323970</v>
      </c>
      <c r="R33" s="207"/>
      <c r="S33" s="207"/>
      <c r="T33" s="52">
        <f t="shared" si="2"/>
        <v>20000</v>
      </c>
      <c r="U33" s="221"/>
      <c r="V33" s="59">
        <f t="shared" si="3"/>
        <v>230000</v>
      </c>
      <c r="W33" s="60">
        <f t="shared" si="3"/>
        <v>63970</v>
      </c>
      <c r="X33" s="61">
        <f t="shared" si="4"/>
        <v>293970</v>
      </c>
      <c r="Y33" s="56"/>
      <c r="Z33" s="52">
        <f t="shared" si="5"/>
        <v>10000</v>
      </c>
      <c r="AA33" s="223"/>
      <c r="AB33" s="62">
        <f t="shared" si="6"/>
        <v>323970</v>
      </c>
      <c r="AC33" s="221"/>
      <c r="AD33" s="58"/>
      <c r="AE33" s="208"/>
      <c r="AF33" s="205"/>
      <c r="AG33" s="205"/>
    </row>
    <row r="34" spans="1:33" x14ac:dyDescent="0.25">
      <c r="A34" s="224">
        <v>29</v>
      </c>
      <c r="B34" s="246">
        <f>'29'!A8</f>
        <v>322</v>
      </c>
      <c r="C34" s="226"/>
      <c r="D34" s="227">
        <f>'29'!C25</f>
        <v>0</v>
      </c>
      <c r="E34" s="227">
        <f>'29'!D25</f>
        <v>0</v>
      </c>
      <c r="F34" s="227">
        <f>'29'!E25</f>
        <v>10600</v>
      </c>
      <c r="G34" s="227">
        <f>'29'!F25</f>
        <v>21700</v>
      </c>
      <c r="H34" s="38">
        <f t="shared" si="0"/>
        <v>32300</v>
      </c>
      <c r="I34" s="207"/>
      <c r="J34" s="224">
        <v>29</v>
      </c>
      <c r="K34" s="246">
        <f>'29'!G8</f>
        <v>599</v>
      </c>
      <c r="L34" s="226"/>
      <c r="M34" s="227">
        <f>'29'!I25</f>
        <v>0</v>
      </c>
      <c r="N34" s="227">
        <f>'29'!J25</f>
        <v>138000</v>
      </c>
      <c r="O34" s="227">
        <f>'29'!K25</f>
        <v>307000</v>
      </c>
      <c r="P34" s="227">
        <f>'29'!L25</f>
        <v>0</v>
      </c>
      <c r="Q34" s="38">
        <f t="shared" si="1"/>
        <v>445000</v>
      </c>
      <c r="R34" s="250"/>
      <c r="S34" s="250"/>
      <c r="T34" s="52">
        <f t="shared" si="2"/>
        <v>0</v>
      </c>
      <c r="U34" s="221"/>
      <c r="V34" s="59">
        <f t="shared" si="3"/>
        <v>138000</v>
      </c>
      <c r="W34" s="60">
        <f t="shared" si="3"/>
        <v>317600</v>
      </c>
      <c r="X34" s="61">
        <f t="shared" si="4"/>
        <v>455600</v>
      </c>
      <c r="Y34" s="56"/>
      <c r="Z34" s="52">
        <f t="shared" si="5"/>
        <v>21700</v>
      </c>
      <c r="AA34" s="223"/>
      <c r="AB34" s="62">
        <f t="shared" si="6"/>
        <v>477300</v>
      </c>
      <c r="AC34" s="221"/>
      <c r="AD34" s="64"/>
      <c r="AE34" s="208"/>
      <c r="AF34" s="205"/>
      <c r="AG34" s="205"/>
    </row>
    <row r="35" spans="1:33" x14ac:dyDescent="0.25">
      <c r="A35" s="224">
        <v>30</v>
      </c>
      <c r="B35" s="246">
        <f>'30'!A8</f>
        <v>0</v>
      </c>
      <c r="C35" s="226"/>
      <c r="D35" s="227">
        <f>'30'!C25</f>
        <v>0</v>
      </c>
      <c r="E35" s="227">
        <f>'30'!D25</f>
        <v>0</v>
      </c>
      <c r="F35" s="227">
        <f>'30'!E25</f>
        <v>0</v>
      </c>
      <c r="G35" s="227">
        <f>'30'!F25</f>
        <v>0</v>
      </c>
      <c r="H35" s="38">
        <f t="shared" si="0"/>
        <v>0</v>
      </c>
      <c r="I35" s="207"/>
      <c r="J35" s="224">
        <v>30</v>
      </c>
      <c r="K35" s="246">
        <f>'30'!G8</f>
        <v>603</v>
      </c>
      <c r="L35" s="226"/>
      <c r="M35" s="227">
        <f>'30'!I25</f>
        <v>0</v>
      </c>
      <c r="N35" s="227">
        <f>'30'!J25</f>
        <v>58480</v>
      </c>
      <c r="O35" s="227">
        <f>'30'!K25</f>
        <v>90990</v>
      </c>
      <c r="P35" s="227">
        <f>'30'!L25</f>
        <v>0</v>
      </c>
      <c r="Q35" s="38">
        <f t="shared" si="1"/>
        <v>149470</v>
      </c>
      <c r="R35" s="250"/>
      <c r="S35" s="250"/>
      <c r="T35" s="52">
        <f t="shared" si="2"/>
        <v>0</v>
      </c>
      <c r="U35" s="221"/>
      <c r="V35" s="59">
        <f t="shared" si="3"/>
        <v>58480</v>
      </c>
      <c r="W35" s="60">
        <f t="shared" si="3"/>
        <v>90990</v>
      </c>
      <c r="X35" s="61">
        <f t="shared" si="4"/>
        <v>149470</v>
      </c>
      <c r="Y35" s="56"/>
      <c r="Z35" s="52">
        <f t="shared" si="5"/>
        <v>0</v>
      </c>
      <c r="AA35" s="223"/>
      <c r="AB35" s="62">
        <f t="shared" si="6"/>
        <v>149470</v>
      </c>
      <c r="AC35" s="221"/>
      <c r="AD35" s="58"/>
      <c r="AE35" s="208"/>
      <c r="AF35" s="205"/>
      <c r="AG35" s="205"/>
    </row>
    <row r="36" spans="1:33" ht="15.75" thickBot="1" x14ac:dyDescent="0.3">
      <c r="A36" s="251">
        <v>31</v>
      </c>
      <c r="B36" s="246">
        <f>'31'!A8</f>
        <v>0</v>
      </c>
      <c r="C36" s="226"/>
      <c r="D36" s="227">
        <f>'31'!C25</f>
        <v>0</v>
      </c>
      <c r="E36" s="227">
        <f>'31'!D25</f>
        <v>0</v>
      </c>
      <c r="F36" s="227">
        <f>'31'!E25</f>
        <v>0</v>
      </c>
      <c r="G36" s="227">
        <f>'31'!F25</f>
        <v>0</v>
      </c>
      <c r="H36" s="38">
        <f t="shared" si="0"/>
        <v>0</v>
      </c>
      <c r="I36" s="207"/>
      <c r="J36" s="251">
        <v>31</v>
      </c>
      <c r="K36" s="246">
        <f>'31'!G8</f>
        <v>0</v>
      </c>
      <c r="L36" s="226"/>
      <c r="M36" s="227">
        <f>'31'!I25</f>
        <v>0</v>
      </c>
      <c r="N36" s="227"/>
      <c r="O36" s="227"/>
      <c r="P36" s="248"/>
      <c r="Q36" s="41">
        <f t="shared" si="1"/>
        <v>0</v>
      </c>
      <c r="R36" s="250"/>
      <c r="S36" s="250"/>
      <c r="T36" s="52">
        <f t="shared" si="2"/>
        <v>0</v>
      </c>
      <c r="U36" s="221"/>
      <c r="V36" s="65">
        <f t="shared" si="3"/>
        <v>0</v>
      </c>
      <c r="W36" s="66">
        <f t="shared" si="3"/>
        <v>0</v>
      </c>
      <c r="X36" s="61">
        <f t="shared" si="4"/>
        <v>0</v>
      </c>
      <c r="Y36" s="56"/>
      <c r="Z36" s="52">
        <f t="shared" si="5"/>
        <v>0</v>
      </c>
      <c r="AA36" s="223"/>
      <c r="AB36" s="67">
        <f t="shared" si="6"/>
        <v>0</v>
      </c>
      <c r="AC36" s="221"/>
      <c r="AD36" s="68">
        <f>SUM(AB27:AB36)</f>
        <v>2371400</v>
      </c>
      <c r="AE36" s="208"/>
      <c r="AF36" s="205"/>
      <c r="AG36" s="205"/>
    </row>
    <row r="37" spans="1:33" ht="15.75" thickBot="1" x14ac:dyDescent="0.3">
      <c r="A37" s="252"/>
      <c r="B37" s="322" t="s">
        <v>20</v>
      </c>
      <c r="C37" s="323"/>
      <c r="D37" s="35">
        <f>SUM(D6:D36)</f>
        <v>160410</v>
      </c>
      <c r="E37" s="35">
        <f>SUM(E6:E36)</f>
        <v>488440</v>
      </c>
      <c r="F37" s="35">
        <f>SUM(F6:F36)</f>
        <v>74300</v>
      </c>
      <c r="G37" s="35">
        <f>SUM(G6:G36)</f>
        <v>59750</v>
      </c>
      <c r="H37" s="36">
        <f>SUM(H6:H36)</f>
        <v>782900</v>
      </c>
      <c r="J37" s="252"/>
      <c r="K37" s="324" t="s">
        <v>20</v>
      </c>
      <c r="L37" s="325"/>
      <c r="M37" s="39">
        <f>SUM(M6:M36)</f>
        <v>1133390</v>
      </c>
      <c r="N37" s="39">
        <f>SUM(N6:N36)</f>
        <v>5249140</v>
      </c>
      <c r="O37" s="39">
        <f>SUM(O6:O36)</f>
        <v>2198770</v>
      </c>
      <c r="P37" s="39">
        <f>SUM(P6:P36)</f>
        <v>1067510</v>
      </c>
      <c r="Q37" s="40">
        <f>SUM(Q6:Q36)</f>
        <v>9648810</v>
      </c>
      <c r="R37" s="253" t="s">
        <v>16</v>
      </c>
      <c r="S37" s="254"/>
      <c r="T37" s="69">
        <f>SUM(T6:T36)</f>
        <v>1293800</v>
      </c>
      <c r="U37" s="221"/>
      <c r="V37" s="70">
        <f>SUM(V6:V36)</f>
        <v>5737580</v>
      </c>
      <c r="W37" s="71">
        <f>SUM(W6:W36)</f>
        <v>2273070</v>
      </c>
      <c r="X37" s="72">
        <f>SUM(X6:X36)</f>
        <v>8010650</v>
      </c>
      <c r="Y37" s="73"/>
      <c r="Z37" s="69">
        <f>SUM(Z6:Z36)</f>
        <v>1127260</v>
      </c>
      <c r="AA37" s="223"/>
      <c r="AB37" s="74">
        <f>SUM(AB6:AB36)</f>
        <v>10431710</v>
      </c>
      <c r="AC37" s="255"/>
      <c r="AD37" s="255"/>
      <c r="AE37" s="256"/>
      <c r="AF37" s="205"/>
      <c r="AG37" s="205"/>
    </row>
    <row r="38" spans="1:33" ht="15.75" thickBot="1" x14ac:dyDescent="0.3">
      <c r="A38" s="252"/>
      <c r="B38" s="252"/>
      <c r="C38" s="252"/>
      <c r="D38" s="257"/>
      <c r="E38" s="258"/>
      <c r="F38" s="258"/>
      <c r="G38" s="258"/>
      <c r="H38" s="258"/>
      <c r="J38" s="252"/>
      <c r="K38" s="252"/>
      <c r="L38" s="252"/>
      <c r="M38" s="258"/>
      <c r="N38" s="259"/>
      <c r="O38" s="259"/>
      <c r="P38" s="259"/>
      <c r="Q38" s="260">
        <f>Q37/1.19</f>
        <v>8108243.6974789919</v>
      </c>
      <c r="R38" s="261" t="s">
        <v>21</v>
      </c>
      <c r="S38" s="254"/>
      <c r="T38" s="262"/>
      <c r="U38" s="263"/>
      <c r="V38" s="75">
        <f>V37*1.49%</f>
        <v>85489.941999999995</v>
      </c>
      <c r="W38" s="75">
        <f>W37*2.95%</f>
        <v>67055.565000000002</v>
      </c>
      <c r="X38" s="76">
        <f>V38+W38</f>
        <v>152545.50699999998</v>
      </c>
      <c r="Y38" s="77"/>
      <c r="Z38" s="262"/>
      <c r="AA38" s="222"/>
      <c r="AB38" s="262"/>
      <c r="AC38" s="255"/>
      <c r="AD38" s="264"/>
      <c r="AE38" s="256"/>
      <c r="AF38" s="265"/>
      <c r="AG38" s="266"/>
    </row>
    <row r="39" spans="1:33" ht="15.75" thickBot="1" x14ac:dyDescent="0.3">
      <c r="A39" s="252"/>
      <c r="B39" s="20" t="s">
        <v>22</v>
      </c>
      <c r="C39" s="21"/>
      <c r="D39" s="44">
        <f>H37+Q37</f>
        <v>10431710</v>
      </c>
      <c r="E39" s="267" t="s">
        <v>19</v>
      </c>
      <c r="F39" s="268" t="s">
        <v>23</v>
      </c>
      <c r="G39" s="268" t="s">
        <v>24</v>
      </c>
      <c r="H39" s="269" t="s">
        <v>25</v>
      </c>
      <c r="J39" s="252"/>
      <c r="K39" s="252"/>
      <c r="L39" s="252"/>
      <c r="M39" s="270"/>
      <c r="N39" s="271"/>
      <c r="O39" s="272"/>
      <c r="P39" s="272"/>
      <c r="Q39" s="273">
        <f>Q38*0.19</f>
        <v>1540566.3025210085</v>
      </c>
      <c r="R39" s="274" t="s">
        <v>26</v>
      </c>
      <c r="S39" s="275"/>
      <c r="T39" s="262"/>
      <c r="U39" s="263"/>
      <c r="V39" s="75">
        <f>V38*19%</f>
        <v>16243.088979999999</v>
      </c>
      <c r="W39" s="75">
        <f>W38*19%</f>
        <v>12740.557350000001</v>
      </c>
      <c r="X39" s="76">
        <f>V39+W39</f>
        <v>28983.64633</v>
      </c>
      <c r="Y39" s="77"/>
      <c r="Z39" s="262"/>
      <c r="AA39" s="222"/>
      <c r="AB39" s="262"/>
      <c r="AC39" s="262"/>
      <c r="AD39" s="263"/>
      <c r="AE39" s="27"/>
      <c r="AF39" s="276"/>
      <c r="AG39" s="266"/>
    </row>
    <row r="40" spans="1:33" ht="15.75" thickBot="1" x14ac:dyDescent="0.3">
      <c r="A40" s="252"/>
      <c r="B40" s="22"/>
      <c r="C40" s="22"/>
      <c r="D40" s="45"/>
      <c r="E40" s="267"/>
      <c r="F40" s="42">
        <f>E37+F37+N37+O37</f>
        <v>8010650</v>
      </c>
      <c r="G40" s="42">
        <f>D37+M37</f>
        <v>1293800</v>
      </c>
      <c r="H40" s="43">
        <f>G37+P37</f>
        <v>1127260</v>
      </c>
      <c r="Q40" s="222"/>
      <c r="T40" s="262"/>
      <c r="U40" s="263"/>
      <c r="V40" s="78">
        <f>V37-V38-V39</f>
        <v>5635846.9690200007</v>
      </c>
      <c r="W40" s="78">
        <f>W37-W38-W39</f>
        <v>2193273.8776500002</v>
      </c>
      <c r="X40" s="79">
        <f>X37-X38-X39</f>
        <v>7829120.8466699999</v>
      </c>
      <c r="Y40" s="80"/>
      <c r="Z40" s="262"/>
      <c r="AA40" s="222"/>
      <c r="AB40" s="81">
        <f>AB37/27</f>
        <v>386359.62962962961</v>
      </c>
      <c r="AC40" s="326" t="s">
        <v>27</v>
      </c>
      <c r="AD40" s="327"/>
      <c r="AF40" s="276"/>
      <c r="AG40" s="277"/>
    </row>
    <row r="41" spans="1:33" ht="16.5" thickBot="1" x14ac:dyDescent="0.3">
      <c r="A41" s="278"/>
      <c r="B41" s="328" t="s">
        <v>28</v>
      </c>
      <c r="C41" s="329"/>
      <c r="D41" s="330"/>
      <c r="E41" s="279"/>
      <c r="F41" s="280"/>
      <c r="G41" s="280"/>
      <c r="H41" s="280"/>
      <c r="V41" s="23" t="s">
        <v>29</v>
      </c>
      <c r="W41" s="24" t="s">
        <v>30</v>
      </c>
      <c r="AF41" s="276"/>
      <c r="AG41" s="276"/>
    </row>
    <row r="42" spans="1:33" ht="15.75" thickBot="1" x14ac:dyDescent="0.3">
      <c r="A42" s="252"/>
      <c r="B42" s="27"/>
      <c r="C42" s="27"/>
      <c r="D42" s="28"/>
      <c r="E42" s="267" t="s">
        <v>31</v>
      </c>
      <c r="F42" s="281" t="s">
        <v>32</v>
      </c>
      <c r="G42" s="282"/>
      <c r="H42" s="204">
        <f>'01'!L41+'02'!L41+'03'!L41+'04'!L41+'05'!L41+'06'!L41+'07'!L41+'08'!L41+'09'!L41+'10'!L41+'11'!L41+'12'!L41+'13'!L41+'14'!L41+'15'!L41+'16'!L41+'17'!L41+'18'!L41+'19'!L41+'20'!L39+'21'!L39+'22'!L41+'23'!L41+'24'!L41+'25'!L41+'26'!L41+'27'!L41+'28'!L41+'29'!L41+'30'!L41+'31'!L41</f>
        <v>60000</v>
      </c>
      <c r="AF42" s="276"/>
      <c r="AG42" s="276"/>
    </row>
    <row r="43" spans="1:33" x14ac:dyDescent="0.25">
      <c r="A43" s="252"/>
      <c r="B43" s="29" t="s">
        <v>33</v>
      </c>
      <c r="C43" s="30"/>
      <c r="D43" s="46">
        <f>Q39</f>
        <v>1540566.3025210085</v>
      </c>
      <c r="E43" s="283"/>
      <c r="F43" s="284"/>
      <c r="G43" s="284"/>
      <c r="H43" s="284"/>
    </row>
    <row r="44" spans="1:33" x14ac:dyDescent="0.25">
      <c r="A44" s="252"/>
      <c r="B44" s="331" t="s">
        <v>34</v>
      </c>
      <c r="C44" s="332"/>
      <c r="D44" s="47"/>
      <c r="E44" s="283"/>
      <c r="F44" s="284"/>
      <c r="G44" s="284"/>
      <c r="H44" s="285"/>
    </row>
    <row r="45" spans="1:33" ht="15.75" thickBot="1" x14ac:dyDescent="0.3">
      <c r="A45" s="252"/>
      <c r="B45" s="82">
        <f>H37+Q38</f>
        <v>8891143.697478991</v>
      </c>
      <c r="C45" s="31" t="s">
        <v>35</v>
      </c>
      <c r="D45" s="48">
        <f>B45*0.02</f>
        <v>177822.87394957984</v>
      </c>
      <c r="E45" s="283"/>
      <c r="F45" s="284"/>
      <c r="G45" s="284"/>
      <c r="H45" s="284"/>
    </row>
    <row r="46" spans="1:33" ht="15.75" thickBot="1" x14ac:dyDescent="0.3">
      <c r="A46" s="252"/>
      <c r="B46" s="32"/>
      <c r="C46" s="32"/>
      <c r="D46" s="49"/>
      <c r="E46" s="267"/>
      <c r="F46" s="286"/>
      <c r="G46" s="286"/>
      <c r="H46" s="286"/>
    </row>
    <row r="47" spans="1:33" ht="15.75" thickBot="1" x14ac:dyDescent="0.3">
      <c r="A47" s="252"/>
      <c r="B47" s="33" t="s">
        <v>36</v>
      </c>
      <c r="C47" s="34"/>
      <c r="D47" s="50">
        <f>SUM(D43:D45)</f>
        <v>1718389.1764705884</v>
      </c>
      <c r="E47" s="283"/>
      <c r="F47" s="284"/>
      <c r="G47" s="284"/>
      <c r="H47" s="284"/>
    </row>
    <row r="48" spans="1:33" ht="15.75" thickBot="1" x14ac:dyDescent="0.3">
      <c r="A48" s="252"/>
      <c r="B48" s="27"/>
      <c r="C48" s="27"/>
      <c r="D48" s="49"/>
      <c r="E48" s="267" t="s">
        <v>19</v>
      </c>
      <c r="F48" s="286"/>
      <c r="G48" s="286"/>
      <c r="H48" s="286"/>
    </row>
    <row r="49" spans="1:8" ht="15.75" thickBot="1" x14ac:dyDescent="0.3">
      <c r="A49" s="252"/>
      <c r="B49" s="318" t="s">
        <v>37</v>
      </c>
      <c r="C49" s="319"/>
      <c r="D49" s="51">
        <f>X38+X39</f>
        <v>181529.15332999997</v>
      </c>
      <c r="E49" s="267"/>
      <c r="F49" s="286"/>
      <c r="G49" s="286"/>
      <c r="H49" s="286"/>
    </row>
    <row r="50" spans="1:8" ht="15.75" thickBot="1" x14ac:dyDescent="0.3">
      <c r="A50" s="252"/>
      <c r="B50" s="252"/>
      <c r="C50" s="252"/>
      <c r="D50" s="257"/>
      <c r="E50" s="267"/>
      <c r="F50" s="286"/>
      <c r="G50" s="286"/>
      <c r="H50" s="286"/>
    </row>
    <row r="51" spans="1:8" ht="16.5" thickBot="1" x14ac:dyDescent="0.3">
      <c r="A51" s="252"/>
      <c r="B51" s="287" t="s">
        <v>38</v>
      </c>
      <c r="C51" s="288"/>
      <c r="D51" s="289">
        <f>D39-D47-D49</f>
        <v>8531791.670199411</v>
      </c>
      <c r="E51" s="267"/>
      <c r="F51" s="286"/>
      <c r="G51" s="286"/>
      <c r="H51" s="286"/>
    </row>
  </sheetData>
  <sheetProtection algorithmName="SHA-512" hashValue="XK6gc91AysByORkPIV7fWLZu38IUq2T5GQJhoPbMsY/46+IDf5woK0+Yy/AEb/3gQH5eKaBnPQjwUUgfJ4WUvQ==" saltValue="i7daT3V5bjBPOXMUNa6v7w==" spinCount="100000" sheet="1" objects="1" scenarios="1"/>
  <mergeCells count="25">
    <mergeCell ref="B49:C49"/>
    <mergeCell ref="Q4:Q5"/>
    <mergeCell ref="B37:C37"/>
    <mergeCell ref="K37:L37"/>
    <mergeCell ref="AC40:AD40"/>
    <mergeCell ref="B41:D41"/>
    <mergeCell ref="B44:C44"/>
    <mergeCell ref="AD3:AD5"/>
    <mergeCell ref="N4:O4"/>
    <mergeCell ref="P4:P5"/>
    <mergeCell ref="H4:H5"/>
    <mergeCell ref="J4:J5"/>
    <mergeCell ref="A3:H3"/>
    <mergeCell ref="J3:Q3"/>
    <mergeCell ref="T3:T5"/>
    <mergeCell ref="V3:X3"/>
    <mergeCell ref="Z3:Z5"/>
    <mergeCell ref="AB3:AB5"/>
    <mergeCell ref="K4:L4"/>
    <mergeCell ref="M4:M5"/>
    <mergeCell ref="A4:A5"/>
    <mergeCell ref="B4:C4"/>
    <mergeCell ref="D4:D5"/>
    <mergeCell ref="E4:F4"/>
    <mergeCell ref="G4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E7CA-DB12-4221-87A6-40B2632027B4}">
  <sheetPr codeName="Hoja3">
    <tabColor theme="2"/>
    <pageSetUpPr fitToPage="1"/>
  </sheetPr>
  <dimension ref="A1:L89"/>
  <sheetViews>
    <sheetView showWhiteSpace="0" view="pageLayout" topLeftCell="C1" zoomScale="80" zoomScaleNormal="90" zoomScalePageLayoutView="80" workbookViewId="0">
      <selection activeCell="A4" sqref="A4:L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/>
      <c r="D1" s="351"/>
      <c r="E1" s="352"/>
      <c r="F1" s="348" t="s">
        <v>39</v>
      </c>
      <c r="G1" s="353"/>
      <c r="H1" s="349"/>
      <c r="I1" s="354"/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/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/>
      <c r="H8" s="103"/>
      <c r="I8" s="104"/>
      <c r="J8" s="104"/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/>
      <c r="H9" s="106"/>
      <c r="I9" s="108"/>
      <c r="J9" s="107"/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/>
      <c r="H10" s="97"/>
      <c r="I10" s="99"/>
      <c r="J10" s="99"/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/>
      <c r="I11" s="107"/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0</v>
      </c>
      <c r="K25" s="189">
        <f>SUM($K8:$K24)</f>
        <v>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/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0</v>
      </c>
      <c r="G39" s="373"/>
      <c r="H39" s="373"/>
      <c r="I39" s="374"/>
      <c r="J39" s="144" t="s">
        <v>64</v>
      </c>
      <c r="K39" s="145"/>
      <c r="L39" s="192">
        <f>SUM(L32:L38)</f>
        <v>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0</v>
      </c>
      <c r="G42" s="156"/>
      <c r="H42" s="157"/>
      <c r="I42" s="158"/>
      <c r="J42" s="154"/>
      <c r="K42" s="155" t="s">
        <v>69</v>
      </c>
      <c r="L42" s="193">
        <f>L39+L41</f>
        <v>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/>
      <c r="L47" s="197">
        <f>J47*K47</f>
        <v>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/>
      <c r="L48" s="197">
        <f>J48*K48</f>
        <v>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/>
      <c r="F50" s="195">
        <f>D50*E50</f>
        <v>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0</v>
      </c>
      <c r="G51" s="156"/>
      <c r="H51" s="157"/>
      <c r="I51" s="158"/>
      <c r="J51" s="166"/>
      <c r="K51" s="167" t="s">
        <v>76</v>
      </c>
      <c r="L51" s="196">
        <f>SUM(L46:L50)</f>
        <v>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'30'!J69</f>
        <v>6200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6200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6200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-6200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BD1WpZ6sXPugjFtlSevgODcyDiXs/Kd1ycbB2HdcBu5EWxkzFhzw8uUD+V11eqBFGrKlt45i2sVVnj9zALJNyw==" saltValue="gNH8YHrXZNlCHL77gcwTLw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92" priority="1">
      <formula>$J71=0</formula>
    </cfRule>
    <cfRule type="expression" dxfId="91" priority="2">
      <formula>$J71&gt;=1</formula>
    </cfRule>
    <cfRule type="expression" dxfId="90" priority="3">
      <formula>$J71&lt;=-1</formula>
    </cfRule>
  </conditionalFormatting>
  <pageMargins left="0.25" right="0.25" top="0.75" bottom="0.75" header="0.3" footer="0.3"/>
  <pageSetup paperSize="9" scale="59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895E-8D7A-47A5-9017-363D1B0948D6}">
  <sheetPr codeName="Hoja4">
    <tabColor theme="2"/>
    <pageSetUpPr fitToPage="1"/>
  </sheetPr>
  <dimension ref="A1:L89"/>
  <sheetViews>
    <sheetView tabSelected="1" showWhiteSpace="0" view="pageLayout" topLeftCell="A16" zoomScale="80" zoomScaleNormal="90" zoomScalePageLayoutView="80" workbookViewId="0">
      <selection activeCell="K34" sqref="K34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45626</v>
      </c>
      <c r="D1" s="351"/>
      <c r="E1" s="352"/>
      <c r="F1" s="348" t="s">
        <v>39</v>
      </c>
      <c r="G1" s="353"/>
      <c r="H1" s="349"/>
      <c r="I1" s="354" t="s">
        <v>85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>
        <v>603</v>
      </c>
      <c r="H8" s="103">
        <v>7256</v>
      </c>
      <c r="I8" s="104"/>
      <c r="J8" s="104">
        <v>20000</v>
      </c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>
        <v>604</v>
      </c>
      <c r="H9" s="106">
        <v>7257</v>
      </c>
      <c r="I9" s="108"/>
      <c r="J9" s="107">
        <v>38480</v>
      </c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605</v>
      </c>
      <c r="H10" s="97">
        <v>7258</v>
      </c>
      <c r="I10" s="99"/>
      <c r="J10" s="99"/>
      <c r="K10" s="98">
        <v>90990</v>
      </c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/>
      <c r="I11" s="107"/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58480</v>
      </c>
      <c r="K25" s="189">
        <f>SUM($K8:$K24)</f>
        <v>90990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149470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/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58480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90990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149470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0</v>
      </c>
      <c r="G39" s="373"/>
      <c r="H39" s="373"/>
      <c r="I39" s="374"/>
      <c r="J39" s="144" t="s">
        <v>64</v>
      </c>
      <c r="K39" s="145"/>
      <c r="L39" s="192">
        <f>SUM(L32:L38)</f>
        <v>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149470</v>
      </c>
      <c r="G42" s="156"/>
      <c r="H42" s="157"/>
      <c r="I42" s="158"/>
      <c r="J42" s="154"/>
      <c r="K42" s="155" t="s">
        <v>69</v>
      </c>
      <c r="L42" s="193">
        <f>L39+L41</f>
        <v>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>
        <v>3</v>
      </c>
      <c r="L46" s="197">
        <f>J46*K46</f>
        <v>1500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>
        <v>11</v>
      </c>
      <c r="L47" s="197">
        <f>J47*K47</f>
        <v>1100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8</v>
      </c>
      <c r="L48" s="197">
        <f>J48*K48</f>
        <v>400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>
        <v>20</v>
      </c>
      <c r="L49" s="197">
        <f>J49*K49</f>
        <v>200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3</v>
      </c>
      <c r="F50" s="195">
        <f>D50*E50</f>
        <v>3000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3000</v>
      </c>
      <c r="G51" s="156"/>
      <c r="H51" s="157"/>
      <c r="I51" s="158"/>
      <c r="J51" s="166"/>
      <c r="K51" s="167" t="s">
        <v>76</v>
      </c>
      <c r="L51" s="196">
        <f>SUM(L46:L50)</f>
        <v>3200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'29'!J69</f>
        <v>6200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6200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149470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155670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149470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6200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QUS7DTZ317BFbGY8ir0XiBxUzLLApWXh9Ykb0y5+eTHkswBnoI4UMYPhr1QBGqfG1GjyAnIHmg7QznCI6hVGog==" saltValue="zLYeFAdNTLTjSSB8t2qEZw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89" priority="1">
      <formula>$J71=0</formula>
    </cfRule>
    <cfRule type="expression" dxfId="88" priority="2">
      <formula>$J71&gt;=1</formula>
    </cfRule>
    <cfRule type="expression" dxfId="87" priority="3">
      <formula>$J71&lt;=-1</formula>
    </cfRule>
  </conditionalFormatting>
  <pageMargins left="0.25" right="0.25" top="0.75" bottom="0.75" header="0.3" footer="0.3"/>
  <pageSetup paperSize="9" scale="59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C7C8-99FF-4790-A18D-5D4FEB1E0BDF}">
  <sheetPr codeName="Hoja5">
    <tabColor theme="2"/>
    <pageSetUpPr fitToPage="1"/>
  </sheetPr>
  <dimension ref="A1:L89"/>
  <sheetViews>
    <sheetView showWhiteSpace="0" view="pageLayout" topLeftCell="A51" zoomScale="80" zoomScaleNormal="90" zoomScalePageLayoutView="80" workbookViewId="0">
      <selection activeCell="L36" sqref="L36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45625</v>
      </c>
      <c r="D1" s="351"/>
      <c r="E1" s="352"/>
      <c r="F1" s="348" t="s">
        <v>39</v>
      </c>
      <c r="G1" s="353"/>
      <c r="H1" s="349"/>
      <c r="I1" s="354" t="s">
        <v>112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322</v>
      </c>
      <c r="B8" s="97">
        <v>21116</v>
      </c>
      <c r="C8" s="98"/>
      <c r="D8" s="99"/>
      <c r="E8" s="100">
        <v>10600</v>
      </c>
      <c r="F8" s="101"/>
      <c r="G8" s="102">
        <v>599</v>
      </c>
      <c r="H8" s="103">
        <v>7251</v>
      </c>
      <c r="I8" s="104"/>
      <c r="J8" s="104">
        <v>95000</v>
      </c>
      <c r="K8" s="98"/>
      <c r="L8" s="98"/>
    </row>
    <row r="9" spans="1:12" ht="20.45" customHeight="1" x14ac:dyDescent="0.25">
      <c r="A9" s="105">
        <v>7006561</v>
      </c>
      <c r="B9" s="106">
        <v>21117</v>
      </c>
      <c r="C9" s="107"/>
      <c r="D9" s="108"/>
      <c r="E9" s="109"/>
      <c r="F9" s="110">
        <v>21700</v>
      </c>
      <c r="G9" s="111">
        <v>598</v>
      </c>
      <c r="H9" s="106">
        <v>7252</v>
      </c>
      <c r="I9" s="108"/>
      <c r="J9" s="107">
        <v>23000</v>
      </c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600</v>
      </c>
      <c r="H10" s="97">
        <v>7253</v>
      </c>
      <c r="I10" s="99"/>
      <c r="J10" s="99"/>
      <c r="K10" s="98">
        <v>297000</v>
      </c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>
        <v>601</v>
      </c>
      <c r="H11" s="106">
        <v>7254</v>
      </c>
      <c r="I11" s="107"/>
      <c r="J11" s="108"/>
      <c r="K11" s="107">
        <v>10000</v>
      </c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602</v>
      </c>
      <c r="H12" s="97">
        <v>7255</v>
      </c>
      <c r="I12" s="98"/>
      <c r="J12" s="99">
        <v>20000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10600</v>
      </c>
      <c r="F25" s="189">
        <f>SUM($F8:$F24)</f>
        <v>21700</v>
      </c>
      <c r="G25" s="120"/>
      <c r="H25" s="119" t="s">
        <v>49</v>
      </c>
      <c r="I25" s="189">
        <f>SUM($I8:$I24)</f>
        <v>0</v>
      </c>
      <c r="J25" s="189">
        <f>SUM($J8:$J24)</f>
        <v>138000</v>
      </c>
      <c r="K25" s="189">
        <f>SUM($K8:$K24)</f>
        <v>307000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477300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>
        <v>17000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138000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317600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21700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477300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22200</v>
      </c>
      <c r="G39" s="373"/>
      <c r="H39" s="373"/>
      <c r="I39" s="374"/>
      <c r="J39" s="144" t="s">
        <v>64</v>
      </c>
      <c r="K39" s="145"/>
      <c r="L39" s="192">
        <f>SUM(L32:L38)</f>
        <v>17000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22200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499500</v>
      </c>
      <c r="G42" s="156"/>
      <c r="H42" s="157"/>
      <c r="I42" s="158"/>
      <c r="J42" s="154"/>
      <c r="K42" s="155" t="s">
        <v>69</v>
      </c>
      <c r="L42" s="193">
        <f>L39+L41</f>
        <v>17000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>
        <v>3</v>
      </c>
      <c r="L46" s="197">
        <f>J46*K46</f>
        <v>1500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>
        <v>11</v>
      </c>
      <c r="L47" s="197">
        <f>J47*K47</f>
        <v>1100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8</v>
      </c>
      <c r="L48" s="197">
        <f>J48*K48</f>
        <v>400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>
        <v>20</v>
      </c>
      <c r="L49" s="197">
        <f>J49*K49</f>
        <v>200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3</v>
      </c>
      <c r="F50" s="195">
        <f>D50*E50</f>
        <v>3000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3000</v>
      </c>
      <c r="G51" s="156"/>
      <c r="H51" s="157"/>
      <c r="I51" s="158"/>
      <c r="J51" s="166"/>
      <c r="K51" s="167" t="s">
        <v>76</v>
      </c>
      <c r="L51" s="196">
        <f>SUM(L46:L50)</f>
        <v>3200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'28'!J69</f>
        <v>1000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111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6200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477300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22200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17000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483500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482500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6200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Nb8xkpLwA3F5MOiFBKTDksWG4fA5A+uxhtsUnskg/FZC/Bc1h0P0Mi/NkccBD1siXNfbA/HIZxRVUyl8KgIrSQ==" saltValue="ICSPRDp8sX/n5B8sK3FRu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86" priority="1">
      <formula>$J71=0</formula>
    </cfRule>
    <cfRule type="expression" dxfId="85" priority="2">
      <formula>$J71&gt;=1</formula>
    </cfRule>
    <cfRule type="expression" dxfId="84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9246-43CC-424E-87F5-D1973F065682}">
  <sheetPr codeName="Hoja6">
    <tabColor theme="2"/>
    <pageSetUpPr fitToPage="1"/>
  </sheetPr>
  <dimension ref="A1:L89"/>
  <sheetViews>
    <sheetView showWhiteSpace="0" view="pageLayout" topLeftCell="A47" zoomScale="80" zoomScaleNormal="90" zoomScalePageLayoutView="80" workbookViewId="0">
      <selection activeCell="H71" sqref="H71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45624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>
        <v>594</v>
      </c>
      <c r="H8" s="103">
        <v>7245</v>
      </c>
      <c r="I8" s="104"/>
      <c r="J8" s="104">
        <v>95000</v>
      </c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>
        <v>595</v>
      </c>
      <c r="H9" s="106">
        <v>7246</v>
      </c>
      <c r="I9" s="108"/>
      <c r="J9" s="107">
        <v>35000</v>
      </c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418817650</v>
      </c>
      <c r="H10" s="97">
        <v>7246</v>
      </c>
      <c r="I10" s="99"/>
      <c r="J10" s="99"/>
      <c r="K10" s="98"/>
      <c r="L10" s="98">
        <v>10000</v>
      </c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>
        <v>7247</v>
      </c>
      <c r="I11" s="107">
        <v>20000</v>
      </c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595</v>
      </c>
      <c r="H12" s="97">
        <v>7248</v>
      </c>
      <c r="I12" s="98"/>
      <c r="J12" s="99"/>
      <c r="K12" s="98">
        <v>30990</v>
      </c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>
        <v>597</v>
      </c>
      <c r="H13" s="106">
        <v>7249</v>
      </c>
      <c r="I13" s="108"/>
      <c r="J13" s="107"/>
      <c r="K13" s="107">
        <v>32980</v>
      </c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>
        <v>596</v>
      </c>
      <c r="H14" s="97">
        <v>7250</v>
      </c>
      <c r="I14" s="98"/>
      <c r="J14" s="98">
        <v>100000</v>
      </c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20000</v>
      </c>
      <c r="J25" s="189">
        <f>SUM($J8:$J24)</f>
        <v>230000</v>
      </c>
      <c r="K25" s="189">
        <f>SUM($K8:$K24)</f>
        <v>63970</v>
      </c>
      <c r="L25" s="189">
        <f>SUM($L8:$L24)</f>
        <v>10000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323970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20000</v>
      </c>
      <c r="G32" s="373"/>
      <c r="H32" s="373"/>
      <c r="I32" s="374"/>
      <c r="J32" s="137" t="s">
        <v>10</v>
      </c>
      <c r="K32" s="138"/>
      <c r="L32" s="139">
        <v>22000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230000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63970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10000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323970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22000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323970</v>
      </c>
      <c r="G42" s="156"/>
      <c r="H42" s="157"/>
      <c r="I42" s="158"/>
      <c r="J42" s="154"/>
      <c r="K42" s="155" t="s">
        <v>69</v>
      </c>
      <c r="L42" s="193">
        <f>L39+L41</f>
        <v>22000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>
        <v>1</v>
      </c>
      <c r="L46" s="197">
        <f>J46*K46</f>
        <v>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>
        <v>1</v>
      </c>
      <c r="L47" s="197">
        <f>J47*K47</f>
        <v>100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8</v>
      </c>
      <c r="L48" s="197">
        <f>J48*K48</f>
        <v>400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/>
      <c r="F50" s="195">
        <f>D50*E50</f>
        <v>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0</v>
      </c>
      <c r="G51" s="156"/>
      <c r="H51" s="157"/>
      <c r="I51" s="158"/>
      <c r="J51" s="166"/>
      <c r="K51" s="167" t="s">
        <v>76</v>
      </c>
      <c r="L51" s="196">
        <f>SUM(L46:L50)</f>
        <v>1000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'27'!J69</f>
        <v>3000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110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1000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323970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22000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304970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301970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1000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Z5YJHnNOnHA3DTEzFVH9bT29kzKe0V7UZxtnYd5uCWWyu9pCOHG5B4h0t6o7vWRCv3wOxudhxO4tUTs3yFXTtQ==" saltValue="zkfpM7CHwQKMrm9cJZiN5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83" priority="1">
      <formula>$J71=0</formula>
    </cfRule>
    <cfRule type="expression" dxfId="82" priority="2">
      <formula>$J71&gt;=1</formula>
    </cfRule>
    <cfRule type="expression" dxfId="81" priority="3">
      <formula>$J71&lt;=-1</formula>
    </cfRule>
  </conditionalFormatting>
  <pageMargins left="0.25" right="0.25" top="0.75" bottom="0.75" header="0.3" footer="0.3"/>
  <pageSetup paperSize="5" scale="61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949A-0E5D-4C8B-B7B7-C755DE5E219B}">
  <sheetPr codeName="Hoja7">
    <tabColor theme="2"/>
    <pageSetUpPr fitToPage="1"/>
  </sheetPr>
  <dimension ref="A1:L89"/>
  <sheetViews>
    <sheetView showWhiteSpace="0" view="pageLayout" topLeftCell="A2" zoomScale="80" zoomScaleNormal="90" zoomScalePageLayoutView="80" workbookViewId="0">
      <selection activeCell="H14" sqref="H14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45623</v>
      </c>
      <c r="D1" s="351"/>
      <c r="E1" s="352"/>
      <c r="F1" s="348" t="s">
        <v>39</v>
      </c>
      <c r="G1" s="353"/>
      <c r="H1" s="349"/>
      <c r="I1" s="354" t="s">
        <v>108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>
        <v>590</v>
      </c>
      <c r="H8" s="103">
        <v>7241</v>
      </c>
      <c r="I8" s="104"/>
      <c r="J8" s="104">
        <v>49500</v>
      </c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/>
      <c r="H9" s="106">
        <v>7242</v>
      </c>
      <c r="I9" s="108">
        <v>30000</v>
      </c>
      <c r="J9" s="107"/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591</v>
      </c>
      <c r="H10" s="97">
        <v>7243</v>
      </c>
      <c r="I10" s="99"/>
      <c r="J10" s="99">
        <v>30990</v>
      </c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>
        <v>7049444</v>
      </c>
      <c r="H11" s="106">
        <v>7244</v>
      </c>
      <c r="I11" s="107"/>
      <c r="J11" s="108"/>
      <c r="K11" s="107"/>
      <c r="L11" s="107">
        <v>100000</v>
      </c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592</v>
      </c>
      <c r="H12" s="97">
        <v>7244</v>
      </c>
      <c r="I12" s="98"/>
      <c r="J12" s="99">
        <v>40000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30000</v>
      </c>
      <c r="J25" s="189">
        <f>SUM($J8:$J24)</f>
        <v>120490</v>
      </c>
      <c r="K25" s="189">
        <f>SUM($K8:$K24)</f>
        <v>0</v>
      </c>
      <c r="L25" s="189">
        <f>SUM($L8:$L24)</f>
        <v>100000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250490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30000</v>
      </c>
      <c r="G32" s="373"/>
      <c r="H32" s="373"/>
      <c r="I32" s="374"/>
      <c r="J32" s="137" t="s">
        <v>10</v>
      </c>
      <c r="K32" s="138"/>
      <c r="L32" s="139">
        <v>73000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120490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100000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250490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73000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250490</v>
      </c>
      <c r="G42" s="156"/>
      <c r="H42" s="157"/>
      <c r="I42" s="158"/>
      <c r="J42" s="154"/>
      <c r="K42" s="155" t="s">
        <v>69</v>
      </c>
      <c r="L42" s="193">
        <f>L39+L41</f>
        <v>73000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>
        <v>1</v>
      </c>
      <c r="L46" s="197">
        <f>J46*K46</f>
        <v>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>
        <v>1</v>
      </c>
      <c r="L47" s="197">
        <f>J47*K47</f>
        <v>100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8</v>
      </c>
      <c r="L48" s="197">
        <f>J48*K48</f>
        <v>400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2</v>
      </c>
      <c r="F50" s="195">
        <f>D50*E50</f>
        <v>2000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2000</v>
      </c>
      <c r="G51" s="156"/>
      <c r="H51" s="157"/>
      <c r="I51" s="158"/>
      <c r="J51" s="166"/>
      <c r="K51" s="167" t="s">
        <v>76</v>
      </c>
      <c r="L51" s="196">
        <f>SUM(L46:L50)</f>
        <v>1000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'26'!J69</f>
        <v>46000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109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3000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250490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73000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223490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177490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3000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fjG7nT+JIbKn0kUwC9mK7H/OU8HsMaGViftGWpkrs5sDPWkuRh8vOG6LTtXl+QQVcrgwSwarAd7dg70MBXYYZA==" saltValue="7X9MKHqKoCCjTb4EMuOnOw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80" priority="1">
      <formula>$J71=0</formula>
    </cfRule>
    <cfRule type="expression" dxfId="79" priority="2">
      <formula>$J71&gt;=1</formula>
    </cfRule>
    <cfRule type="expression" dxfId="78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D46C-D15B-4368-A09F-0D873B75A5A9}">
  <sheetPr codeName="Hoja8">
    <tabColor theme="2"/>
    <pageSetUpPr fitToPage="1"/>
  </sheetPr>
  <dimension ref="A1:L89"/>
  <sheetViews>
    <sheetView showWhiteSpace="0" view="pageLayout" topLeftCell="A51" zoomScale="82" zoomScaleNormal="90" zoomScalePageLayoutView="82" workbookViewId="0">
      <selection activeCell="I72" sqref="I72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45622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/>
      <c r="H8" s="103"/>
      <c r="I8" s="104"/>
      <c r="J8" s="104"/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/>
      <c r="H9" s="106"/>
      <c r="I9" s="108"/>
      <c r="J9" s="107"/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/>
      <c r="H10" s="97"/>
      <c r="I10" s="99"/>
      <c r="J10" s="99"/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/>
      <c r="I11" s="107"/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0</v>
      </c>
      <c r="K25" s="189">
        <f>SUM($K8:$K24)</f>
        <v>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>
        <v>20000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0</v>
      </c>
      <c r="G39" s="373"/>
      <c r="H39" s="373"/>
      <c r="I39" s="374"/>
      <c r="J39" s="144" t="s">
        <v>64</v>
      </c>
      <c r="K39" s="145"/>
      <c r="L39" s="192">
        <f>SUM(L32:L38)</f>
        <v>20000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0</v>
      </c>
      <c r="G42" s="156"/>
      <c r="H42" s="157"/>
      <c r="I42" s="158"/>
      <c r="J42" s="154"/>
      <c r="K42" s="155" t="s">
        <v>69</v>
      </c>
      <c r="L42" s="193">
        <f>L39+L41</f>
        <v>20000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>
        <v>1</v>
      </c>
      <c r="F46" s="195">
        <f>D46*E46</f>
        <v>20000</v>
      </c>
      <c r="G46" s="397"/>
      <c r="H46" s="391"/>
      <c r="I46" s="392"/>
      <c r="J46" s="194">
        <v>500</v>
      </c>
      <c r="K46" s="163">
        <v>1</v>
      </c>
      <c r="L46" s="197">
        <f>J46*K46</f>
        <v>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2</v>
      </c>
      <c r="F47" s="195">
        <f>D47*E47</f>
        <v>20000</v>
      </c>
      <c r="G47" s="397"/>
      <c r="H47" s="391"/>
      <c r="I47" s="392"/>
      <c r="J47" s="194">
        <v>100</v>
      </c>
      <c r="K47" s="163">
        <v>1</v>
      </c>
      <c r="L47" s="197">
        <f>J47*K47</f>
        <v>100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8</v>
      </c>
      <c r="L48" s="197">
        <f>J48*K48</f>
        <v>400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5</v>
      </c>
      <c r="F50" s="195">
        <f>D50*E50</f>
        <v>5000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45000</v>
      </c>
      <c r="G51" s="156"/>
      <c r="H51" s="157"/>
      <c r="I51" s="158"/>
      <c r="J51" s="166"/>
      <c r="K51" s="167" t="s">
        <v>76</v>
      </c>
      <c r="L51" s="196">
        <f>SUM(L46:L50)</f>
        <v>1000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'25'!J69</f>
        <v>66000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107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46000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20000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46000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-20000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46000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4g+4DDWP2k3aZ6adEwwBxO5J8IVyMpxh8JLemt2RFKcFsfFaoEtNUioSmx6kxlHcGNs01Y5LoaEk2hqBxgpr7A==" saltValue="vULLbVllJomSFmpreFUQt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77" priority="1">
      <formula>$J71=0</formula>
    </cfRule>
    <cfRule type="expression" dxfId="76" priority="2">
      <formula>$J71&gt;=1</formula>
    </cfRule>
    <cfRule type="expression" dxfId="75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2E71-465E-4B28-9551-065BB870C9B2}">
  <sheetPr codeName="Hoja9">
    <tabColor theme="2"/>
    <pageSetUpPr fitToPage="1"/>
  </sheetPr>
  <dimension ref="A1:L89"/>
  <sheetViews>
    <sheetView showWhiteSpace="0" view="pageLayout" topLeftCell="A44" zoomScale="80" zoomScaleNormal="90" zoomScalePageLayoutView="80" workbookViewId="0">
      <selection activeCell="G68" sqref="G68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45621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587</v>
      </c>
      <c r="B8" s="97">
        <v>21165</v>
      </c>
      <c r="C8" s="98"/>
      <c r="D8" s="99">
        <v>12500</v>
      </c>
      <c r="E8" s="100"/>
      <c r="F8" s="101"/>
      <c r="G8" s="102">
        <v>582</v>
      </c>
      <c r="H8" s="103">
        <v>7230</v>
      </c>
      <c r="I8" s="104"/>
      <c r="J8" s="104">
        <v>67000</v>
      </c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>
        <v>589</v>
      </c>
      <c r="H9" s="106">
        <v>7231</v>
      </c>
      <c r="I9" s="108"/>
      <c r="J9" s="107">
        <v>85000</v>
      </c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7038092</v>
      </c>
      <c r="H10" s="97">
        <v>7232</v>
      </c>
      <c r="I10" s="99"/>
      <c r="J10" s="99"/>
      <c r="K10" s="98"/>
      <c r="L10" s="98">
        <v>146420</v>
      </c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>
        <v>7081314</v>
      </c>
      <c r="H11" s="106">
        <v>7232</v>
      </c>
      <c r="I11" s="107"/>
      <c r="J11" s="108"/>
      <c r="K11" s="107"/>
      <c r="L11" s="107">
        <v>250000</v>
      </c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584</v>
      </c>
      <c r="H12" s="97">
        <v>7233</v>
      </c>
      <c r="I12" s="98"/>
      <c r="J12" s="99">
        <v>10000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>
        <v>585</v>
      </c>
      <c r="H13" s="106">
        <v>7234</v>
      </c>
      <c r="I13" s="108"/>
      <c r="J13" s="107">
        <v>100000</v>
      </c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>
        <v>7235</v>
      </c>
      <c r="I14" s="98">
        <v>17990</v>
      </c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>
        <v>586</v>
      </c>
      <c r="H15" s="106">
        <v>7236</v>
      </c>
      <c r="I15" s="107"/>
      <c r="J15" s="107">
        <v>31500</v>
      </c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>
        <v>587</v>
      </c>
      <c r="H16" s="97">
        <v>7237</v>
      </c>
      <c r="I16" s="98"/>
      <c r="J16" s="98">
        <v>17990</v>
      </c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>
        <v>7238</v>
      </c>
      <c r="I17" s="107">
        <v>17990</v>
      </c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>
        <v>589</v>
      </c>
      <c r="H18" s="97">
        <v>7239</v>
      </c>
      <c r="I18" s="98"/>
      <c r="J18" s="98">
        <v>116500</v>
      </c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>
        <v>588</v>
      </c>
      <c r="H19" s="113">
        <v>7240</v>
      </c>
      <c r="I19" s="114"/>
      <c r="J19" s="114">
        <v>10000</v>
      </c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12500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35980</v>
      </c>
      <c r="J25" s="189">
        <f>SUM($J8:$J24)</f>
        <v>437990</v>
      </c>
      <c r="K25" s="189">
        <f>SUM($K8:$K24)</f>
        <v>0</v>
      </c>
      <c r="L25" s="189">
        <f>SUM($L8:$L24)</f>
        <v>396420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882890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35980</v>
      </c>
      <c r="G32" s="373"/>
      <c r="H32" s="373"/>
      <c r="I32" s="374"/>
      <c r="J32" s="137" t="s">
        <v>10</v>
      </c>
      <c r="K32" s="138"/>
      <c r="L32" s="139"/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450490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396420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882890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882890</v>
      </c>
      <c r="G42" s="156"/>
      <c r="H42" s="157"/>
      <c r="I42" s="158"/>
      <c r="J42" s="154"/>
      <c r="K42" s="155" t="s">
        <v>69</v>
      </c>
      <c r="L42" s="193">
        <f>L39+L41</f>
        <v>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>
        <v>2</v>
      </c>
      <c r="F46" s="195">
        <f>D46*E46</f>
        <v>40000</v>
      </c>
      <c r="G46" s="397"/>
      <c r="H46" s="391"/>
      <c r="I46" s="392"/>
      <c r="J46" s="194">
        <v>500</v>
      </c>
      <c r="K46" s="163">
        <v>1</v>
      </c>
      <c r="L46" s="197">
        <f>J46*K46</f>
        <v>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2</v>
      </c>
      <c r="F47" s="195">
        <f>D47*E47</f>
        <v>20000</v>
      </c>
      <c r="G47" s="397"/>
      <c r="H47" s="391"/>
      <c r="I47" s="392"/>
      <c r="J47" s="194">
        <v>100</v>
      </c>
      <c r="K47" s="163">
        <v>1</v>
      </c>
      <c r="L47" s="197">
        <f>J47*K47</f>
        <v>100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8</v>
      </c>
      <c r="L48" s="197">
        <f>J48*K48</f>
        <v>400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5</v>
      </c>
      <c r="F50" s="195">
        <f>D50*E50</f>
        <v>5000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65000</v>
      </c>
      <c r="G51" s="156"/>
      <c r="H51" s="157"/>
      <c r="I51" s="158"/>
      <c r="J51" s="166"/>
      <c r="K51" s="167" t="s">
        <v>76</v>
      </c>
      <c r="L51" s="196">
        <f>SUM(L46:L50)</f>
        <v>1000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'24'!J69</f>
        <v>30020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66000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882890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912910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882890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66000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N7OnEDPUBzeLbrESFi/tD14mUhoQkTBLKtK9wWw7VMNV1x2/cRCPKiI2SvAgV0XWhIw1goGIczRXv/kDz3NuTw==" saltValue="OJ5my1oZ6H9PteULDMZbn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74" priority="1">
      <formula>$J71=0</formula>
    </cfRule>
    <cfRule type="expression" dxfId="73" priority="2">
      <formula>$J71&gt;=1</formula>
    </cfRule>
    <cfRule type="expression" dxfId="72" priority="3">
      <formula>$J71&lt;=-1</formula>
    </cfRule>
  </conditionalFormatting>
  <pageMargins left="0.25" right="0.25" top="0.75" bottom="0.75" header="0.3" footer="0.3"/>
  <pageSetup paperSize="5" scale="61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E1EA-DE45-4D0F-9C87-180B01E43F6E}">
  <sheetPr codeName="Hoja10">
    <tabColor theme="2"/>
    <pageSetUpPr fitToPage="1"/>
  </sheetPr>
  <dimension ref="A1:L89"/>
  <sheetViews>
    <sheetView showWhiteSpace="0" view="pageLayout" zoomScale="80" zoomScaleNormal="90" zoomScalePageLayoutView="80" workbookViewId="0">
      <selection activeCell="A4" sqref="A4:L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/>
      <c r="D1" s="351"/>
      <c r="E1" s="352"/>
      <c r="F1" s="348" t="s">
        <v>39</v>
      </c>
      <c r="G1" s="353"/>
      <c r="H1" s="349"/>
      <c r="I1" s="354"/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/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/>
      <c r="H8" s="103"/>
      <c r="I8" s="104"/>
      <c r="J8" s="104"/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/>
      <c r="H9" s="106"/>
      <c r="I9" s="108"/>
      <c r="J9" s="107"/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/>
      <c r="H10" s="97"/>
      <c r="I10" s="99"/>
      <c r="J10" s="99"/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/>
      <c r="I11" s="107"/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0</v>
      </c>
      <c r="K25" s="189">
        <f>SUM($K8:$K24)</f>
        <v>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/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0</v>
      </c>
      <c r="G42" s="156"/>
      <c r="H42" s="157"/>
      <c r="I42" s="158"/>
      <c r="J42" s="154"/>
      <c r="K42" s="155" t="s">
        <v>69</v>
      </c>
      <c r="L42" s="193">
        <f>L39+L41</f>
        <v>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/>
      <c r="L47" s="197">
        <f>J47*K47</f>
        <v>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/>
      <c r="L48" s="197">
        <f>J48*K48</f>
        <v>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/>
      <c r="F50" s="195">
        <f>D50*E50</f>
        <v>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0</v>
      </c>
      <c r="G51" s="156"/>
      <c r="H51" s="157"/>
      <c r="I51" s="158"/>
      <c r="J51" s="166"/>
      <c r="K51" s="167" t="s">
        <v>76</v>
      </c>
      <c r="L51" s="196">
        <f>SUM(L46:L50)</f>
        <v>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'23'!J69</f>
        <v>30020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30020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30020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-30020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pbqU+uS4WkEjD/b4el0Ub6cgRZx8IPkt2XVrFHzocFk4vwi4sRQbNCCsZYxyqOXpzfitcSTH0f5iL0Q2YUnM5A==" saltValue="DyWHgelSO9+uCH6Q3Xj28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71" priority="1">
      <formula>$J71=0</formula>
    </cfRule>
    <cfRule type="expression" dxfId="70" priority="2">
      <formula>$J71&gt;=1</formula>
    </cfRule>
    <cfRule type="expression" dxfId="69" priority="3">
      <formula>$J71&lt;=-1</formula>
    </cfRule>
  </conditionalFormatting>
  <pageMargins left="0.23622047244094491" right="0.23622047244094491" top="0.74803149606299213" bottom="0.74803149606299213" header="0.31496062992125984" footer="0.31496062992125984"/>
  <pageSetup paperSize="9" scale="18" fitToHeight="0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CE1F-9761-4A85-BD81-1645BD3A8362}">
  <sheetPr codeName="Hoja11">
    <tabColor theme="2"/>
    <pageSetUpPr fitToPage="1"/>
  </sheetPr>
  <dimension ref="A1:L89"/>
  <sheetViews>
    <sheetView showWhiteSpace="0" view="pageLayout" topLeftCell="A46" zoomScale="80" zoomScaleNormal="90" zoomScalePageLayoutView="80" workbookViewId="0">
      <selection activeCell="F57" sqref="F57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45619</v>
      </c>
      <c r="D1" s="351"/>
      <c r="E1" s="352"/>
      <c r="F1" s="348" t="s">
        <v>39</v>
      </c>
      <c r="G1" s="353"/>
      <c r="H1" s="349"/>
      <c r="I1" s="354" t="s">
        <v>85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576</v>
      </c>
      <c r="B8" s="97">
        <v>21160</v>
      </c>
      <c r="C8" s="98"/>
      <c r="D8" s="99">
        <v>14400</v>
      </c>
      <c r="E8" s="100"/>
      <c r="F8" s="101"/>
      <c r="G8" s="102">
        <v>575</v>
      </c>
      <c r="H8" s="103">
        <v>7225</v>
      </c>
      <c r="I8" s="104"/>
      <c r="J8" s="104"/>
      <c r="K8" s="98">
        <v>35000</v>
      </c>
      <c r="L8" s="98"/>
    </row>
    <row r="9" spans="1:12" ht="20.45" customHeight="1" x14ac:dyDescent="0.25">
      <c r="A9" s="105">
        <v>314</v>
      </c>
      <c r="B9" s="106">
        <v>21161</v>
      </c>
      <c r="C9" s="107"/>
      <c r="D9" s="108">
        <v>12700</v>
      </c>
      <c r="E9" s="109"/>
      <c r="F9" s="110"/>
      <c r="G9" s="111" t="s">
        <v>106</v>
      </c>
      <c r="H9" s="106">
        <v>7226</v>
      </c>
      <c r="I9" s="108"/>
      <c r="J9" s="107">
        <v>46500</v>
      </c>
      <c r="K9" s="107">
        <v>46500</v>
      </c>
      <c r="L9" s="107"/>
    </row>
    <row r="10" spans="1:12" ht="20.45" customHeight="1" x14ac:dyDescent="0.25">
      <c r="A10" s="96">
        <v>315</v>
      </c>
      <c r="B10" s="97">
        <v>21162</v>
      </c>
      <c r="C10" s="98"/>
      <c r="D10" s="99">
        <v>5300</v>
      </c>
      <c r="E10" s="100"/>
      <c r="F10" s="101"/>
      <c r="G10" s="102">
        <v>579</v>
      </c>
      <c r="H10" s="97">
        <v>7227</v>
      </c>
      <c r="I10" s="99"/>
      <c r="J10" s="99">
        <v>17990</v>
      </c>
      <c r="K10" s="98"/>
      <c r="L10" s="98"/>
    </row>
    <row r="11" spans="1:12" ht="20.45" customHeight="1" x14ac:dyDescent="0.25">
      <c r="A11" s="105">
        <v>7054446</v>
      </c>
      <c r="B11" s="106">
        <v>21163</v>
      </c>
      <c r="C11" s="107"/>
      <c r="D11" s="107"/>
      <c r="E11" s="109"/>
      <c r="F11" s="110">
        <v>12700</v>
      </c>
      <c r="G11" s="111">
        <v>580</v>
      </c>
      <c r="H11" s="106">
        <v>7228</v>
      </c>
      <c r="I11" s="107"/>
      <c r="J11" s="108">
        <v>20000</v>
      </c>
      <c r="K11" s="107"/>
      <c r="L11" s="107"/>
    </row>
    <row r="12" spans="1:12" ht="20.45" customHeight="1" x14ac:dyDescent="0.25">
      <c r="A12" s="96">
        <v>316</v>
      </c>
      <c r="B12" s="97">
        <v>21164</v>
      </c>
      <c r="C12" s="98"/>
      <c r="D12" s="98"/>
      <c r="E12" s="100">
        <v>20200</v>
      </c>
      <c r="F12" s="101"/>
      <c r="G12" s="102">
        <v>581</v>
      </c>
      <c r="H12" s="97">
        <v>7229</v>
      </c>
      <c r="I12" s="98"/>
      <c r="J12" s="99"/>
      <c r="K12" s="98">
        <v>30990</v>
      </c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32400</v>
      </c>
      <c r="E25" s="189">
        <f>SUM($E8:$E24)</f>
        <v>20200</v>
      </c>
      <c r="F25" s="189">
        <f>SUM($F8:$F24)</f>
        <v>12700</v>
      </c>
      <c r="G25" s="120"/>
      <c r="H25" s="119" t="s">
        <v>49</v>
      </c>
      <c r="I25" s="189">
        <f>SUM($I8:$I24)</f>
        <v>0</v>
      </c>
      <c r="J25" s="189">
        <f>SUM($J8:$J24)</f>
        <v>84490</v>
      </c>
      <c r="K25" s="189">
        <f>SUM($K8:$K24)</f>
        <v>112490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262280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>
        <v>10000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116890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132690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12700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262280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0</v>
      </c>
      <c r="G39" s="373"/>
      <c r="H39" s="373"/>
      <c r="I39" s="374"/>
      <c r="J39" s="144" t="s">
        <v>64</v>
      </c>
      <c r="K39" s="145"/>
      <c r="L39" s="192">
        <f>SUM(L32:L38)</f>
        <v>10000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262280</v>
      </c>
      <c r="G42" s="156"/>
      <c r="H42" s="157"/>
      <c r="I42" s="158"/>
      <c r="J42" s="154"/>
      <c r="K42" s="155" t="s">
        <v>69</v>
      </c>
      <c r="L42" s="193">
        <f>L39+L41</f>
        <v>10000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>
        <v>1</v>
      </c>
      <c r="F46" s="195">
        <f>D46*E46</f>
        <v>20000</v>
      </c>
      <c r="G46" s="397"/>
      <c r="H46" s="391"/>
      <c r="I46" s="392"/>
      <c r="J46" s="194">
        <v>500</v>
      </c>
      <c r="K46" s="163">
        <v>1</v>
      </c>
      <c r="L46" s="197">
        <f>J46*K46</f>
        <v>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>
        <v>1</v>
      </c>
      <c r="L47" s="197">
        <f>J47*K47</f>
        <v>100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8</v>
      </c>
      <c r="L48" s="197">
        <f>J48*K48</f>
        <v>400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>
        <v>1</v>
      </c>
      <c r="F49" s="195">
        <f>D49*E49</f>
        <v>2000</v>
      </c>
      <c r="G49" s="397"/>
      <c r="H49" s="391"/>
      <c r="I49" s="392"/>
      <c r="J49" s="194">
        <v>10</v>
      </c>
      <c r="K49" s="163">
        <v>2</v>
      </c>
      <c r="L49" s="197">
        <f>J49*K49</f>
        <v>20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7</v>
      </c>
      <c r="F50" s="195">
        <f>D50*E50</f>
        <v>7000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29000</v>
      </c>
      <c r="G51" s="156"/>
      <c r="H51" s="157"/>
      <c r="I51" s="158"/>
      <c r="J51" s="166"/>
      <c r="K51" s="167" t="s">
        <v>76</v>
      </c>
      <c r="L51" s="196">
        <f>SUM(L46:L50)</f>
        <v>1020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'22'!J69</f>
        <v>40020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30020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262280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10000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292300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252280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30020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Rrt5ahN7/EkZuWyh7M5jmo+jDc4PuqNPh6lQlzenxdBVRPi1vm1MCHNF7/jQ2xuh5/fsppwfhTXka62S7y5QuQ==" saltValue="zFeUXGUXasTpNWrmAiVXk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68" priority="1">
      <formula>$J71=0</formula>
    </cfRule>
    <cfRule type="expression" dxfId="67" priority="2">
      <formula>$J71&gt;=1</formula>
    </cfRule>
    <cfRule type="expression" dxfId="66" priority="3">
      <formula>$J71&lt;=-1</formula>
    </cfRule>
  </conditionalFormatting>
  <pageMargins left="0.25" right="0.25" top="0.75" bottom="0.75" header="0.3" footer="0.3"/>
  <pageSetup paperSize="9" scale="59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654C-EB92-4508-866C-65B3A47E3882}">
  <sheetPr codeName="Hoja12">
    <tabColor theme="2"/>
    <pageSetUpPr fitToPage="1"/>
  </sheetPr>
  <dimension ref="A1:L89"/>
  <sheetViews>
    <sheetView showWhiteSpace="0" view="pageLayout" topLeftCell="A51" zoomScale="80" zoomScaleNormal="90" zoomScalePageLayoutView="80" workbookViewId="0">
      <selection activeCell="D53" sqref="D53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45618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>
        <v>561631</v>
      </c>
      <c r="H8" s="103">
        <v>7224</v>
      </c>
      <c r="I8" s="104"/>
      <c r="J8" s="104"/>
      <c r="K8" s="98"/>
      <c r="L8" s="98">
        <v>25000</v>
      </c>
    </row>
    <row r="9" spans="1:12" ht="20.45" customHeight="1" x14ac:dyDescent="0.25">
      <c r="A9" s="105"/>
      <c r="B9" s="106"/>
      <c r="C9" s="107"/>
      <c r="D9" s="108"/>
      <c r="E9" s="109"/>
      <c r="F9" s="110"/>
      <c r="G9" s="111"/>
      <c r="H9" s="106"/>
      <c r="I9" s="108"/>
      <c r="J9" s="107"/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/>
      <c r="H10" s="97"/>
      <c r="I10" s="99"/>
      <c r="J10" s="99"/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/>
      <c r="I11" s="107"/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0</v>
      </c>
      <c r="K25" s="189">
        <f>SUM($K8:$K24)</f>
        <v>0</v>
      </c>
      <c r="L25" s="189">
        <f>SUM($L8:$L24)</f>
        <v>25000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25000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/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25000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25000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25000</v>
      </c>
      <c r="G42" s="156"/>
      <c r="H42" s="157"/>
      <c r="I42" s="158"/>
      <c r="J42" s="154"/>
      <c r="K42" s="155" t="s">
        <v>69</v>
      </c>
      <c r="L42" s="193">
        <f>L39+L41</f>
        <v>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>
        <v>1</v>
      </c>
      <c r="F46" s="195">
        <f>D46*E46</f>
        <v>20000</v>
      </c>
      <c r="G46" s="397"/>
      <c r="H46" s="391"/>
      <c r="I46" s="392"/>
      <c r="J46" s="194">
        <v>500</v>
      </c>
      <c r="K46" s="163">
        <v>1</v>
      </c>
      <c r="L46" s="197">
        <f>J46*K46</f>
        <v>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1</v>
      </c>
      <c r="F47" s="195">
        <f>D47*E47</f>
        <v>10000</v>
      </c>
      <c r="G47" s="397"/>
      <c r="H47" s="391"/>
      <c r="I47" s="392"/>
      <c r="J47" s="194">
        <v>100</v>
      </c>
      <c r="K47" s="163">
        <v>1</v>
      </c>
      <c r="L47" s="197">
        <f>J47*K47</f>
        <v>100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8</v>
      </c>
      <c r="L48" s="197">
        <f>J48*K48</f>
        <v>400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>
        <v>1</v>
      </c>
      <c r="F49" s="195">
        <f>D49*E49</f>
        <v>2000</v>
      </c>
      <c r="G49" s="397"/>
      <c r="H49" s="391"/>
      <c r="I49" s="392"/>
      <c r="J49" s="194">
        <v>10</v>
      </c>
      <c r="K49" s="163">
        <v>2</v>
      </c>
      <c r="L49" s="197">
        <f>J49*K49</f>
        <v>20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7</v>
      </c>
      <c r="F50" s="195">
        <f>D50*E50</f>
        <v>7000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39000</v>
      </c>
      <c r="G51" s="156"/>
      <c r="H51" s="157"/>
      <c r="I51" s="158"/>
      <c r="J51" s="166"/>
      <c r="K51" s="167" t="s">
        <v>76</v>
      </c>
      <c r="L51" s="196">
        <f>SUM(L46:L50)</f>
        <v>1020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'21'!J67</f>
        <v>40020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40020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25000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65020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25000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40020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yeRO1LonohtVOs3Pl/PNIyDCn8uOXGVdSeYu8ipXEuQNsopXFYWcgEbWRYzhtJ8cpnvfxpFYr6AINQ366rPqUQ==" saltValue="Mt3YMnyTbB1/r9yz9/jS7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65" priority="1">
      <formula>$J71=0</formula>
    </cfRule>
    <cfRule type="expression" dxfId="64" priority="2">
      <formula>$J71&gt;=1</formula>
    </cfRule>
    <cfRule type="expression" dxfId="63" priority="3">
      <formula>$J71&lt;=-1</formula>
    </cfRule>
  </conditionalFormatting>
  <pageMargins left="0.23622047244094491" right="0.23622047244094491" top="0.74803149606299213" bottom="0.74803149606299213" header="0.31496062992125984" footer="0.31496062992125984"/>
  <pageSetup paperSize="5" scale="61" fitToHeight="0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D15F-6B3C-41FE-ADAA-6C4C5AB096F3}">
  <sheetPr codeName="Hoja13">
    <tabColor theme="2"/>
    <pageSetUpPr fitToPage="1"/>
  </sheetPr>
  <dimension ref="A1:L87"/>
  <sheetViews>
    <sheetView view="pageLayout" zoomScale="80" zoomScaleNormal="90" zoomScalePageLayoutView="80" workbookViewId="0">
      <selection activeCell="F2" sqref="F2:H2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45617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104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>
        <v>570</v>
      </c>
      <c r="H8" s="103">
        <v>7219</v>
      </c>
      <c r="I8" s="104"/>
      <c r="J8" s="104">
        <v>10000</v>
      </c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>
        <v>571</v>
      </c>
      <c r="H9" s="106">
        <v>7220</v>
      </c>
      <c r="I9" s="108"/>
      <c r="J9" s="107">
        <v>17990</v>
      </c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572</v>
      </c>
      <c r="H10" s="97">
        <v>7221</v>
      </c>
      <c r="I10" s="99"/>
      <c r="J10" s="99"/>
      <c r="K10" s="98">
        <v>1000</v>
      </c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>
        <v>573</v>
      </c>
      <c r="H11" s="106">
        <v>7221</v>
      </c>
      <c r="I11" s="107"/>
      <c r="J11" s="108">
        <v>1000</v>
      </c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574</v>
      </c>
      <c r="H12" s="97">
        <v>7222</v>
      </c>
      <c r="I12" s="98"/>
      <c r="J12" s="99">
        <v>20000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>
        <v>7050042</v>
      </c>
      <c r="H13" s="106">
        <v>7223</v>
      </c>
      <c r="I13" s="108"/>
      <c r="J13" s="107"/>
      <c r="K13" s="107"/>
      <c r="L13" s="107">
        <v>49500</v>
      </c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25" customHeight="1" x14ac:dyDescent="0.25">
      <c r="A23" s="118"/>
      <c r="B23" s="119" t="s">
        <v>49</v>
      </c>
      <c r="C23" s="189">
        <f>SUM($C8:$C22)</f>
        <v>0</v>
      </c>
      <c r="D23" s="189">
        <f>SUM($D8:$D22)</f>
        <v>0</v>
      </c>
      <c r="E23" s="189">
        <f>SUM($E8:$E22)</f>
        <v>0</v>
      </c>
      <c r="F23" s="189">
        <f>SUM($F8:$F22)</f>
        <v>0</v>
      </c>
      <c r="G23" s="120"/>
      <c r="H23" s="119" t="s">
        <v>49</v>
      </c>
      <c r="I23" s="189">
        <f>SUM($I8:$I22)</f>
        <v>0</v>
      </c>
      <c r="J23" s="189">
        <f>SUM($J8:$J22)</f>
        <v>48990</v>
      </c>
      <c r="K23" s="189">
        <f>SUM($K8:$K22)</f>
        <v>1000</v>
      </c>
      <c r="L23" s="189">
        <f>SUM($L8:$L22)</f>
        <v>49500</v>
      </c>
    </row>
    <row r="24" spans="1:12" ht="3.75" customHeight="1" x14ac:dyDescent="0.25">
      <c r="A24" s="118"/>
      <c r="B24" s="121"/>
      <c r="C24" s="122"/>
      <c r="D24" s="122"/>
      <c r="E24" s="122"/>
      <c r="F24" s="123"/>
      <c r="G24" s="118"/>
      <c r="H24" s="121"/>
      <c r="I24" s="124"/>
      <c r="J24" s="124"/>
      <c r="K24" s="124"/>
      <c r="L24" s="124"/>
    </row>
    <row r="25" spans="1:12" ht="21.75" customHeight="1" x14ac:dyDescent="0.25">
      <c r="A25" s="118"/>
      <c r="B25" s="121"/>
      <c r="C25" s="122"/>
      <c r="D25" s="122"/>
      <c r="E25" s="122"/>
      <c r="F25" s="123"/>
      <c r="G25" s="118"/>
      <c r="H25" s="121"/>
      <c r="I25" s="124"/>
      <c r="J25" s="125"/>
      <c r="K25" s="126" t="s">
        <v>50</v>
      </c>
      <c r="L25" s="190">
        <f>$C$23+$D$23+$E$23+$F$23+$I$23+$J$23+$K$23+$L$23</f>
        <v>99490</v>
      </c>
    </row>
    <row r="26" spans="1:12" ht="12" customHeight="1" x14ac:dyDescent="0.25">
      <c r="A26" s="118"/>
      <c r="B26" s="121"/>
      <c r="C26" s="122"/>
      <c r="D26" s="122"/>
      <c r="E26" s="122"/>
      <c r="F26" s="123"/>
      <c r="G26" s="118"/>
      <c r="H26" s="127"/>
      <c r="I26" s="122"/>
      <c r="J26" s="122"/>
      <c r="K26" s="122"/>
      <c r="L26" s="128"/>
    </row>
    <row r="27" spans="1:12" ht="26.25" customHeight="1" x14ac:dyDescent="0.25">
      <c r="A27" s="129"/>
      <c r="B27" s="130"/>
      <c r="C27" s="131"/>
      <c r="D27" s="131"/>
      <c r="E27" s="131"/>
      <c r="F27" s="132"/>
      <c r="G27" s="132" t="s">
        <v>51</v>
      </c>
      <c r="H27" s="130"/>
      <c r="I27" s="131"/>
      <c r="J27" s="131"/>
      <c r="K27" s="131"/>
      <c r="L27" s="131"/>
    </row>
    <row r="28" spans="1:12" ht="19.5" customHeight="1" x14ac:dyDescent="0.25">
      <c r="A28" s="369" t="s">
        <v>52</v>
      </c>
      <c r="B28" s="370"/>
      <c r="C28" s="371"/>
      <c r="D28" s="133"/>
      <c r="E28" s="134" t="s">
        <v>53</v>
      </c>
      <c r="F28" s="135"/>
      <c r="G28" s="370" t="s">
        <v>54</v>
      </c>
      <c r="H28" s="370"/>
      <c r="I28" s="371"/>
      <c r="J28" s="378" t="s">
        <v>55</v>
      </c>
      <c r="K28" s="379"/>
      <c r="L28" s="380"/>
    </row>
    <row r="29" spans="1:12" ht="18.75" customHeight="1" x14ac:dyDescent="0.25">
      <c r="A29" s="372"/>
      <c r="B29" s="373"/>
      <c r="C29" s="374"/>
      <c r="D29" s="381" t="s">
        <v>56</v>
      </c>
      <c r="E29" s="382"/>
      <c r="F29" s="136" t="s">
        <v>16</v>
      </c>
      <c r="G29" s="373"/>
      <c r="H29" s="373"/>
      <c r="I29" s="374"/>
      <c r="J29" s="381" t="s">
        <v>56</v>
      </c>
      <c r="K29" s="382"/>
      <c r="L29" s="136" t="s">
        <v>16</v>
      </c>
    </row>
    <row r="30" spans="1:12" ht="15.75" customHeight="1" x14ac:dyDescent="0.25">
      <c r="A30" s="372"/>
      <c r="B30" s="373"/>
      <c r="C30" s="374"/>
      <c r="D30" s="137" t="s">
        <v>57</v>
      </c>
      <c r="E30" s="138"/>
      <c r="F30" s="191">
        <f>C23+I23</f>
        <v>0</v>
      </c>
      <c r="G30" s="373"/>
      <c r="H30" s="373"/>
      <c r="I30" s="374"/>
      <c r="J30" s="137" t="s">
        <v>10</v>
      </c>
      <c r="K30" s="138"/>
      <c r="L30" s="139">
        <v>8200</v>
      </c>
    </row>
    <row r="31" spans="1:12" ht="15.75" customHeight="1" x14ac:dyDescent="0.25">
      <c r="A31" s="372"/>
      <c r="B31" s="373"/>
      <c r="C31" s="374"/>
      <c r="D31" s="137" t="s">
        <v>58</v>
      </c>
      <c r="E31" s="140"/>
      <c r="F31" s="191">
        <f>D23+J23</f>
        <v>48990</v>
      </c>
      <c r="G31" s="373"/>
      <c r="H31" s="373"/>
      <c r="I31" s="374"/>
      <c r="J31" s="141" t="s">
        <v>59</v>
      </c>
      <c r="K31" s="142"/>
      <c r="L31" s="143"/>
    </row>
    <row r="32" spans="1:12" ht="15.75" customHeight="1" x14ac:dyDescent="0.25">
      <c r="A32" s="372"/>
      <c r="B32" s="373"/>
      <c r="C32" s="374"/>
      <c r="D32" s="137" t="s">
        <v>60</v>
      </c>
      <c r="E32" s="140"/>
      <c r="F32" s="191">
        <f>E23+K23</f>
        <v>1000</v>
      </c>
      <c r="G32" s="373"/>
      <c r="H32" s="373"/>
      <c r="I32" s="374"/>
      <c r="J32" s="141" t="s">
        <v>61</v>
      </c>
      <c r="K32" s="142"/>
      <c r="L32" s="143"/>
    </row>
    <row r="33" spans="1:12" ht="15.75" customHeight="1" x14ac:dyDescent="0.25">
      <c r="A33" s="372"/>
      <c r="B33" s="373"/>
      <c r="C33" s="374"/>
      <c r="D33" s="137" t="s">
        <v>62</v>
      </c>
      <c r="E33" s="140"/>
      <c r="F33" s="191">
        <f>F23+L23</f>
        <v>49500</v>
      </c>
      <c r="G33" s="373"/>
      <c r="H33" s="373"/>
      <c r="I33" s="374"/>
      <c r="J33" s="141"/>
      <c r="K33" s="142"/>
      <c r="L33" s="143"/>
    </row>
    <row r="34" spans="1:12" ht="15.75" customHeight="1" x14ac:dyDescent="0.25">
      <c r="A34" s="372"/>
      <c r="B34" s="373"/>
      <c r="C34" s="374"/>
      <c r="D34" s="144" t="s">
        <v>50</v>
      </c>
      <c r="E34" s="145"/>
      <c r="F34" s="192">
        <f>SUM(F30:F33)</f>
        <v>99490</v>
      </c>
      <c r="G34" s="373"/>
      <c r="H34" s="373"/>
      <c r="I34" s="374"/>
      <c r="J34" s="141"/>
      <c r="K34" s="142"/>
      <c r="L34" s="143"/>
    </row>
    <row r="35" spans="1:12" ht="15.75" customHeight="1" x14ac:dyDescent="0.25">
      <c r="A35" s="372"/>
      <c r="B35" s="373"/>
      <c r="C35" s="374"/>
      <c r="D35" s="383" t="s">
        <v>63</v>
      </c>
      <c r="E35" s="384"/>
      <c r="F35" s="385"/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381" t="s">
        <v>56</v>
      </c>
      <c r="E36" s="382"/>
      <c r="F36" s="136" t="s">
        <v>16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146" t="s">
        <v>10</v>
      </c>
      <c r="E37" s="147"/>
      <c r="F37" s="148"/>
      <c r="G37" s="373"/>
      <c r="H37" s="373"/>
      <c r="I37" s="374"/>
      <c r="J37" s="144" t="s">
        <v>64</v>
      </c>
      <c r="K37" s="145"/>
      <c r="L37" s="192">
        <f>SUM(L30:L36)</f>
        <v>8200</v>
      </c>
    </row>
    <row r="38" spans="1:12" ht="15.75" customHeight="1" x14ac:dyDescent="0.25">
      <c r="A38" s="372"/>
      <c r="B38" s="373"/>
      <c r="C38" s="374"/>
      <c r="D38" s="149" t="s">
        <v>61</v>
      </c>
      <c r="E38" s="150"/>
      <c r="F38" s="151"/>
      <c r="G38" s="373"/>
      <c r="H38" s="373"/>
      <c r="I38" s="374"/>
      <c r="J38" s="378" t="s">
        <v>65</v>
      </c>
      <c r="K38" s="379"/>
      <c r="L38" s="380"/>
    </row>
    <row r="39" spans="1:12" ht="18.75" customHeight="1" x14ac:dyDescent="0.25">
      <c r="A39" s="375"/>
      <c r="B39" s="376"/>
      <c r="C39" s="377"/>
      <c r="D39" s="144" t="s">
        <v>66</v>
      </c>
      <c r="E39" s="145"/>
      <c r="F39" s="192">
        <f>SUM(F37:F38)</f>
        <v>0</v>
      </c>
      <c r="G39" s="373"/>
      <c r="H39" s="373"/>
      <c r="I39" s="374"/>
      <c r="J39" s="141" t="s">
        <v>67</v>
      </c>
      <c r="K39" s="150"/>
      <c r="L39" s="151"/>
    </row>
    <row r="40" spans="1:12" ht="15.75" customHeight="1" x14ac:dyDescent="0.25">
      <c r="A40" s="118"/>
      <c r="B40" s="152"/>
      <c r="C40" s="153"/>
      <c r="D40" s="154"/>
      <c r="E40" s="155" t="s">
        <v>68</v>
      </c>
      <c r="F40" s="193">
        <f>F34+F39</f>
        <v>99490</v>
      </c>
      <c r="G40" s="156"/>
      <c r="H40" s="157"/>
      <c r="I40" s="158"/>
      <c r="J40" s="154"/>
      <c r="K40" s="155" t="s">
        <v>69</v>
      </c>
      <c r="L40" s="193">
        <f>L37+L39</f>
        <v>8200</v>
      </c>
    </row>
    <row r="41" spans="1:12" ht="11.25" customHeight="1" x14ac:dyDescent="0.25">
      <c r="A41" s="118"/>
      <c r="B41" s="121"/>
      <c r="C41" s="123"/>
      <c r="D41" s="123"/>
      <c r="E41" s="123"/>
      <c r="F41" s="123"/>
      <c r="G41" s="159"/>
      <c r="H41" s="160"/>
      <c r="I41" s="386"/>
      <c r="J41" s="386"/>
      <c r="K41" s="122"/>
      <c r="L41" s="122"/>
    </row>
    <row r="42" spans="1:12" ht="28.5" x14ac:dyDescent="0.25">
      <c r="A42" s="129"/>
      <c r="B42" s="130"/>
      <c r="C42" s="131"/>
      <c r="D42" s="131"/>
      <c r="E42" s="131"/>
      <c r="F42" s="132"/>
      <c r="G42" s="132" t="s">
        <v>70</v>
      </c>
      <c r="H42" s="130"/>
      <c r="I42" s="131"/>
      <c r="J42" s="131"/>
      <c r="K42" s="131"/>
      <c r="L42" s="131"/>
    </row>
    <row r="43" spans="1:12" ht="17.100000000000001" customHeight="1" x14ac:dyDescent="0.25">
      <c r="A43" s="387" t="s">
        <v>71</v>
      </c>
      <c r="B43" s="388"/>
      <c r="C43" s="389"/>
      <c r="D43" s="161" t="s">
        <v>72</v>
      </c>
      <c r="E43" s="161" t="s">
        <v>73</v>
      </c>
      <c r="F43" s="162" t="s">
        <v>16</v>
      </c>
      <c r="G43" s="396" t="s">
        <v>74</v>
      </c>
      <c r="H43" s="388"/>
      <c r="I43" s="389"/>
      <c r="J43" s="161" t="s">
        <v>72</v>
      </c>
      <c r="K43" s="161" t="s">
        <v>73</v>
      </c>
      <c r="L43" s="161" t="s">
        <v>16</v>
      </c>
    </row>
    <row r="44" spans="1:12" ht="17.100000000000001" customHeight="1" x14ac:dyDescent="0.25">
      <c r="A44" s="390"/>
      <c r="B44" s="391"/>
      <c r="C44" s="392"/>
      <c r="D44" s="194">
        <v>20000</v>
      </c>
      <c r="E44" s="163">
        <v>1</v>
      </c>
      <c r="F44" s="195">
        <f>D44*E44</f>
        <v>20000</v>
      </c>
      <c r="G44" s="397"/>
      <c r="H44" s="391"/>
      <c r="I44" s="392"/>
      <c r="J44" s="194">
        <v>500</v>
      </c>
      <c r="K44" s="163">
        <v>1</v>
      </c>
      <c r="L44" s="197">
        <f>J44*K44</f>
        <v>500</v>
      </c>
    </row>
    <row r="45" spans="1:12" ht="17.100000000000001" customHeight="1" x14ac:dyDescent="0.25">
      <c r="A45" s="390"/>
      <c r="B45" s="391"/>
      <c r="C45" s="392"/>
      <c r="D45" s="194">
        <v>10000</v>
      </c>
      <c r="E45" s="163">
        <v>1</v>
      </c>
      <c r="F45" s="195">
        <f>D45*E45</f>
        <v>10000</v>
      </c>
      <c r="G45" s="397"/>
      <c r="H45" s="391"/>
      <c r="I45" s="392"/>
      <c r="J45" s="194">
        <v>100</v>
      </c>
      <c r="K45" s="163">
        <v>1</v>
      </c>
      <c r="L45" s="197">
        <f>J45*K45</f>
        <v>100</v>
      </c>
    </row>
    <row r="46" spans="1:12" ht="17.100000000000001" customHeight="1" x14ac:dyDescent="0.25">
      <c r="A46" s="390"/>
      <c r="B46" s="391"/>
      <c r="C46" s="392"/>
      <c r="D46" s="194">
        <v>5000</v>
      </c>
      <c r="E46" s="163"/>
      <c r="F46" s="195">
        <f>D46*E46</f>
        <v>0</v>
      </c>
      <c r="G46" s="397"/>
      <c r="H46" s="391"/>
      <c r="I46" s="392"/>
      <c r="J46" s="194">
        <v>50</v>
      </c>
      <c r="K46" s="163">
        <v>8</v>
      </c>
      <c r="L46" s="197">
        <f>J46*K46</f>
        <v>400</v>
      </c>
    </row>
    <row r="47" spans="1:12" ht="17.100000000000001" customHeight="1" x14ac:dyDescent="0.25">
      <c r="A47" s="390"/>
      <c r="B47" s="391"/>
      <c r="C47" s="392"/>
      <c r="D47" s="194">
        <v>2000</v>
      </c>
      <c r="E47" s="163">
        <v>1</v>
      </c>
      <c r="F47" s="195">
        <f>D47*E47</f>
        <v>2000</v>
      </c>
      <c r="G47" s="397"/>
      <c r="H47" s="391"/>
      <c r="I47" s="392"/>
      <c r="J47" s="194">
        <v>10</v>
      </c>
      <c r="K47" s="163">
        <v>2</v>
      </c>
      <c r="L47" s="197">
        <f>J47*K47</f>
        <v>20</v>
      </c>
    </row>
    <row r="48" spans="1:12" ht="17.100000000000001" customHeight="1" x14ac:dyDescent="0.25">
      <c r="A48" s="393"/>
      <c r="B48" s="394"/>
      <c r="C48" s="395"/>
      <c r="D48" s="194">
        <v>1000</v>
      </c>
      <c r="E48" s="163">
        <v>7</v>
      </c>
      <c r="F48" s="195">
        <f>D48*E48</f>
        <v>7000</v>
      </c>
      <c r="G48" s="398"/>
      <c r="H48" s="394"/>
      <c r="I48" s="395"/>
      <c r="J48" s="194"/>
      <c r="K48" s="164"/>
      <c r="L48" s="197"/>
    </row>
    <row r="49" spans="1:12" ht="18.75" x14ac:dyDescent="0.25">
      <c r="A49" s="118"/>
      <c r="B49" s="121"/>
      <c r="C49" s="165"/>
      <c r="D49" s="166"/>
      <c r="E49" s="167" t="s">
        <v>75</v>
      </c>
      <c r="F49" s="196">
        <f>SUM(F44:F48)</f>
        <v>39000</v>
      </c>
      <c r="G49" s="156"/>
      <c r="H49" s="157"/>
      <c r="I49" s="158"/>
      <c r="J49" s="166"/>
      <c r="K49" s="167" t="s">
        <v>76</v>
      </c>
      <c r="L49" s="196">
        <f>SUM(L44:L48)</f>
        <v>1020</v>
      </c>
    </row>
    <row r="50" spans="1:12" ht="18.75" x14ac:dyDescent="0.25">
      <c r="A50" s="118"/>
      <c r="B50" s="121"/>
      <c r="C50" s="123"/>
      <c r="D50" s="123"/>
      <c r="E50" s="123"/>
      <c r="F50" s="123"/>
      <c r="G50" s="118"/>
      <c r="H50" s="121"/>
      <c r="I50" s="165"/>
      <c r="J50" s="165"/>
      <c r="K50" s="122"/>
      <c r="L50" s="122"/>
    </row>
    <row r="51" spans="1:12" ht="18" customHeight="1" x14ac:dyDescent="0.25">
      <c r="A51" s="118"/>
      <c r="B51" s="121"/>
      <c r="C51" s="123"/>
      <c r="D51" s="123"/>
      <c r="E51" s="123"/>
      <c r="F51" s="123"/>
      <c r="G51" s="168"/>
      <c r="H51" s="168"/>
      <c r="I51" s="169" t="s">
        <v>77</v>
      </c>
      <c r="J51" s="170"/>
      <c r="K51" s="168"/>
      <c r="L51" s="122"/>
    </row>
    <row r="52" spans="1:12" ht="4.5" customHeight="1" x14ac:dyDescent="0.25">
      <c r="A52" s="118"/>
      <c r="B52" s="121"/>
      <c r="C52" s="123"/>
      <c r="D52" s="123"/>
      <c r="E52" s="123"/>
      <c r="F52" s="123"/>
      <c r="G52" s="118"/>
      <c r="H52" s="121"/>
      <c r="I52" s="122"/>
      <c r="J52" s="122"/>
      <c r="K52" s="122"/>
      <c r="L52" s="122"/>
    </row>
    <row r="53" spans="1:12" ht="15" customHeight="1" x14ac:dyDescent="0.25">
      <c r="A53" s="171"/>
      <c r="B53" s="399" t="s">
        <v>78</v>
      </c>
      <c r="C53" s="399"/>
      <c r="D53" s="399"/>
      <c r="E53" s="399"/>
      <c r="F53" s="123"/>
      <c r="G53" s="172"/>
      <c r="H53" s="172"/>
      <c r="I53" s="173" t="s">
        <v>79</v>
      </c>
      <c r="J53" s="198">
        <f>'20'!J67</f>
        <v>48220</v>
      </c>
      <c r="K53" s="174"/>
      <c r="L53" s="122"/>
    </row>
    <row r="54" spans="1:12" ht="4.5" customHeight="1" x14ac:dyDescent="0.25">
      <c r="A54" s="171"/>
      <c r="B54" s="399"/>
      <c r="C54" s="399"/>
      <c r="D54" s="399"/>
      <c r="E54" s="399"/>
      <c r="F54" s="123"/>
      <c r="G54" s="118"/>
      <c r="H54" s="121"/>
      <c r="I54" s="122"/>
      <c r="J54" s="199"/>
      <c r="K54" s="122"/>
      <c r="L54" s="122"/>
    </row>
    <row r="55" spans="1:12" ht="18.75" customHeight="1" x14ac:dyDescent="0.25">
      <c r="A55" s="175"/>
      <c r="B55" s="400" t="s">
        <v>105</v>
      </c>
      <c r="C55" s="400"/>
      <c r="D55" s="400"/>
      <c r="E55" s="400"/>
      <c r="F55" s="123"/>
      <c r="G55" s="176"/>
      <c r="H55" s="176"/>
      <c r="I55" s="177" t="s">
        <v>80</v>
      </c>
      <c r="J55" s="200">
        <f>F49+L49</f>
        <v>40020</v>
      </c>
      <c r="K55" s="178"/>
      <c r="L55" s="122"/>
    </row>
    <row r="56" spans="1:12" ht="4.5" customHeight="1" x14ac:dyDescent="0.25">
      <c r="A56" s="175"/>
      <c r="B56" s="400"/>
      <c r="C56" s="400"/>
      <c r="D56" s="400"/>
      <c r="E56" s="400"/>
      <c r="F56" s="123"/>
      <c r="G56" s="118"/>
      <c r="H56" s="159"/>
      <c r="I56" s="160"/>
      <c r="J56" s="201"/>
      <c r="K56" s="165"/>
      <c r="L56" s="122"/>
    </row>
    <row r="57" spans="1:12" ht="18.75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50</v>
      </c>
      <c r="J57" s="200">
        <f>L25</f>
        <v>99490</v>
      </c>
      <c r="K57" s="178"/>
      <c r="L57" s="128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23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9"/>
      <c r="H59" s="179"/>
      <c r="I59" s="180" t="s">
        <v>63</v>
      </c>
      <c r="J59" s="202">
        <f>F37</f>
        <v>0</v>
      </c>
      <c r="K59" s="178"/>
      <c r="L59" s="122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18"/>
      <c r="I60" s="121"/>
      <c r="J60" s="199"/>
      <c r="K60" s="122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55</v>
      </c>
      <c r="J61" s="202">
        <f>L30+L39</f>
        <v>8200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81</v>
      </c>
      <c r="J63" s="202">
        <f>J53+J57+J59-J61</f>
        <v>139510</v>
      </c>
      <c r="K63" s="181"/>
      <c r="L63" s="122"/>
    </row>
    <row r="64" spans="1:12" ht="4.5" customHeight="1" x14ac:dyDescent="0.25">
      <c r="A64" s="118"/>
      <c r="B64" s="400"/>
      <c r="C64" s="400"/>
      <c r="D64" s="400"/>
      <c r="E64" s="400"/>
      <c r="F64" s="123"/>
      <c r="G64" s="118"/>
      <c r="H64" s="121"/>
      <c r="I64" s="123"/>
      <c r="J64" s="199"/>
      <c r="K64" s="122"/>
      <c r="L64" s="122"/>
    </row>
    <row r="65" spans="1:12" ht="18.75" x14ac:dyDescent="0.25">
      <c r="A65" s="118"/>
      <c r="B65" s="400"/>
      <c r="C65" s="400"/>
      <c r="D65" s="400"/>
      <c r="E65" s="400"/>
      <c r="F65" s="123"/>
      <c r="G65" s="172"/>
      <c r="H65" s="172"/>
      <c r="I65" s="173" t="s">
        <v>82</v>
      </c>
      <c r="J65" s="202">
        <f>J63-J53</f>
        <v>91290</v>
      </c>
      <c r="K65" s="182"/>
      <c r="L65" s="122"/>
    </row>
    <row r="66" spans="1:12" ht="4.5" customHeight="1" x14ac:dyDescent="0.25">
      <c r="A66" s="175"/>
      <c r="B66" s="400"/>
      <c r="C66" s="400"/>
      <c r="D66" s="400"/>
      <c r="E66" s="400"/>
      <c r="F66" s="123"/>
      <c r="G66" s="118"/>
      <c r="H66" s="121"/>
      <c r="I66" s="121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6"/>
      <c r="H67" s="176"/>
      <c r="I67" s="177" t="s">
        <v>83</v>
      </c>
      <c r="J67" s="202">
        <f>J53+F30+(F37-(L30+L39))</f>
        <v>40020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customHeight="1" x14ac:dyDescent="0.25">
      <c r="A69" s="175"/>
      <c r="B69" s="400"/>
      <c r="C69" s="400"/>
      <c r="D69" s="400"/>
      <c r="E69" s="400"/>
      <c r="F69" s="123"/>
      <c r="G69" s="176"/>
      <c r="H69" s="176"/>
      <c r="I69" s="177" t="s">
        <v>84</v>
      </c>
      <c r="J69" s="203">
        <f>J55-J67</f>
        <v>0</v>
      </c>
      <c r="K69" s="183"/>
      <c r="L69" s="122"/>
    </row>
    <row r="70" spans="1:12" ht="15" customHeight="1" x14ac:dyDescent="0.25">
      <c r="A70" s="184"/>
      <c r="B70" s="185"/>
      <c r="C70" s="185"/>
      <c r="D70" s="185"/>
      <c r="E70" s="185"/>
      <c r="F70" s="186"/>
      <c r="G70" s="184"/>
      <c r="H70" s="187"/>
      <c r="I70" s="188"/>
      <c r="J70" s="188"/>
      <c r="K70" s="188"/>
      <c r="L70" s="188"/>
    </row>
    <row r="71" spans="1:12" ht="15" customHeight="1" x14ac:dyDescent="0.25">
      <c r="A71" s="184"/>
      <c r="B71" s="185"/>
      <c r="C71" s="185"/>
      <c r="D71" s="185"/>
      <c r="E71" s="185"/>
      <c r="F71" s="186"/>
      <c r="G71" s="184"/>
      <c r="H71" s="187"/>
      <c r="I71" s="188"/>
      <c r="J71" s="188"/>
      <c r="K71" s="188"/>
      <c r="L71" s="188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.7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4.2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x14ac:dyDescent="0.25">
      <c r="A76" s="1"/>
      <c r="B76" s="3"/>
      <c r="C76" s="4"/>
      <c r="D76" s="4"/>
      <c r="E76" s="4"/>
      <c r="F76" s="4"/>
      <c r="G76" s="1"/>
      <c r="H76" s="3"/>
      <c r="I76" s="5"/>
      <c r="J76" s="5"/>
      <c r="K76" s="5"/>
      <c r="L76" s="5"/>
    </row>
    <row r="77" spans="1:12" x14ac:dyDescent="0.25">
      <c r="B77" s="7"/>
      <c r="E77" s="8"/>
      <c r="F77" s="8"/>
    </row>
    <row r="78" spans="1:12" x14ac:dyDescent="0.25">
      <c r="B78" s="7"/>
      <c r="E78" s="8"/>
      <c r="F78" s="8"/>
      <c r="I78" s="8"/>
    </row>
    <row r="79" spans="1:12" x14ac:dyDescent="0.25">
      <c r="B79" s="7"/>
      <c r="E79" s="8"/>
      <c r="F79" s="8"/>
      <c r="I79" s="8"/>
    </row>
    <row r="80" spans="1:12" x14ac:dyDescent="0.25">
      <c r="B80" s="7"/>
      <c r="E80" s="8"/>
      <c r="F80" s="8"/>
      <c r="I80" s="8"/>
      <c r="J80" s="8"/>
      <c r="K80" s="8"/>
      <c r="L80" s="8"/>
    </row>
    <row r="81" spans="2:12" x14ac:dyDescent="0.25">
      <c r="B81" s="7"/>
      <c r="E81" s="8"/>
      <c r="F81" s="8"/>
      <c r="I81" s="8"/>
      <c r="J81" s="8"/>
      <c r="K81" s="8"/>
      <c r="L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</sheetData>
  <sheetProtection algorithmName="SHA-512" hashValue="3prZ/zSklbtOu2Q+gGJAPkgPjIv6g3q3EXOCZom8XcgNqJa9vZYpHOJHhUp0FDqXtLfq6hTFInit2kfWt8Wi3g==" saltValue="WAEGXxNdyxvV/50bO3ca6A==" spinCount="100000" sheet="1" objects="1" scenarios="1"/>
  <mergeCells count="29">
    <mergeCell ref="I41:J41"/>
    <mergeCell ref="A43:C48"/>
    <mergeCell ref="G43:I48"/>
    <mergeCell ref="B53:E54"/>
    <mergeCell ref="B55:E69"/>
    <mergeCell ref="A28:C39"/>
    <mergeCell ref="G28:I39"/>
    <mergeCell ref="J28:L28"/>
    <mergeCell ref="D29:E29"/>
    <mergeCell ref="J29:K29"/>
    <mergeCell ref="D35:F35"/>
    <mergeCell ref="D36:E36"/>
    <mergeCell ref="J38:L38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69">
    <cfRule type="expression" dxfId="62" priority="1">
      <formula>$J69=0</formula>
    </cfRule>
    <cfRule type="expression" dxfId="61" priority="2">
      <formula>$J69&gt;=1</formula>
    </cfRule>
    <cfRule type="expression" dxfId="60" priority="3">
      <formula>$J69&lt;=-1</formula>
    </cfRule>
  </conditionalFormatting>
  <pageMargins left="0.23622047244094491" right="0.23622047244094491" top="0.74803149606299213" bottom="0.74803149606299213" header="0.31496062992125984" footer="0.31496062992125984"/>
  <pageSetup paperSize="5" scale="61" fitToHeight="0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C72E-0101-4409-83D3-2855D783CC24}">
  <sheetPr codeName="Hoja14">
    <tabColor theme="2"/>
    <pageSetUpPr fitToPage="1"/>
  </sheetPr>
  <dimension ref="A1:L87"/>
  <sheetViews>
    <sheetView showWhiteSpace="0" view="pageLayout" zoomScale="80" zoomScaleNormal="90" zoomScalePageLayoutView="80" workbookViewId="0">
      <selection activeCell="E45" sqref="E4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45616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>
        <v>21159</v>
      </c>
      <c r="C8" s="98">
        <v>15200</v>
      </c>
      <c r="D8" s="99"/>
      <c r="E8" s="100"/>
      <c r="F8" s="101"/>
      <c r="G8" s="102">
        <v>566</v>
      </c>
      <c r="H8" s="103">
        <v>7214</v>
      </c>
      <c r="I8" s="104"/>
      <c r="J8" s="104">
        <v>32980</v>
      </c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>
        <v>567</v>
      </c>
      <c r="H9" s="106">
        <v>7215</v>
      </c>
      <c r="I9" s="108"/>
      <c r="J9" s="107">
        <v>14990</v>
      </c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568</v>
      </c>
      <c r="H10" s="97">
        <v>7216</v>
      </c>
      <c r="I10" s="99"/>
      <c r="J10" s="99">
        <v>14990</v>
      </c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>
        <v>7217</v>
      </c>
      <c r="I11" s="107">
        <v>20000</v>
      </c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569</v>
      </c>
      <c r="H12" s="97">
        <v>7218</v>
      </c>
      <c r="I12" s="98"/>
      <c r="J12" s="99"/>
      <c r="K12" s="98">
        <v>32980</v>
      </c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25" customHeight="1" x14ac:dyDescent="0.25">
      <c r="A23" s="118"/>
      <c r="B23" s="119" t="s">
        <v>49</v>
      </c>
      <c r="C23" s="189">
        <f>SUM($C8:$C22)</f>
        <v>15200</v>
      </c>
      <c r="D23" s="189">
        <f>SUM($D8:$D22)</f>
        <v>0</v>
      </c>
      <c r="E23" s="189">
        <f>SUM($E8:$E22)</f>
        <v>0</v>
      </c>
      <c r="F23" s="189">
        <f>SUM($F8:$F22)</f>
        <v>0</v>
      </c>
      <c r="G23" s="120"/>
      <c r="H23" s="119" t="s">
        <v>49</v>
      </c>
      <c r="I23" s="189">
        <f>SUM($I8:$I22)</f>
        <v>20000</v>
      </c>
      <c r="J23" s="189">
        <f>SUM($J8:$J22)</f>
        <v>62960</v>
      </c>
      <c r="K23" s="189">
        <f>SUM($K8:$K22)</f>
        <v>32980</v>
      </c>
      <c r="L23" s="189">
        <f>SUM($L8:$L22)</f>
        <v>0</v>
      </c>
    </row>
    <row r="24" spans="1:12" ht="3.75" customHeight="1" x14ac:dyDescent="0.25">
      <c r="A24" s="118"/>
      <c r="B24" s="121"/>
      <c r="C24" s="122"/>
      <c r="D24" s="122"/>
      <c r="E24" s="122"/>
      <c r="F24" s="123"/>
      <c r="G24" s="118"/>
      <c r="H24" s="121"/>
      <c r="I24" s="124"/>
      <c r="J24" s="124"/>
      <c r="K24" s="124"/>
      <c r="L24" s="124"/>
    </row>
    <row r="25" spans="1:12" ht="21.75" customHeight="1" x14ac:dyDescent="0.25">
      <c r="A25" s="118"/>
      <c r="B25" s="121"/>
      <c r="C25" s="122"/>
      <c r="D25" s="122"/>
      <c r="E25" s="122"/>
      <c r="F25" s="123"/>
      <c r="G25" s="118"/>
      <c r="H25" s="121"/>
      <c r="I25" s="124"/>
      <c r="J25" s="125"/>
      <c r="K25" s="126" t="s">
        <v>50</v>
      </c>
      <c r="L25" s="190">
        <f>$C$23+$D$23+$E$23+$F$23+$I$23+$J$23+$K$23+$L$23</f>
        <v>131140</v>
      </c>
    </row>
    <row r="26" spans="1:12" ht="12" customHeight="1" x14ac:dyDescent="0.25">
      <c r="A26" s="118"/>
      <c r="B26" s="121"/>
      <c r="C26" s="122"/>
      <c r="D26" s="122"/>
      <c r="E26" s="122"/>
      <c r="F26" s="123"/>
      <c r="G26" s="118"/>
      <c r="H26" s="127"/>
      <c r="I26" s="122"/>
      <c r="J26" s="122"/>
      <c r="K26" s="122"/>
      <c r="L26" s="128"/>
    </row>
    <row r="27" spans="1:12" ht="26.25" customHeight="1" x14ac:dyDescent="0.25">
      <c r="A27" s="129"/>
      <c r="B27" s="130"/>
      <c r="C27" s="131"/>
      <c r="D27" s="131"/>
      <c r="E27" s="131"/>
      <c r="F27" s="132"/>
      <c r="G27" s="132" t="s">
        <v>51</v>
      </c>
      <c r="H27" s="130"/>
      <c r="I27" s="131"/>
      <c r="J27" s="131"/>
      <c r="K27" s="131"/>
      <c r="L27" s="131"/>
    </row>
    <row r="28" spans="1:12" ht="19.5" customHeight="1" x14ac:dyDescent="0.25">
      <c r="A28" s="369" t="s">
        <v>52</v>
      </c>
      <c r="B28" s="370"/>
      <c r="C28" s="371"/>
      <c r="D28" s="133"/>
      <c r="E28" s="134" t="s">
        <v>53</v>
      </c>
      <c r="F28" s="135"/>
      <c r="G28" s="370" t="s">
        <v>54</v>
      </c>
      <c r="H28" s="370"/>
      <c r="I28" s="371"/>
      <c r="J28" s="378" t="s">
        <v>55</v>
      </c>
      <c r="K28" s="379"/>
      <c r="L28" s="380"/>
    </row>
    <row r="29" spans="1:12" ht="18.75" customHeight="1" x14ac:dyDescent="0.25">
      <c r="A29" s="372"/>
      <c r="B29" s="373"/>
      <c r="C29" s="374"/>
      <c r="D29" s="381" t="s">
        <v>56</v>
      </c>
      <c r="E29" s="382"/>
      <c r="F29" s="136" t="s">
        <v>16</v>
      </c>
      <c r="G29" s="373"/>
      <c r="H29" s="373"/>
      <c r="I29" s="374"/>
      <c r="J29" s="381" t="s">
        <v>56</v>
      </c>
      <c r="K29" s="382"/>
      <c r="L29" s="136" t="s">
        <v>16</v>
      </c>
    </row>
    <row r="30" spans="1:12" ht="15.75" customHeight="1" x14ac:dyDescent="0.25">
      <c r="A30" s="372"/>
      <c r="B30" s="373"/>
      <c r="C30" s="374"/>
      <c r="D30" s="137" t="s">
        <v>57</v>
      </c>
      <c r="E30" s="138"/>
      <c r="F30" s="191">
        <f>C23+I23</f>
        <v>35200</v>
      </c>
      <c r="G30" s="373"/>
      <c r="H30" s="373"/>
      <c r="I30" s="374"/>
      <c r="J30" s="137" t="s">
        <v>10</v>
      </c>
      <c r="K30" s="138"/>
      <c r="L30" s="139"/>
    </row>
    <row r="31" spans="1:12" ht="15.75" customHeight="1" x14ac:dyDescent="0.25">
      <c r="A31" s="372"/>
      <c r="B31" s="373"/>
      <c r="C31" s="374"/>
      <c r="D31" s="137" t="s">
        <v>58</v>
      </c>
      <c r="E31" s="140"/>
      <c r="F31" s="191">
        <f>D23+J23</f>
        <v>62960</v>
      </c>
      <c r="G31" s="373"/>
      <c r="H31" s="373"/>
      <c r="I31" s="374"/>
      <c r="J31" s="141" t="s">
        <v>59</v>
      </c>
      <c r="K31" s="142"/>
      <c r="L31" s="143"/>
    </row>
    <row r="32" spans="1:12" ht="15.75" customHeight="1" x14ac:dyDescent="0.25">
      <c r="A32" s="372"/>
      <c r="B32" s="373"/>
      <c r="C32" s="374"/>
      <c r="D32" s="137" t="s">
        <v>60</v>
      </c>
      <c r="E32" s="140"/>
      <c r="F32" s="191">
        <f>E23+K23</f>
        <v>32980</v>
      </c>
      <c r="G32" s="373"/>
      <c r="H32" s="373"/>
      <c r="I32" s="374"/>
      <c r="J32" s="141" t="s">
        <v>61</v>
      </c>
      <c r="K32" s="142"/>
      <c r="L32" s="143"/>
    </row>
    <row r="33" spans="1:12" ht="15.75" customHeight="1" x14ac:dyDescent="0.25">
      <c r="A33" s="372"/>
      <c r="B33" s="373"/>
      <c r="C33" s="374"/>
      <c r="D33" s="137" t="s">
        <v>62</v>
      </c>
      <c r="E33" s="140"/>
      <c r="F33" s="191">
        <f>F23+L23</f>
        <v>0</v>
      </c>
      <c r="G33" s="373"/>
      <c r="H33" s="373"/>
      <c r="I33" s="374"/>
      <c r="J33" s="141"/>
      <c r="K33" s="142"/>
      <c r="L33" s="143"/>
    </row>
    <row r="34" spans="1:12" ht="15.75" customHeight="1" x14ac:dyDescent="0.25">
      <c r="A34" s="372"/>
      <c r="B34" s="373"/>
      <c r="C34" s="374"/>
      <c r="D34" s="144" t="s">
        <v>50</v>
      </c>
      <c r="E34" s="145"/>
      <c r="F34" s="192">
        <f>SUM(F30:F33)</f>
        <v>131140</v>
      </c>
      <c r="G34" s="373"/>
      <c r="H34" s="373"/>
      <c r="I34" s="374"/>
      <c r="J34" s="141"/>
      <c r="K34" s="142"/>
      <c r="L34" s="143"/>
    </row>
    <row r="35" spans="1:12" ht="15.75" customHeight="1" x14ac:dyDescent="0.25">
      <c r="A35" s="372"/>
      <c r="B35" s="373"/>
      <c r="C35" s="374"/>
      <c r="D35" s="383" t="s">
        <v>63</v>
      </c>
      <c r="E35" s="384"/>
      <c r="F35" s="385"/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381" t="s">
        <v>56</v>
      </c>
      <c r="E36" s="382"/>
      <c r="F36" s="136" t="s">
        <v>16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146" t="s">
        <v>10</v>
      </c>
      <c r="E37" s="147"/>
      <c r="F37" s="148"/>
      <c r="G37" s="373"/>
      <c r="H37" s="373"/>
      <c r="I37" s="374"/>
      <c r="J37" s="144" t="s">
        <v>64</v>
      </c>
      <c r="K37" s="145"/>
      <c r="L37" s="192">
        <f>SUM(L30:L36)</f>
        <v>0</v>
      </c>
    </row>
    <row r="38" spans="1:12" ht="15.75" customHeight="1" x14ac:dyDescent="0.25">
      <c r="A38" s="372"/>
      <c r="B38" s="373"/>
      <c r="C38" s="374"/>
      <c r="D38" s="149" t="s">
        <v>61</v>
      </c>
      <c r="E38" s="150"/>
      <c r="F38" s="151"/>
      <c r="G38" s="373"/>
      <c r="H38" s="373"/>
      <c r="I38" s="374"/>
      <c r="J38" s="378" t="s">
        <v>65</v>
      </c>
      <c r="K38" s="379"/>
      <c r="L38" s="380"/>
    </row>
    <row r="39" spans="1:12" ht="18.75" customHeight="1" x14ac:dyDescent="0.25">
      <c r="A39" s="375"/>
      <c r="B39" s="376"/>
      <c r="C39" s="377"/>
      <c r="D39" s="144" t="s">
        <v>66</v>
      </c>
      <c r="E39" s="145"/>
      <c r="F39" s="192">
        <f>SUM(F37:F38)</f>
        <v>0</v>
      </c>
      <c r="G39" s="373"/>
      <c r="H39" s="373"/>
      <c r="I39" s="374"/>
      <c r="J39" s="141" t="s">
        <v>67</v>
      </c>
      <c r="K39" s="150"/>
      <c r="L39" s="151"/>
    </row>
    <row r="40" spans="1:12" ht="15.75" customHeight="1" x14ac:dyDescent="0.25">
      <c r="A40" s="118"/>
      <c r="B40" s="152"/>
      <c r="C40" s="153"/>
      <c r="D40" s="154"/>
      <c r="E40" s="155" t="s">
        <v>68</v>
      </c>
      <c r="F40" s="193">
        <f>F34+F39</f>
        <v>131140</v>
      </c>
      <c r="G40" s="156"/>
      <c r="H40" s="157"/>
      <c r="I40" s="158"/>
      <c r="J40" s="154"/>
      <c r="K40" s="155" t="s">
        <v>69</v>
      </c>
      <c r="L40" s="193">
        <f>L37+L39</f>
        <v>0</v>
      </c>
    </row>
    <row r="41" spans="1:12" ht="11.25" customHeight="1" x14ac:dyDescent="0.25">
      <c r="A41" s="118"/>
      <c r="B41" s="121"/>
      <c r="C41" s="123"/>
      <c r="D41" s="123"/>
      <c r="E41" s="123"/>
      <c r="F41" s="123"/>
      <c r="G41" s="159"/>
      <c r="H41" s="160"/>
      <c r="I41" s="386"/>
      <c r="J41" s="386"/>
      <c r="K41" s="122"/>
      <c r="L41" s="122"/>
    </row>
    <row r="42" spans="1:12" ht="28.5" x14ac:dyDescent="0.25">
      <c r="A42" s="129"/>
      <c r="B42" s="130"/>
      <c r="C42" s="131"/>
      <c r="D42" s="131"/>
      <c r="E42" s="131"/>
      <c r="F42" s="132"/>
      <c r="G42" s="132" t="s">
        <v>70</v>
      </c>
      <c r="H42" s="130"/>
      <c r="I42" s="131"/>
      <c r="J42" s="131"/>
      <c r="K42" s="131"/>
      <c r="L42" s="131"/>
    </row>
    <row r="43" spans="1:12" ht="17.100000000000001" customHeight="1" x14ac:dyDescent="0.25">
      <c r="A43" s="387" t="s">
        <v>71</v>
      </c>
      <c r="B43" s="388"/>
      <c r="C43" s="389"/>
      <c r="D43" s="161" t="s">
        <v>72</v>
      </c>
      <c r="E43" s="161" t="s">
        <v>73</v>
      </c>
      <c r="F43" s="162" t="s">
        <v>16</v>
      </c>
      <c r="G43" s="396" t="s">
        <v>74</v>
      </c>
      <c r="H43" s="388"/>
      <c r="I43" s="389"/>
      <c r="J43" s="161" t="s">
        <v>72</v>
      </c>
      <c r="K43" s="161" t="s">
        <v>73</v>
      </c>
      <c r="L43" s="161" t="s">
        <v>16</v>
      </c>
    </row>
    <row r="44" spans="1:12" ht="17.100000000000001" customHeight="1" x14ac:dyDescent="0.25">
      <c r="A44" s="390"/>
      <c r="B44" s="391"/>
      <c r="C44" s="392"/>
      <c r="D44" s="194">
        <v>20000</v>
      </c>
      <c r="E44" s="163">
        <v>2</v>
      </c>
      <c r="F44" s="195">
        <f>D44*E44</f>
        <v>40000</v>
      </c>
      <c r="G44" s="397"/>
      <c r="H44" s="391"/>
      <c r="I44" s="392"/>
      <c r="J44" s="194">
        <v>500</v>
      </c>
      <c r="K44" s="163">
        <v>1</v>
      </c>
      <c r="L44" s="197">
        <f>J44*K44</f>
        <v>500</v>
      </c>
    </row>
    <row r="45" spans="1:12" ht="17.100000000000001" customHeight="1" x14ac:dyDescent="0.25">
      <c r="A45" s="390"/>
      <c r="B45" s="391"/>
      <c r="C45" s="392"/>
      <c r="D45" s="194">
        <v>10000</v>
      </c>
      <c r="E45" s="163"/>
      <c r="F45" s="195">
        <f>D45*E45</f>
        <v>0</v>
      </c>
      <c r="G45" s="397"/>
      <c r="H45" s="391"/>
      <c r="I45" s="392"/>
      <c r="J45" s="194">
        <v>100</v>
      </c>
      <c r="K45" s="163">
        <v>3</v>
      </c>
      <c r="L45" s="197">
        <f>J45*K45</f>
        <v>300</v>
      </c>
    </row>
    <row r="46" spans="1:12" ht="17.100000000000001" customHeight="1" x14ac:dyDescent="0.25">
      <c r="A46" s="390"/>
      <c r="B46" s="391"/>
      <c r="C46" s="392"/>
      <c r="D46" s="194">
        <v>5000</v>
      </c>
      <c r="E46" s="163"/>
      <c r="F46" s="195">
        <f>D46*E46</f>
        <v>0</v>
      </c>
      <c r="G46" s="397"/>
      <c r="H46" s="391"/>
      <c r="I46" s="392"/>
      <c r="J46" s="194">
        <v>50</v>
      </c>
      <c r="K46" s="163">
        <v>8</v>
      </c>
      <c r="L46" s="197">
        <f>J46*K46</f>
        <v>400</v>
      </c>
    </row>
    <row r="47" spans="1:12" ht="17.100000000000001" customHeight="1" x14ac:dyDescent="0.25">
      <c r="A47" s="390"/>
      <c r="B47" s="391"/>
      <c r="C47" s="392"/>
      <c r="D47" s="194">
        <v>2000</v>
      </c>
      <c r="E47" s="163">
        <v>1</v>
      </c>
      <c r="F47" s="195">
        <f>D47*E47</f>
        <v>2000</v>
      </c>
      <c r="G47" s="397"/>
      <c r="H47" s="391"/>
      <c r="I47" s="392"/>
      <c r="J47" s="194">
        <v>10</v>
      </c>
      <c r="K47" s="163">
        <v>2</v>
      </c>
      <c r="L47" s="197">
        <f>J47*K47</f>
        <v>20</v>
      </c>
    </row>
    <row r="48" spans="1:12" ht="17.100000000000001" customHeight="1" x14ac:dyDescent="0.25">
      <c r="A48" s="393"/>
      <c r="B48" s="394"/>
      <c r="C48" s="395"/>
      <c r="D48" s="194">
        <v>1000</v>
      </c>
      <c r="E48" s="163">
        <v>5</v>
      </c>
      <c r="F48" s="195">
        <f>D48*E48</f>
        <v>5000</v>
      </c>
      <c r="G48" s="398"/>
      <c r="H48" s="394"/>
      <c r="I48" s="395"/>
      <c r="J48" s="194"/>
      <c r="K48" s="164"/>
      <c r="L48" s="197"/>
    </row>
    <row r="49" spans="1:12" ht="18.75" x14ac:dyDescent="0.25">
      <c r="A49" s="118"/>
      <c r="B49" s="121"/>
      <c r="C49" s="165"/>
      <c r="D49" s="166"/>
      <c r="E49" s="167" t="s">
        <v>75</v>
      </c>
      <c r="F49" s="196">
        <f>SUM(F44:F48)</f>
        <v>47000</v>
      </c>
      <c r="G49" s="156"/>
      <c r="H49" s="157"/>
      <c r="I49" s="158"/>
      <c r="J49" s="166"/>
      <c r="K49" s="167" t="s">
        <v>76</v>
      </c>
      <c r="L49" s="196">
        <f>SUM(L44:L48)</f>
        <v>1220</v>
      </c>
    </row>
    <row r="50" spans="1:12" ht="18.75" x14ac:dyDescent="0.25">
      <c r="A50" s="118"/>
      <c r="B50" s="121"/>
      <c r="C50" s="123"/>
      <c r="D50" s="123"/>
      <c r="E50" s="123"/>
      <c r="F50" s="123"/>
      <c r="G50" s="118"/>
      <c r="H50" s="121"/>
      <c r="I50" s="165"/>
      <c r="J50" s="165"/>
      <c r="K50" s="122"/>
      <c r="L50" s="122"/>
    </row>
    <row r="51" spans="1:12" ht="18" customHeight="1" x14ac:dyDescent="0.25">
      <c r="A51" s="118"/>
      <c r="B51" s="121"/>
      <c r="C51" s="123"/>
      <c r="D51" s="123"/>
      <c r="E51" s="123"/>
      <c r="F51" s="123"/>
      <c r="G51" s="168"/>
      <c r="H51" s="168"/>
      <c r="I51" s="169" t="s">
        <v>77</v>
      </c>
      <c r="J51" s="170"/>
      <c r="K51" s="168"/>
      <c r="L51" s="122"/>
    </row>
    <row r="52" spans="1:12" ht="4.5" customHeight="1" x14ac:dyDescent="0.25">
      <c r="A52" s="118"/>
      <c r="B52" s="121"/>
      <c r="C52" s="123"/>
      <c r="D52" s="123"/>
      <c r="E52" s="123"/>
      <c r="F52" s="123"/>
      <c r="G52" s="118"/>
      <c r="H52" s="121"/>
      <c r="I52" s="122"/>
      <c r="J52" s="122"/>
      <c r="K52" s="122"/>
      <c r="L52" s="122"/>
    </row>
    <row r="53" spans="1:12" ht="15" customHeight="1" x14ac:dyDescent="0.25">
      <c r="A53" s="171"/>
      <c r="B53" s="399" t="s">
        <v>78</v>
      </c>
      <c r="C53" s="399"/>
      <c r="D53" s="399"/>
      <c r="E53" s="399"/>
      <c r="F53" s="123"/>
      <c r="G53" s="172"/>
      <c r="H53" s="172"/>
      <c r="I53" s="173" t="s">
        <v>79</v>
      </c>
      <c r="J53" s="198">
        <f>'19'!J69</f>
        <v>13020</v>
      </c>
      <c r="K53" s="174"/>
      <c r="L53" s="122"/>
    </row>
    <row r="54" spans="1:12" ht="4.5" customHeight="1" x14ac:dyDescent="0.25">
      <c r="A54" s="171"/>
      <c r="B54" s="399"/>
      <c r="C54" s="399"/>
      <c r="D54" s="399"/>
      <c r="E54" s="399"/>
      <c r="F54" s="123"/>
      <c r="G54" s="118"/>
      <c r="H54" s="121"/>
      <c r="I54" s="122"/>
      <c r="J54" s="199"/>
      <c r="K54" s="122"/>
      <c r="L54" s="122"/>
    </row>
    <row r="55" spans="1:12" ht="18.75" customHeight="1" x14ac:dyDescent="0.25">
      <c r="A55" s="175"/>
      <c r="B55" s="400"/>
      <c r="C55" s="400"/>
      <c r="D55" s="400"/>
      <c r="E55" s="400"/>
      <c r="F55" s="123"/>
      <c r="G55" s="176"/>
      <c r="H55" s="176"/>
      <c r="I55" s="177" t="s">
        <v>80</v>
      </c>
      <c r="J55" s="200">
        <f>F49+L49</f>
        <v>48220</v>
      </c>
      <c r="K55" s="178"/>
      <c r="L55" s="122"/>
    </row>
    <row r="56" spans="1:12" ht="4.5" customHeight="1" x14ac:dyDescent="0.25">
      <c r="A56" s="175"/>
      <c r="B56" s="400"/>
      <c r="C56" s="400"/>
      <c r="D56" s="400"/>
      <c r="E56" s="400"/>
      <c r="F56" s="123"/>
      <c r="G56" s="118"/>
      <c r="H56" s="159"/>
      <c r="I56" s="160"/>
      <c r="J56" s="201"/>
      <c r="K56" s="165"/>
      <c r="L56" s="122"/>
    </row>
    <row r="57" spans="1:12" ht="18.75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50</v>
      </c>
      <c r="J57" s="200">
        <f>L25</f>
        <v>131140</v>
      </c>
      <c r="K57" s="178"/>
      <c r="L57" s="128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23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9"/>
      <c r="H59" s="179"/>
      <c r="I59" s="180" t="s">
        <v>63</v>
      </c>
      <c r="J59" s="202">
        <f>F37</f>
        <v>0</v>
      </c>
      <c r="K59" s="178"/>
      <c r="L59" s="122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18"/>
      <c r="I60" s="121"/>
      <c r="J60" s="199"/>
      <c r="K60" s="122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55</v>
      </c>
      <c r="J61" s="202">
        <f>L30+L39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81</v>
      </c>
      <c r="J63" s="202">
        <f>J53+J57+J59-J61</f>
        <v>144160</v>
      </c>
      <c r="K63" s="181"/>
      <c r="L63" s="122"/>
    </row>
    <row r="64" spans="1:12" ht="4.5" customHeight="1" x14ac:dyDescent="0.25">
      <c r="A64" s="118"/>
      <c r="B64" s="400"/>
      <c r="C64" s="400"/>
      <c r="D64" s="400"/>
      <c r="E64" s="400"/>
      <c r="F64" s="123"/>
      <c r="G64" s="118"/>
      <c r="H64" s="121"/>
      <c r="I64" s="123"/>
      <c r="J64" s="199"/>
      <c r="K64" s="122"/>
      <c r="L64" s="122"/>
    </row>
    <row r="65" spans="1:12" ht="18.75" x14ac:dyDescent="0.25">
      <c r="A65" s="118"/>
      <c r="B65" s="400"/>
      <c r="C65" s="400"/>
      <c r="D65" s="400"/>
      <c r="E65" s="400"/>
      <c r="F65" s="123"/>
      <c r="G65" s="172"/>
      <c r="H65" s="172"/>
      <c r="I65" s="173" t="s">
        <v>82</v>
      </c>
      <c r="J65" s="202">
        <f>J63-J53</f>
        <v>131140</v>
      </c>
      <c r="K65" s="182"/>
      <c r="L65" s="122"/>
    </row>
    <row r="66" spans="1:12" ht="4.5" customHeight="1" x14ac:dyDescent="0.25">
      <c r="A66" s="175"/>
      <c r="B66" s="400"/>
      <c r="C66" s="400"/>
      <c r="D66" s="400"/>
      <c r="E66" s="400"/>
      <c r="F66" s="123"/>
      <c r="G66" s="118"/>
      <c r="H66" s="121"/>
      <c r="I66" s="121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6"/>
      <c r="H67" s="176"/>
      <c r="I67" s="177" t="s">
        <v>83</v>
      </c>
      <c r="J67" s="202">
        <f>J53+F30+(F37-(L30+L39))</f>
        <v>48220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customHeight="1" x14ac:dyDescent="0.25">
      <c r="A69" s="175"/>
      <c r="B69" s="400"/>
      <c r="C69" s="400"/>
      <c r="D69" s="400"/>
      <c r="E69" s="400"/>
      <c r="F69" s="123"/>
      <c r="G69" s="176"/>
      <c r="H69" s="176"/>
      <c r="I69" s="177" t="s">
        <v>84</v>
      </c>
      <c r="J69" s="203">
        <f>J55-J67</f>
        <v>0</v>
      </c>
      <c r="K69" s="183"/>
      <c r="L69" s="122"/>
    </row>
    <row r="70" spans="1:12" ht="15" customHeight="1" x14ac:dyDescent="0.25">
      <c r="A70" s="184"/>
      <c r="B70" s="185"/>
      <c r="C70" s="185"/>
      <c r="D70" s="185"/>
      <c r="E70" s="185"/>
      <c r="F70" s="186"/>
      <c r="G70" s="184"/>
      <c r="H70" s="187"/>
      <c r="I70" s="188"/>
      <c r="J70" s="188"/>
      <c r="K70" s="188"/>
      <c r="L70" s="188"/>
    </row>
    <row r="71" spans="1:12" ht="15" customHeight="1" x14ac:dyDescent="0.25">
      <c r="A71" s="184"/>
      <c r="B71" s="185"/>
      <c r="C71" s="185"/>
      <c r="D71" s="185"/>
      <c r="E71" s="185"/>
      <c r="F71" s="186"/>
      <c r="G71" s="184"/>
      <c r="H71" s="187"/>
      <c r="I71" s="188"/>
      <c r="J71" s="188"/>
      <c r="K71" s="188"/>
      <c r="L71" s="188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.7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4.2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x14ac:dyDescent="0.25">
      <c r="A76" s="1"/>
      <c r="B76" s="3"/>
      <c r="C76" s="4"/>
      <c r="D76" s="4"/>
      <c r="E76" s="4"/>
      <c r="F76" s="4"/>
      <c r="G76" s="1"/>
      <c r="H76" s="3"/>
      <c r="I76" s="5"/>
      <c r="J76" s="5"/>
      <c r="K76" s="5"/>
      <c r="L76" s="5"/>
    </row>
    <row r="77" spans="1:12" x14ac:dyDescent="0.25">
      <c r="B77" s="7"/>
      <c r="E77" s="8"/>
      <c r="F77" s="8"/>
    </row>
    <row r="78" spans="1:12" x14ac:dyDescent="0.25">
      <c r="B78" s="7"/>
      <c r="E78" s="8"/>
      <c r="F78" s="8"/>
      <c r="I78" s="8"/>
    </row>
    <row r="79" spans="1:12" x14ac:dyDescent="0.25">
      <c r="B79" s="7"/>
      <c r="E79" s="8"/>
      <c r="F79" s="8"/>
      <c r="I79" s="8"/>
    </row>
    <row r="80" spans="1:12" x14ac:dyDescent="0.25">
      <c r="B80" s="7"/>
      <c r="E80" s="8"/>
      <c r="F80" s="8"/>
      <c r="I80" s="8"/>
      <c r="J80" s="8"/>
      <c r="K80" s="8"/>
      <c r="L80" s="8"/>
    </row>
    <row r="81" spans="2:12" x14ac:dyDescent="0.25">
      <c r="B81" s="7"/>
      <c r="E81" s="8"/>
      <c r="F81" s="8"/>
      <c r="I81" s="8"/>
      <c r="J81" s="8"/>
      <c r="K81" s="8"/>
      <c r="L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</sheetData>
  <sheetProtection algorithmName="SHA-512" hashValue="/HosXdV+fpmyWKRG/G9ep83ZteFkrbN2/PwuBzM6Ovx1AeBzohCmDF/f3KH2ze0GfkoTL1MsxWpvXrecKmjotQ==" saltValue="ondhT123ifVAnbkFQLoACA==" spinCount="100000" sheet="1" objects="1" scenarios="1"/>
  <mergeCells count="29">
    <mergeCell ref="I41:J41"/>
    <mergeCell ref="A43:C48"/>
    <mergeCell ref="G43:I48"/>
    <mergeCell ref="B53:E54"/>
    <mergeCell ref="B55:E69"/>
    <mergeCell ref="A28:C39"/>
    <mergeCell ref="G28:I39"/>
    <mergeCell ref="J28:L28"/>
    <mergeCell ref="D29:E29"/>
    <mergeCell ref="J29:K29"/>
    <mergeCell ref="D35:F35"/>
    <mergeCell ref="D36:E36"/>
    <mergeCell ref="J38:L38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69">
    <cfRule type="expression" dxfId="59" priority="1">
      <formula>$J69=0</formula>
    </cfRule>
    <cfRule type="expression" dxfId="58" priority="2">
      <formula>$J69&gt;=1</formula>
    </cfRule>
    <cfRule type="expression" dxfId="57" priority="3">
      <formula>$J69&lt;=-1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5684-EC5B-45AC-8C38-29704E6FE1E3}">
  <sheetPr codeName="Hoja15">
    <tabColor theme="2"/>
    <pageSetUpPr fitToPage="1"/>
  </sheetPr>
  <dimension ref="A1:L89"/>
  <sheetViews>
    <sheetView showWhiteSpace="0" view="pageLayout" topLeftCell="A5" zoomScale="80" zoomScaleNormal="90" zoomScalePageLayoutView="80" workbookViewId="0">
      <selection activeCell="A5" sqref="A5:F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9" width="13.7109375" style="9" customWidth="1"/>
    <col min="10" max="10" width="14.28515625" style="9" customWidth="1"/>
    <col min="11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45615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308</v>
      </c>
      <c r="B8" s="97">
        <v>21155</v>
      </c>
      <c r="C8" s="98"/>
      <c r="D8" s="99">
        <v>37000</v>
      </c>
      <c r="E8" s="100"/>
      <c r="F8" s="101"/>
      <c r="G8" s="102">
        <v>558</v>
      </c>
      <c r="H8" s="103">
        <v>7207</v>
      </c>
      <c r="I8" s="104"/>
      <c r="J8" s="104">
        <v>45000</v>
      </c>
      <c r="K8" s="98"/>
      <c r="L8" s="98"/>
    </row>
    <row r="9" spans="1:12" ht="20.45" customHeight="1" x14ac:dyDescent="0.25">
      <c r="A9" s="105">
        <v>561</v>
      </c>
      <c r="B9" s="106">
        <v>21156</v>
      </c>
      <c r="C9" s="107"/>
      <c r="D9" s="108">
        <v>11300</v>
      </c>
      <c r="E9" s="109"/>
      <c r="F9" s="110"/>
      <c r="G9" s="111">
        <v>559</v>
      </c>
      <c r="H9" s="106">
        <v>7208</v>
      </c>
      <c r="I9" s="108"/>
      <c r="J9" s="107">
        <v>732370</v>
      </c>
      <c r="K9" s="107"/>
      <c r="L9" s="107"/>
    </row>
    <row r="10" spans="1:12" ht="20.45" customHeight="1" x14ac:dyDescent="0.25">
      <c r="A10" s="96">
        <v>309</v>
      </c>
      <c r="B10" s="97">
        <v>21157</v>
      </c>
      <c r="C10" s="98"/>
      <c r="D10" s="99">
        <v>12700</v>
      </c>
      <c r="E10" s="100"/>
      <c r="F10" s="101"/>
      <c r="G10" s="102">
        <v>560</v>
      </c>
      <c r="H10" s="97">
        <v>7209</v>
      </c>
      <c r="I10" s="99"/>
      <c r="J10" s="99">
        <v>67490</v>
      </c>
      <c r="K10" s="98"/>
      <c r="L10" s="98"/>
    </row>
    <row r="11" spans="1:12" ht="20.45" customHeight="1" x14ac:dyDescent="0.25">
      <c r="A11" s="105">
        <v>564</v>
      </c>
      <c r="B11" s="106">
        <v>21158</v>
      </c>
      <c r="C11" s="107"/>
      <c r="D11" s="107">
        <v>12500</v>
      </c>
      <c r="E11" s="109"/>
      <c r="F11" s="110"/>
      <c r="G11" s="111">
        <v>562</v>
      </c>
      <c r="H11" s="106">
        <v>7210</v>
      </c>
      <c r="I11" s="107"/>
      <c r="J11" s="108"/>
      <c r="K11" s="107">
        <v>35980</v>
      </c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563</v>
      </c>
      <c r="H12" s="97">
        <v>7211</v>
      </c>
      <c r="I12" s="98"/>
      <c r="J12" s="99">
        <v>71500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>
        <v>564</v>
      </c>
      <c r="H13" s="106">
        <v>7212</v>
      </c>
      <c r="I13" s="108"/>
      <c r="J13" s="107">
        <v>29480</v>
      </c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>
        <v>565</v>
      </c>
      <c r="H14" s="97">
        <v>7213</v>
      </c>
      <c r="I14" s="98"/>
      <c r="J14" s="98">
        <v>89490</v>
      </c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73500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1035330</v>
      </c>
      <c r="K25" s="189">
        <f>SUM($K8:$K24)</f>
        <v>35980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1144810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>
        <v>42000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1108830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35980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1144810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10</v>
      </c>
      <c r="G39" s="373"/>
      <c r="H39" s="373"/>
      <c r="I39" s="374"/>
      <c r="J39" s="144" t="s">
        <v>64</v>
      </c>
      <c r="K39" s="145"/>
      <c r="L39" s="192">
        <f>SUM(L32:L38)</f>
        <v>42000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10</v>
      </c>
      <c r="G41" s="373"/>
      <c r="H41" s="373"/>
      <c r="I41" s="374"/>
      <c r="J41" s="141" t="s">
        <v>67</v>
      </c>
      <c r="K41" s="150"/>
      <c r="L41" s="151">
        <v>0</v>
      </c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1144820</v>
      </c>
      <c r="G42" s="156"/>
      <c r="H42" s="157"/>
      <c r="I42" s="158"/>
      <c r="J42" s="154"/>
      <c r="K42" s="155" t="s">
        <v>69</v>
      </c>
      <c r="L42" s="193">
        <f>L39+L41</f>
        <v>42000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>
        <v>1</v>
      </c>
      <c r="L46" s="197">
        <f>J46*K46</f>
        <v>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>
        <v>2</v>
      </c>
      <c r="L47" s="197">
        <f>J47*K47</f>
        <v>200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>
        <v>1</v>
      </c>
      <c r="F48" s="195">
        <f>D48*E48</f>
        <v>5000</v>
      </c>
      <c r="G48" s="397"/>
      <c r="H48" s="391"/>
      <c r="I48" s="392"/>
      <c r="J48" s="194">
        <v>50</v>
      </c>
      <c r="K48" s="163">
        <v>6</v>
      </c>
      <c r="L48" s="197">
        <f>J48*K48</f>
        <v>300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>
        <v>1</v>
      </c>
      <c r="F49" s="195">
        <f>D49*E49</f>
        <v>2000</v>
      </c>
      <c r="G49" s="397"/>
      <c r="H49" s="391"/>
      <c r="I49" s="392"/>
      <c r="J49" s="194">
        <v>10</v>
      </c>
      <c r="K49" s="163">
        <v>2</v>
      </c>
      <c r="L49" s="197">
        <f>J49*K49</f>
        <v>20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5</v>
      </c>
      <c r="F50" s="195">
        <f>D50*E50</f>
        <v>5000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12000</v>
      </c>
      <c r="G51" s="156"/>
      <c r="H51" s="157"/>
      <c r="I51" s="158"/>
      <c r="J51" s="166"/>
      <c r="K51" s="167" t="s">
        <v>76</v>
      </c>
      <c r="L51" s="196">
        <f>SUM(L46:L50)</f>
        <v>1020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'18'!J69</f>
        <v>55010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103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13020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1144810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10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42000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1157830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1102820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13020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56" priority="1">
      <formula>$J71=0</formula>
    </cfRule>
    <cfRule type="expression" dxfId="55" priority="2">
      <formula>$J71&gt;=1</formula>
    </cfRule>
    <cfRule type="expression" dxfId="54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E22E-C419-4A6B-B41E-CE77FC98C2A0}">
  <sheetPr codeName="Hoja16">
    <tabColor theme="2"/>
    <pageSetUpPr fitToPage="1"/>
  </sheetPr>
  <dimension ref="A1:L89"/>
  <sheetViews>
    <sheetView showWhiteSpace="0" view="pageLayout" topLeftCell="A45" zoomScale="80" zoomScaleNormal="90" zoomScalePageLayoutView="80" workbookViewId="0">
      <selection activeCell="J70" sqref="J70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45614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305</v>
      </c>
      <c r="B8" s="97">
        <v>21151</v>
      </c>
      <c r="C8" s="98"/>
      <c r="D8" s="99">
        <v>15200</v>
      </c>
      <c r="E8" s="100"/>
      <c r="F8" s="101"/>
      <c r="G8" s="102">
        <v>553</v>
      </c>
      <c r="H8" s="103">
        <v>7200</v>
      </c>
      <c r="I8" s="104"/>
      <c r="J8" s="104">
        <v>25490</v>
      </c>
      <c r="K8" s="98"/>
      <c r="L8" s="98"/>
    </row>
    <row r="9" spans="1:12" ht="20.45" customHeight="1" x14ac:dyDescent="0.25">
      <c r="A9" s="105">
        <v>554</v>
      </c>
      <c r="B9" s="106">
        <v>21152</v>
      </c>
      <c r="C9" s="107"/>
      <c r="D9" s="108">
        <v>23800</v>
      </c>
      <c r="E9" s="109"/>
      <c r="F9" s="110"/>
      <c r="G9" s="111">
        <v>554</v>
      </c>
      <c r="H9" s="106">
        <v>7201</v>
      </c>
      <c r="I9" s="108"/>
      <c r="J9" s="107">
        <v>10000</v>
      </c>
      <c r="K9" s="107"/>
      <c r="L9" s="107"/>
    </row>
    <row r="10" spans="1:12" ht="20.45" customHeight="1" x14ac:dyDescent="0.25">
      <c r="A10" s="96"/>
      <c r="B10" s="97">
        <v>21153</v>
      </c>
      <c r="C10" s="98">
        <v>4500</v>
      </c>
      <c r="D10" s="99"/>
      <c r="E10" s="100"/>
      <c r="F10" s="101"/>
      <c r="G10" s="102">
        <v>306</v>
      </c>
      <c r="H10" s="97">
        <v>7202</v>
      </c>
      <c r="I10" s="99"/>
      <c r="J10" s="99">
        <v>24990</v>
      </c>
      <c r="K10" s="98"/>
      <c r="L10" s="98"/>
    </row>
    <row r="11" spans="1:12" ht="20.45" customHeight="1" x14ac:dyDescent="0.25">
      <c r="A11" s="105"/>
      <c r="B11" s="106">
        <v>21154</v>
      </c>
      <c r="C11" s="107">
        <v>6010</v>
      </c>
      <c r="D11" s="107"/>
      <c r="E11" s="109"/>
      <c r="F11" s="110"/>
      <c r="G11" s="111"/>
      <c r="H11" s="106">
        <v>7203</v>
      </c>
      <c r="I11" s="107">
        <v>22990</v>
      </c>
      <c r="J11" s="108"/>
      <c r="K11" s="107"/>
      <c r="L11" s="107"/>
    </row>
    <row r="12" spans="1:12" ht="20.45" customHeight="1" x14ac:dyDescent="0.25">
      <c r="A12" s="96">
        <v>557</v>
      </c>
      <c r="B12" s="97">
        <v>21154</v>
      </c>
      <c r="C12" s="98"/>
      <c r="D12" s="98">
        <v>4990</v>
      </c>
      <c r="E12" s="100"/>
      <c r="F12" s="101"/>
      <c r="G12" s="102"/>
      <c r="H12" s="97">
        <v>7204</v>
      </c>
      <c r="I12" s="98"/>
      <c r="J12" s="99">
        <v>39500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>
        <v>7205</v>
      </c>
      <c r="I13" s="108">
        <v>13990</v>
      </c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>
        <v>7206</v>
      </c>
      <c r="I14" s="98"/>
      <c r="J14" s="98">
        <v>20000</v>
      </c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10510</v>
      </c>
      <c r="D25" s="189">
        <f>SUM($D8:$D24)</f>
        <v>43990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36980</v>
      </c>
      <c r="J25" s="189">
        <f>SUM($J8:$J24)</f>
        <v>119980</v>
      </c>
      <c r="K25" s="189">
        <f>SUM($K8:$K24)</f>
        <v>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211460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47490</v>
      </c>
      <c r="G32" s="373"/>
      <c r="H32" s="373"/>
      <c r="I32" s="374"/>
      <c r="J32" s="137" t="s">
        <v>10</v>
      </c>
      <c r="K32" s="138"/>
      <c r="L32" s="139">
        <v>50000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163970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211460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50000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211460</v>
      </c>
      <c r="G42" s="156"/>
      <c r="H42" s="157"/>
      <c r="I42" s="158"/>
      <c r="J42" s="154"/>
      <c r="K42" s="155" t="s">
        <v>69</v>
      </c>
      <c r="L42" s="193">
        <f>L39+L41</f>
        <v>50000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>
        <v>1</v>
      </c>
      <c r="F46" s="195">
        <f>D46*E46</f>
        <v>20000</v>
      </c>
      <c r="G46" s="397"/>
      <c r="H46" s="391"/>
      <c r="I46" s="392"/>
      <c r="J46" s="194">
        <v>500</v>
      </c>
      <c r="K46" s="163">
        <v>1</v>
      </c>
      <c r="L46" s="197">
        <f>J46*K46</f>
        <v>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3</v>
      </c>
      <c r="F47" s="195">
        <f>D47*E47</f>
        <v>30000</v>
      </c>
      <c r="G47" s="397"/>
      <c r="H47" s="391"/>
      <c r="I47" s="392"/>
      <c r="J47" s="194">
        <v>100</v>
      </c>
      <c r="K47" s="163">
        <v>2</v>
      </c>
      <c r="L47" s="197">
        <f>J47*K47</f>
        <v>200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6</v>
      </c>
      <c r="L48" s="197">
        <f>J48*K48</f>
        <v>300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>
        <v>1</v>
      </c>
      <c r="F49" s="195">
        <f>D49*E49</f>
        <v>2000</v>
      </c>
      <c r="G49" s="397"/>
      <c r="H49" s="391"/>
      <c r="I49" s="392"/>
      <c r="J49" s="194">
        <v>10</v>
      </c>
      <c r="K49" s="163">
        <v>2</v>
      </c>
      <c r="L49" s="197">
        <f>J49*K49</f>
        <v>20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2</v>
      </c>
      <c r="F50" s="195">
        <f>D50*E50</f>
        <v>2000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54000</v>
      </c>
      <c r="G51" s="156"/>
      <c r="H51" s="157"/>
      <c r="I51" s="158"/>
      <c r="J51" s="166"/>
      <c r="K51" s="167" t="s">
        <v>76</v>
      </c>
      <c r="L51" s="196">
        <f>SUM(L46:L50)</f>
        <v>1020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'17'!J69</f>
        <v>57520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55020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211460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50000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218980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161460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55010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10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cmSCh/E2iyvXTtD1wYfFGosQZsLNzGXmFfg3KhtgM7h1/SqYt/jZomuyuYkBv+Fs7Fz24mq7eALfY/+IaJgjAw==" saltValue="73lyjKU2Wghcr4yESf9Jw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53" priority="1">
      <formula>$J71=0</formula>
    </cfRule>
    <cfRule type="expression" dxfId="52" priority="2">
      <formula>$J71&gt;=1</formula>
    </cfRule>
    <cfRule type="expression" dxfId="51" priority="3">
      <formula>$J71&lt;=-1</formula>
    </cfRule>
  </conditionalFormatting>
  <pageMargins left="0.23622047244094491" right="0.23622047244094491" top="0.39370078740157483" bottom="0" header="0" footer="0"/>
  <pageSetup paperSize="5" scale="61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0E8C-023C-4DEF-8E29-DE282F702352}">
  <sheetPr codeName="Hoja17">
    <tabColor theme="2"/>
    <pageSetUpPr fitToPage="1"/>
  </sheetPr>
  <dimension ref="A1:L89"/>
  <sheetViews>
    <sheetView showWhiteSpace="0" view="pageLayout" zoomScale="80" zoomScaleNormal="90" zoomScalePageLayoutView="80" workbookViewId="0">
      <selection activeCell="A4" sqref="A4:L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/>
      <c r="D1" s="351"/>
      <c r="E1" s="352"/>
      <c r="F1" s="348" t="s">
        <v>39</v>
      </c>
      <c r="G1" s="353"/>
      <c r="H1" s="349"/>
      <c r="I1" s="354"/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/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/>
      <c r="H8" s="103"/>
      <c r="I8" s="104"/>
      <c r="J8" s="104"/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/>
      <c r="H9" s="106"/>
      <c r="I9" s="108"/>
      <c r="J9" s="107"/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/>
      <c r="H10" s="97"/>
      <c r="I10" s="99"/>
      <c r="J10" s="99"/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/>
      <c r="I11" s="107"/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0</v>
      </c>
      <c r="K25" s="189">
        <f>SUM($K8:$K24)</f>
        <v>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/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0</v>
      </c>
      <c r="G42" s="156"/>
      <c r="H42" s="157"/>
      <c r="I42" s="158"/>
      <c r="J42" s="154"/>
      <c r="K42" s="155" t="s">
        <v>69</v>
      </c>
      <c r="L42" s="193">
        <f>L39+L41</f>
        <v>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/>
      <c r="L47" s="197">
        <f>J47*K47</f>
        <v>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/>
      <c r="L48" s="197">
        <f>J48*K48</f>
        <v>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/>
      <c r="F50" s="195">
        <f>D50*E50</f>
        <v>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0</v>
      </c>
      <c r="G51" s="156"/>
      <c r="H51" s="157"/>
      <c r="I51" s="158"/>
      <c r="J51" s="166"/>
      <c r="K51" s="167" t="s">
        <v>76</v>
      </c>
      <c r="L51" s="196">
        <f>SUM(L46:L50)</f>
        <v>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'16'!J69</f>
        <v>57520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57520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57520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-57520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oqWEmvA4y5Qu/cDUVZahwIBX9gBacIVa8DszePxI5DvMkLKNEABt1NdeGaV+48Spys1GIIJuLf0/stpE4Yx/iw==" saltValue="G05BN4IhmJJO+WUYjyPjm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50" priority="1">
      <formula>$J71=0</formula>
    </cfRule>
    <cfRule type="expression" dxfId="49" priority="2">
      <formula>$J71&gt;=1</formula>
    </cfRule>
    <cfRule type="expression" dxfId="48" priority="3">
      <formula>$J71&lt;=-1</formula>
    </cfRule>
  </conditionalFormatting>
  <pageMargins left="0.23622047244094491" right="0.23622047244094491" top="0.74803149606299213" bottom="0.74803149606299213" header="0.31496062992125984" footer="0.31496062992125984"/>
  <pageSetup paperSize="9" scale="18" fitToHeight="0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C01C-D6D9-4E0A-B5D5-C37D91E7E05D}">
  <sheetPr codeName="Hoja18">
    <tabColor theme="2"/>
    <pageSetUpPr fitToPage="1"/>
  </sheetPr>
  <dimension ref="A1:L89"/>
  <sheetViews>
    <sheetView showWhiteSpace="0" view="pageLayout" topLeftCell="A46" zoomScale="80" zoomScaleNormal="90" zoomScalePageLayoutView="80" workbookViewId="0">
      <selection activeCell="F66" sqref="F66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45612</v>
      </c>
      <c r="D1" s="351"/>
      <c r="E1" s="352"/>
      <c r="F1" s="348" t="s">
        <v>39</v>
      </c>
      <c r="G1" s="353"/>
      <c r="H1" s="349"/>
      <c r="I1" s="354" t="s">
        <v>85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303</v>
      </c>
      <c r="B8" s="97">
        <v>21149</v>
      </c>
      <c r="C8" s="98"/>
      <c r="D8" s="99">
        <v>29150</v>
      </c>
      <c r="E8" s="100"/>
      <c r="F8" s="101"/>
      <c r="G8" s="102">
        <v>550</v>
      </c>
      <c r="H8" s="103">
        <v>7196</v>
      </c>
      <c r="I8" s="104"/>
      <c r="J8" s="104"/>
      <c r="K8" s="98">
        <v>32980</v>
      </c>
      <c r="L8" s="98"/>
    </row>
    <row r="9" spans="1:12" ht="20.45" customHeight="1" x14ac:dyDescent="0.25">
      <c r="A9" s="105">
        <v>304</v>
      </c>
      <c r="B9" s="106">
        <v>21150</v>
      </c>
      <c r="C9" s="107"/>
      <c r="D9" s="108"/>
      <c r="E9" s="109">
        <v>25000</v>
      </c>
      <c r="F9" s="110"/>
      <c r="G9" s="111">
        <v>551</v>
      </c>
      <c r="H9" s="106">
        <v>7197</v>
      </c>
      <c r="I9" s="108"/>
      <c r="J9" s="107">
        <v>10000</v>
      </c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/>
      <c r="H10" s="97">
        <v>7198</v>
      </c>
      <c r="I10" s="99">
        <v>38500</v>
      </c>
      <c r="J10" s="99"/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>
        <v>552</v>
      </c>
      <c r="H11" s="106">
        <v>7199</v>
      </c>
      <c r="I11" s="107"/>
      <c r="J11" s="108"/>
      <c r="K11" s="107">
        <v>20000</v>
      </c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29150</v>
      </c>
      <c r="E25" s="189">
        <f>SUM($E8:$E24)</f>
        <v>25000</v>
      </c>
      <c r="F25" s="189">
        <f>SUM($F8:$F24)</f>
        <v>0</v>
      </c>
      <c r="G25" s="120"/>
      <c r="H25" s="119" t="s">
        <v>49</v>
      </c>
      <c r="I25" s="189">
        <f>SUM($I8:$I24)</f>
        <v>38500</v>
      </c>
      <c r="J25" s="189">
        <f>SUM($J8:$J24)</f>
        <v>10000</v>
      </c>
      <c r="K25" s="189">
        <f>SUM($K8:$K24)</f>
        <v>52980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155630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38500</v>
      </c>
      <c r="G32" s="373"/>
      <c r="H32" s="373"/>
      <c r="I32" s="374"/>
      <c r="J32" s="137" t="s">
        <v>10</v>
      </c>
      <c r="K32" s="138"/>
      <c r="L32" s="139">
        <v>21000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39150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77980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155630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21000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155630</v>
      </c>
      <c r="G42" s="156"/>
      <c r="H42" s="157"/>
      <c r="I42" s="158"/>
      <c r="J42" s="154"/>
      <c r="K42" s="155" t="s">
        <v>69</v>
      </c>
      <c r="L42" s="193">
        <f>L39+L41</f>
        <v>21000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>
        <v>1</v>
      </c>
      <c r="F46" s="195">
        <f>D46*E46</f>
        <v>20000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3</v>
      </c>
      <c r="F47" s="195">
        <f>D47*E47</f>
        <v>30000</v>
      </c>
      <c r="G47" s="397"/>
      <c r="H47" s="391"/>
      <c r="I47" s="392"/>
      <c r="J47" s="194">
        <v>100</v>
      </c>
      <c r="K47" s="163">
        <v>2</v>
      </c>
      <c r="L47" s="197">
        <f>J47*K47</f>
        <v>200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6</v>
      </c>
      <c r="L48" s="197">
        <f>J48*K48</f>
        <v>300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>
        <v>1</v>
      </c>
      <c r="F49" s="195">
        <f>D49*E49</f>
        <v>2000</v>
      </c>
      <c r="G49" s="397"/>
      <c r="H49" s="391"/>
      <c r="I49" s="392"/>
      <c r="J49" s="194">
        <v>10</v>
      </c>
      <c r="K49" s="163">
        <v>2</v>
      </c>
      <c r="L49" s="197">
        <f>J49*K49</f>
        <v>20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5</v>
      </c>
      <c r="F50" s="195">
        <f>D50*E50</f>
        <v>5000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57000</v>
      </c>
      <c r="G51" s="156"/>
      <c r="H51" s="157"/>
      <c r="I51" s="158"/>
      <c r="J51" s="166"/>
      <c r="K51" s="167" t="s">
        <v>76</v>
      </c>
      <c r="L51" s="196">
        <f>SUM(L46:L50)</f>
        <v>520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'15'!J69</f>
        <v>40020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102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57520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155630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21000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174650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134630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57520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Z2oUYgVNRXcEbdBZvhHucuT7RgyrkNPzzvsqnzCKT2L5ZrlCLFpGCXQzy2BP33a0MKxKrr8Q4Z44scYzXX9uAw==" saltValue="e0Dc3PtMWQc6zY9Oo14ZK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47" priority="1">
      <formula>$J71=0</formula>
    </cfRule>
    <cfRule type="expression" dxfId="46" priority="2">
      <formula>$J71&gt;=1</formula>
    </cfRule>
    <cfRule type="expression" dxfId="45" priority="3">
      <formula>$J71&lt;=-1</formula>
    </cfRule>
  </conditionalFormatting>
  <pageMargins left="0.23622047244094491" right="0.23622047244094491" top="0.74803149606299213" bottom="0.74803149606299213" header="0.31496062992125984" footer="0.31496062992125984"/>
  <pageSetup paperSize="9" scale="59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A00E-47DD-4893-AA2A-30628B1879B5}">
  <sheetPr codeName="Hoja19">
    <tabColor theme="2"/>
    <pageSetUpPr fitToPage="1"/>
  </sheetPr>
  <dimension ref="A1:L89"/>
  <sheetViews>
    <sheetView view="pageLayout" topLeftCell="A46" zoomScale="80" zoomScaleNormal="90" zoomScalePageLayoutView="80" workbookViewId="0">
      <selection activeCell="C1" sqref="C1:E1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45611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8036260</v>
      </c>
      <c r="B8" s="97">
        <v>21148</v>
      </c>
      <c r="C8" s="98"/>
      <c r="D8" s="99"/>
      <c r="E8" s="100"/>
      <c r="F8" s="101">
        <v>7600</v>
      </c>
      <c r="G8" s="102"/>
      <c r="H8" s="103">
        <v>7192</v>
      </c>
      <c r="I8" s="104">
        <v>108000</v>
      </c>
      <c r="J8" s="104"/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>
        <v>757576</v>
      </c>
      <c r="H9" s="106">
        <v>7193</v>
      </c>
      <c r="I9" s="108"/>
      <c r="J9" s="107"/>
      <c r="K9" s="107"/>
      <c r="L9" s="107">
        <v>4500</v>
      </c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8036260</v>
      </c>
      <c r="H10" s="97">
        <v>7193</v>
      </c>
      <c r="I10" s="99"/>
      <c r="J10" s="99"/>
      <c r="K10" s="98"/>
      <c r="L10" s="98">
        <v>162400</v>
      </c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>
        <v>8028375</v>
      </c>
      <c r="H11" s="106">
        <v>7193</v>
      </c>
      <c r="I11" s="107"/>
      <c r="J11" s="108"/>
      <c r="K11" s="107"/>
      <c r="L11" s="107">
        <v>66700</v>
      </c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548</v>
      </c>
      <c r="H12" s="97">
        <v>7194</v>
      </c>
      <c r="I12" s="98"/>
      <c r="J12" s="99"/>
      <c r="K12" s="98">
        <v>43500</v>
      </c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>
        <v>549</v>
      </c>
      <c r="H13" s="106">
        <v>7195</v>
      </c>
      <c r="I13" s="108"/>
      <c r="J13" s="107">
        <v>10000</v>
      </c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 t="s">
        <v>19</v>
      </c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7600</v>
      </c>
      <c r="G25" s="120"/>
      <c r="H25" s="119" t="s">
        <v>49</v>
      </c>
      <c r="I25" s="189">
        <f>SUM($I8:$I24)</f>
        <v>108000</v>
      </c>
      <c r="J25" s="189">
        <f>SUM($J8:$J24)</f>
        <v>10000</v>
      </c>
      <c r="K25" s="189">
        <f>SUM($K8:$K24)</f>
        <v>43500</v>
      </c>
      <c r="L25" s="189">
        <f>SUM($L8:$L24)</f>
        <v>233600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402700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108000</v>
      </c>
      <c r="G32" s="373"/>
      <c r="H32" s="373"/>
      <c r="I32" s="374"/>
      <c r="J32" s="137" t="s">
        <v>10</v>
      </c>
      <c r="K32" s="138"/>
      <c r="L32" s="139">
        <v>100000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10000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43500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241200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402700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100000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402700</v>
      </c>
      <c r="G42" s="156"/>
      <c r="H42" s="157"/>
      <c r="I42" s="158"/>
      <c r="J42" s="154"/>
      <c r="K42" s="155" t="s">
        <v>69</v>
      </c>
      <c r="L42" s="193">
        <f>L39+L41</f>
        <v>100000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>
        <v>1</v>
      </c>
      <c r="F46" s="195">
        <f>D46*E46</f>
        <v>20000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1</v>
      </c>
      <c r="F47" s="195">
        <f>D47*E47</f>
        <v>10000</v>
      </c>
      <c r="G47" s="397"/>
      <c r="H47" s="391"/>
      <c r="I47" s="392"/>
      <c r="J47" s="194">
        <v>100</v>
      </c>
      <c r="K47" s="163">
        <v>7</v>
      </c>
      <c r="L47" s="197">
        <f>J47*K47</f>
        <v>700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6</v>
      </c>
      <c r="L48" s="197">
        <f>J48*K48</f>
        <v>300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>
        <v>1</v>
      </c>
      <c r="F49" s="195">
        <f>D49*E49</f>
        <v>2000</v>
      </c>
      <c r="G49" s="397"/>
      <c r="H49" s="391"/>
      <c r="I49" s="392"/>
      <c r="J49" s="194">
        <v>10</v>
      </c>
      <c r="K49" s="163">
        <v>2</v>
      </c>
      <c r="L49" s="197">
        <f>J49*K49</f>
        <v>20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7</v>
      </c>
      <c r="F50" s="195">
        <f>D50*E50</f>
        <v>7000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39000</v>
      </c>
      <c r="G51" s="156"/>
      <c r="H51" s="157"/>
      <c r="I51" s="158"/>
      <c r="J51" s="166"/>
      <c r="K51" s="167" t="s">
        <v>76</v>
      </c>
      <c r="L51" s="196">
        <f>SUM(L46:L50)</f>
        <v>1020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'14'!J69</f>
        <v>32020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101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40020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402700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100000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334720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302700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40020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iPP5Ya2KLF/vRImoxYJ/TeJqh+C9jdsxXQolvUSGvOs18dxOBHGz7EoGsJeK9WU7ZlyL1fYNyjDnbV7IMU9GBQ==" saltValue="TqIHEbn25IUez/xZjqBpD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44" priority="1">
      <formula>$J71=0</formula>
    </cfRule>
    <cfRule type="expression" dxfId="43" priority="2">
      <formula>$J71&gt;=1</formula>
    </cfRule>
    <cfRule type="expression" dxfId="42" priority="3">
      <formula>$J71&lt;=-1</formula>
    </cfRule>
  </conditionalFormatting>
  <pageMargins left="0.23622047244094491" right="0.23622047244094491" top="0.74803149606299213" bottom="0.74803149606299213" header="0.31496062992125984" footer="0.31496062992125984"/>
  <pageSetup paperSize="5" scale="61" fitToHeight="0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019B-7882-4154-B3CC-B3A6EBD534DB}">
  <sheetPr codeName="Hoja20">
    <tabColor theme="2"/>
    <pageSetUpPr fitToPage="1"/>
  </sheetPr>
  <dimension ref="A1:L89"/>
  <sheetViews>
    <sheetView showWhiteSpace="0" view="pageLayout" topLeftCell="A45" zoomScale="80" zoomScaleNormal="90" zoomScalePageLayoutView="80" workbookViewId="0">
      <selection activeCell="L71" sqref="L71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45610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/>
      <c r="H8" s="103">
        <v>7190</v>
      </c>
      <c r="I8" s="104">
        <v>14500</v>
      </c>
      <c r="J8" s="104"/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>
        <v>547</v>
      </c>
      <c r="H9" s="106">
        <v>7191</v>
      </c>
      <c r="I9" s="108"/>
      <c r="J9" s="107">
        <v>17990</v>
      </c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/>
      <c r="H10" s="97"/>
      <c r="I10" s="99"/>
      <c r="J10" s="99"/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/>
      <c r="I11" s="107"/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14500</v>
      </c>
      <c r="J25" s="189">
        <f>SUM($J8:$J24)</f>
        <v>17990</v>
      </c>
      <c r="K25" s="189">
        <f>SUM($K8:$K24)</f>
        <v>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32490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14500</v>
      </c>
      <c r="G32" s="373"/>
      <c r="H32" s="373"/>
      <c r="I32" s="374"/>
      <c r="J32" s="137" t="s">
        <v>10</v>
      </c>
      <c r="K32" s="138"/>
      <c r="L32" s="139">
        <v>100000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17990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32490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100000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32490</v>
      </c>
      <c r="G42" s="156"/>
      <c r="H42" s="157"/>
      <c r="I42" s="158"/>
      <c r="J42" s="154"/>
      <c r="K42" s="155" t="s">
        <v>69</v>
      </c>
      <c r="L42" s="193">
        <f>L39+L41</f>
        <v>100000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>
        <v>1</v>
      </c>
      <c r="F46" s="195">
        <f>D46*E46</f>
        <v>20000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1</v>
      </c>
      <c r="F47" s="195">
        <f>D47*E47</f>
        <v>10000</v>
      </c>
      <c r="G47" s="397"/>
      <c r="H47" s="391"/>
      <c r="I47" s="392"/>
      <c r="J47" s="194">
        <v>100</v>
      </c>
      <c r="K47" s="163">
        <v>7</v>
      </c>
      <c r="L47" s="197">
        <f>J47*K47</f>
        <v>700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6</v>
      </c>
      <c r="L48" s="197">
        <f>J48*K48</f>
        <v>300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>
        <v>2</v>
      </c>
      <c r="L49" s="197">
        <f>J49*K49</f>
        <v>20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1</v>
      </c>
      <c r="F50" s="195">
        <f>D50*E50</f>
        <v>1000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31000</v>
      </c>
      <c r="G51" s="156"/>
      <c r="H51" s="157"/>
      <c r="I51" s="158"/>
      <c r="J51" s="166"/>
      <c r="K51" s="167" t="s">
        <v>76</v>
      </c>
      <c r="L51" s="196">
        <f>SUM(L46:L50)</f>
        <v>1020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'13'!J69</f>
        <v>117520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100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32020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32490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100000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50010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-67510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32020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BtC+zSfMMc6gul0MwF425BLaw93PCkSB5SX3cS6TYD0e87KAqgrNk1lGb1C+lRktCGB9ubf4oXV5GFo64U8zHw==" saltValue="eDn9FUOUy4udyTZ9jqOAu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41" priority="1">
      <formula>$J71=0</formula>
    </cfRule>
    <cfRule type="expression" dxfId="40" priority="2">
      <formula>$J71&gt;=1</formula>
    </cfRule>
    <cfRule type="expression" dxfId="39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A428-07E3-4BC5-B0FD-8AE1A2B8FCA8}">
  <sheetPr codeName="Hoja21">
    <tabColor theme="2"/>
    <pageSetUpPr fitToPage="1"/>
  </sheetPr>
  <dimension ref="A1:L89"/>
  <sheetViews>
    <sheetView showWhiteSpace="0" view="pageLayout" topLeftCell="A5" zoomScale="80" zoomScaleNormal="90" zoomScalePageLayoutView="80" workbookViewId="0">
      <selection activeCell="M62" sqref="M62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45609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302">
        <v>8034573</v>
      </c>
      <c r="B8" s="97">
        <v>21144</v>
      </c>
      <c r="C8" s="98"/>
      <c r="D8" s="99"/>
      <c r="E8" s="100"/>
      <c r="F8" s="101">
        <v>500</v>
      </c>
      <c r="G8" s="102"/>
      <c r="H8" s="103">
        <v>7183</v>
      </c>
      <c r="I8" s="104">
        <v>75000</v>
      </c>
      <c r="J8" s="104"/>
      <c r="K8" s="98"/>
      <c r="L8" s="98"/>
    </row>
    <row r="9" spans="1:12" ht="20.45" customHeight="1" x14ac:dyDescent="0.25">
      <c r="A9" s="105"/>
      <c r="B9" s="106">
        <v>21144</v>
      </c>
      <c r="C9" s="107">
        <v>10000</v>
      </c>
      <c r="D9" s="108"/>
      <c r="E9" s="109"/>
      <c r="F9" s="110"/>
      <c r="G9" s="111">
        <v>543</v>
      </c>
      <c r="H9" s="106">
        <v>7182</v>
      </c>
      <c r="I9" s="108"/>
      <c r="J9" s="107">
        <v>45000</v>
      </c>
      <c r="K9" s="107"/>
      <c r="L9" s="107"/>
    </row>
    <row r="10" spans="1:12" ht="20.45" customHeight="1" x14ac:dyDescent="0.25">
      <c r="A10" s="96"/>
      <c r="B10" s="97">
        <v>21145</v>
      </c>
      <c r="C10" s="98">
        <v>5700</v>
      </c>
      <c r="D10" s="99"/>
      <c r="E10" s="100"/>
      <c r="F10" s="101"/>
      <c r="G10" s="102"/>
      <c r="H10" s="97">
        <v>7183</v>
      </c>
      <c r="I10" s="99">
        <v>10000</v>
      </c>
      <c r="J10" s="99"/>
      <c r="K10" s="98"/>
      <c r="L10" s="98"/>
    </row>
    <row r="11" spans="1:12" ht="20.45" customHeight="1" x14ac:dyDescent="0.25">
      <c r="A11" s="105">
        <v>546</v>
      </c>
      <c r="B11" s="106">
        <v>21146</v>
      </c>
      <c r="C11" s="107"/>
      <c r="D11" s="107">
        <v>9000</v>
      </c>
      <c r="E11" s="109"/>
      <c r="F11" s="110"/>
      <c r="G11" s="301">
        <v>8034573</v>
      </c>
      <c r="H11" s="106">
        <v>7184</v>
      </c>
      <c r="I11" s="107"/>
      <c r="J11" s="108"/>
      <c r="K11" s="107"/>
      <c r="L11" s="107">
        <v>20000</v>
      </c>
    </row>
    <row r="12" spans="1:12" ht="20.45" customHeight="1" x14ac:dyDescent="0.25">
      <c r="A12" s="96">
        <v>299</v>
      </c>
      <c r="B12" s="97">
        <v>21147</v>
      </c>
      <c r="C12" s="98"/>
      <c r="D12" s="98">
        <v>16000</v>
      </c>
      <c r="E12" s="100"/>
      <c r="F12" s="101"/>
      <c r="G12" s="102">
        <v>544.54499999999996</v>
      </c>
      <c r="H12" s="97">
        <v>7185</v>
      </c>
      <c r="I12" s="98"/>
      <c r="J12" s="99">
        <v>192000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301">
        <v>7082695</v>
      </c>
      <c r="H13" s="106">
        <v>7186</v>
      </c>
      <c r="I13" s="108"/>
      <c r="J13" s="107"/>
      <c r="K13" s="107"/>
      <c r="L13" s="107">
        <v>17990</v>
      </c>
    </row>
    <row r="14" spans="1:12" ht="20.45" customHeight="1" x14ac:dyDescent="0.25">
      <c r="A14" s="96"/>
      <c r="B14" s="97"/>
      <c r="C14" s="98"/>
      <c r="D14" s="98"/>
      <c r="E14" s="100"/>
      <c r="F14" s="101"/>
      <c r="G14" s="102">
        <v>757576</v>
      </c>
      <c r="H14" s="97">
        <v>7187</v>
      </c>
      <c r="I14" s="98"/>
      <c r="J14" s="98"/>
      <c r="K14" s="98"/>
      <c r="L14" s="98">
        <v>155500</v>
      </c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>
        <v>7188</v>
      </c>
      <c r="I15" s="107">
        <v>7500</v>
      </c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>
        <v>546</v>
      </c>
      <c r="H16" s="97">
        <v>7189</v>
      </c>
      <c r="I16" s="98"/>
      <c r="J16" s="98">
        <v>320000</v>
      </c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15700</v>
      </c>
      <c r="D25" s="189">
        <f>SUM($D8:$D24)</f>
        <v>25000</v>
      </c>
      <c r="E25" s="189">
        <f>SUM($E8:$E24)</f>
        <v>0</v>
      </c>
      <c r="F25" s="189">
        <f>SUM($F8:$F24)</f>
        <v>500</v>
      </c>
      <c r="G25" s="120"/>
      <c r="H25" s="119" t="s">
        <v>49</v>
      </c>
      <c r="I25" s="189">
        <f>SUM($I8:$I24)</f>
        <v>92500</v>
      </c>
      <c r="J25" s="189">
        <f>SUM($J8:$J24)</f>
        <v>557000</v>
      </c>
      <c r="K25" s="189">
        <f>SUM($K8:$K24)</f>
        <v>0</v>
      </c>
      <c r="L25" s="189">
        <f>SUM($L8:$L24)</f>
        <v>193490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884190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108200</v>
      </c>
      <c r="G32" s="373"/>
      <c r="H32" s="373"/>
      <c r="I32" s="374"/>
      <c r="J32" s="137" t="s">
        <v>10</v>
      </c>
      <c r="K32" s="138"/>
      <c r="L32" s="139"/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582000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193990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884190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0</v>
      </c>
      <c r="G39" s="373"/>
      <c r="H39" s="373"/>
      <c r="I39" s="374"/>
      <c r="J39" s="144" t="s">
        <v>64</v>
      </c>
      <c r="K39" s="145"/>
      <c r="L39" s="192">
        <f>SUM(L32:L38)</f>
        <v>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884190</v>
      </c>
      <c r="G42" s="156"/>
      <c r="H42" s="157"/>
      <c r="I42" s="158"/>
      <c r="J42" s="154"/>
      <c r="K42" s="155" t="s">
        <v>69</v>
      </c>
      <c r="L42" s="193">
        <f>L39+L41</f>
        <v>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>
        <v>3</v>
      </c>
      <c r="F46" s="195">
        <f>D46*E46</f>
        <v>60000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5</v>
      </c>
      <c r="F47" s="195">
        <f>D47*E47</f>
        <v>50000</v>
      </c>
      <c r="G47" s="397"/>
      <c r="H47" s="391"/>
      <c r="I47" s="392"/>
      <c r="J47" s="194">
        <v>100</v>
      </c>
      <c r="K47" s="163">
        <v>12</v>
      </c>
      <c r="L47" s="197">
        <f>J47*K47</f>
        <v>1200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>
        <v>1</v>
      </c>
      <c r="F48" s="195">
        <f>D48*E48</f>
        <v>5000</v>
      </c>
      <c r="G48" s="397"/>
      <c r="H48" s="391"/>
      <c r="I48" s="392"/>
      <c r="J48" s="194">
        <v>50</v>
      </c>
      <c r="K48" s="163">
        <v>6</v>
      </c>
      <c r="L48" s="197">
        <f>J48*K48</f>
        <v>300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>
        <v>2</v>
      </c>
      <c r="L49" s="197">
        <f>J49*K49</f>
        <v>20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1</v>
      </c>
      <c r="F50" s="195">
        <f>D50*E50</f>
        <v>1000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116000</v>
      </c>
      <c r="G51" s="156"/>
      <c r="H51" s="157"/>
      <c r="I51" s="158"/>
      <c r="J51" s="166"/>
      <c r="K51" s="167" t="s">
        <v>76</v>
      </c>
      <c r="L51" s="196">
        <f>SUM(L46:L50)</f>
        <v>1520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'12'!J69</f>
        <v>9320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117520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884190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893510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884190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117520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SUbYWqNdBbDTi6bjS9/SBsVwcoNfAO0zNrXG6naDUZGl83uw+k73u6syQN2pV7WQKmRF9d5Sf4cG+wst1hyVZw==" saltValue="zBrgCDYP/OuKmZT5tJZjV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38" priority="1">
      <formula>$J71=0</formula>
    </cfRule>
    <cfRule type="expression" dxfId="37" priority="2">
      <formula>$J71&gt;=1</formula>
    </cfRule>
    <cfRule type="expression" dxfId="36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2F3B-A3A2-46C8-94A6-97D595676678}">
  <sheetPr codeName="Hoja22">
    <tabColor theme="2"/>
    <pageSetUpPr fitToPage="1"/>
  </sheetPr>
  <dimension ref="A1:L89"/>
  <sheetViews>
    <sheetView showWhiteSpace="0" view="pageLayout" topLeftCell="A47" zoomScale="80" zoomScaleNormal="90" zoomScalePageLayoutView="80" workbookViewId="0">
      <selection activeCell="O47" sqref="O47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45638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297</v>
      </c>
      <c r="B8" s="97">
        <v>21143</v>
      </c>
      <c r="C8" s="98"/>
      <c r="D8" s="99">
        <v>12500</v>
      </c>
      <c r="E8" s="100"/>
      <c r="F8" s="101"/>
      <c r="G8" s="102">
        <v>535</v>
      </c>
      <c r="H8" s="103">
        <v>7173</v>
      </c>
      <c r="I8" s="104"/>
      <c r="J8" s="104">
        <v>35000</v>
      </c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>
        <v>536</v>
      </c>
      <c r="H9" s="106">
        <v>7174</v>
      </c>
      <c r="I9" s="108"/>
      <c r="J9" s="107">
        <v>56000</v>
      </c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537</v>
      </c>
      <c r="H10" s="97">
        <v>7175</v>
      </c>
      <c r="I10" s="99"/>
      <c r="J10" s="99">
        <v>52990</v>
      </c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>
        <v>538</v>
      </c>
      <c r="H11" s="106">
        <v>7176</v>
      </c>
      <c r="I11" s="107"/>
      <c r="J11" s="108">
        <v>179500</v>
      </c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539</v>
      </c>
      <c r="H12" s="97">
        <v>7177</v>
      </c>
      <c r="I12" s="98"/>
      <c r="J12" s="99">
        <v>39500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>
        <v>540</v>
      </c>
      <c r="H13" s="106">
        <v>7178</v>
      </c>
      <c r="I13" s="108"/>
      <c r="J13" s="107">
        <v>21980</v>
      </c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>
        <v>541</v>
      </c>
      <c r="H14" s="97">
        <v>7179</v>
      </c>
      <c r="I14" s="98"/>
      <c r="J14" s="98">
        <v>32980</v>
      </c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>
        <v>542</v>
      </c>
      <c r="H15" s="106">
        <v>7180</v>
      </c>
      <c r="I15" s="107"/>
      <c r="J15" s="107">
        <v>10000</v>
      </c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12500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427950</v>
      </c>
      <c r="K25" s="189">
        <f>SUM($K8:$K24)</f>
        <v>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440450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>
        <v>34500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440450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440450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0</v>
      </c>
      <c r="G39" s="373"/>
      <c r="H39" s="373"/>
      <c r="I39" s="374"/>
      <c r="J39" s="144" t="s">
        <v>64</v>
      </c>
      <c r="K39" s="145"/>
      <c r="L39" s="192">
        <f>SUM(L32:L38)</f>
        <v>34500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440450</v>
      </c>
      <c r="G42" s="156"/>
      <c r="H42" s="157"/>
      <c r="I42" s="158"/>
      <c r="J42" s="154"/>
      <c r="K42" s="155" t="s">
        <v>69</v>
      </c>
      <c r="L42" s="193">
        <f>L39+L41</f>
        <v>34500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>
        <v>20</v>
      </c>
      <c r="L47" s="197">
        <f>J47*K47</f>
        <v>2000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6</v>
      </c>
      <c r="L48" s="197">
        <f>J48*K48</f>
        <v>300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>
        <v>2</v>
      </c>
      <c r="L49" s="197">
        <f>J49*K49</f>
        <v>20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7</v>
      </c>
      <c r="F50" s="195">
        <f>D50*E50</f>
        <v>7000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7000</v>
      </c>
      <c r="G51" s="156"/>
      <c r="H51" s="157"/>
      <c r="I51" s="158"/>
      <c r="J51" s="166"/>
      <c r="K51" s="167" t="s">
        <v>76</v>
      </c>
      <c r="L51" s="196">
        <f>SUM(L46:L50)</f>
        <v>2320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'11'!J69</f>
        <v>43820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99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9320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440450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34500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449770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405950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9320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jvyHfB5yvCGzbn/QAyI32ajU1KjIFW8XqbqnAv0B4Y9q5/MzxIvtAURS+hSNRSgSuxoD8foTK7OBTpajmUkPag==" saltValue="lqpe6JqdW4344fqMeo5y/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35" priority="1">
      <formula>$J71=0</formula>
    </cfRule>
    <cfRule type="expression" dxfId="34" priority="2">
      <formula>$J71&gt;=1</formula>
    </cfRule>
    <cfRule type="expression" dxfId="33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FFE6-3C24-42DE-B004-9C8737F5789C}">
  <sheetPr codeName="Hoja23">
    <tabColor theme="2"/>
    <pageSetUpPr fitToPage="1"/>
  </sheetPr>
  <dimension ref="A1:L89"/>
  <sheetViews>
    <sheetView showWhiteSpace="0" view="pageLayout" topLeftCell="A49" zoomScale="80" zoomScaleNormal="90" zoomScalePageLayoutView="80" workbookViewId="0">
      <selection activeCell="F57" sqref="F57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45607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530</v>
      </c>
      <c r="B8" s="97">
        <v>21140</v>
      </c>
      <c r="C8" s="98"/>
      <c r="D8" s="99">
        <v>3800</v>
      </c>
      <c r="E8" s="100"/>
      <c r="F8" s="101"/>
      <c r="G8" s="102">
        <v>530</v>
      </c>
      <c r="H8" s="103">
        <v>7165</v>
      </c>
      <c r="I8" s="104"/>
      <c r="J8" s="104">
        <v>24990</v>
      </c>
      <c r="K8" s="98"/>
      <c r="L8" s="98"/>
    </row>
    <row r="9" spans="1:12" ht="20.45" customHeight="1" x14ac:dyDescent="0.25">
      <c r="A9" s="105">
        <v>295</v>
      </c>
      <c r="B9" s="106">
        <v>21141</v>
      </c>
      <c r="C9" s="107"/>
      <c r="D9" s="108">
        <v>20200</v>
      </c>
      <c r="E9" s="109"/>
      <c r="F9" s="110"/>
      <c r="G9" s="111">
        <v>529</v>
      </c>
      <c r="H9" s="106">
        <v>7166</v>
      </c>
      <c r="I9" s="108"/>
      <c r="J9" s="107">
        <v>10000</v>
      </c>
      <c r="K9" s="107"/>
      <c r="L9" s="107"/>
    </row>
    <row r="10" spans="1:12" ht="20.45" customHeight="1" x14ac:dyDescent="0.25">
      <c r="A10" s="96"/>
      <c r="B10" s="97">
        <v>21142</v>
      </c>
      <c r="C10" s="98">
        <v>10000</v>
      </c>
      <c r="D10" s="99"/>
      <c r="E10" s="100"/>
      <c r="F10" s="101"/>
      <c r="G10" s="102">
        <v>528</v>
      </c>
      <c r="H10" s="97">
        <v>7167</v>
      </c>
      <c r="I10" s="99"/>
      <c r="J10" s="99">
        <v>150000</v>
      </c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>
        <v>7168</v>
      </c>
      <c r="I11" s="107">
        <v>300500</v>
      </c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531</v>
      </c>
      <c r="H12" s="97">
        <v>7169</v>
      </c>
      <c r="I12" s="98"/>
      <c r="J12" s="99"/>
      <c r="K12" s="98">
        <v>24990</v>
      </c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>
        <v>533</v>
      </c>
      <c r="H13" s="106">
        <v>7170</v>
      </c>
      <c r="I13" s="108"/>
      <c r="J13" s="107">
        <v>18000</v>
      </c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>
        <v>7170</v>
      </c>
      <c r="I14" s="98">
        <v>16000</v>
      </c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>
        <v>534</v>
      </c>
      <c r="H15" s="106">
        <v>7171</v>
      </c>
      <c r="I15" s="107"/>
      <c r="J15" s="107">
        <v>20000</v>
      </c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>
        <v>532</v>
      </c>
      <c r="H16" s="97">
        <v>7172</v>
      </c>
      <c r="I16" s="98"/>
      <c r="J16" s="98"/>
      <c r="K16" s="98">
        <v>163930</v>
      </c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10000</v>
      </c>
      <c r="D25" s="189">
        <f>SUM($D8:$D24)</f>
        <v>24000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316500</v>
      </c>
      <c r="J25" s="189">
        <f>SUM($J8:$J24)</f>
        <v>222990</v>
      </c>
      <c r="K25" s="189">
        <f>SUM($K8:$K24)</f>
        <v>188920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762410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326500</v>
      </c>
      <c r="G32" s="373"/>
      <c r="H32" s="373"/>
      <c r="I32" s="374"/>
      <c r="J32" s="137" t="s">
        <v>10</v>
      </c>
      <c r="K32" s="138"/>
      <c r="L32" s="139">
        <v>480000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246990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188920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762410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20</v>
      </c>
      <c r="G39" s="373"/>
      <c r="H39" s="373"/>
      <c r="I39" s="374"/>
      <c r="J39" s="144" t="s">
        <v>64</v>
      </c>
      <c r="K39" s="145"/>
      <c r="L39" s="192">
        <f>SUM(L32:L38)</f>
        <v>480000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20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762430</v>
      </c>
      <c r="G42" s="156"/>
      <c r="H42" s="157"/>
      <c r="I42" s="158"/>
      <c r="J42" s="154"/>
      <c r="K42" s="155" t="s">
        <v>69</v>
      </c>
      <c r="L42" s="193">
        <f>L39+L41</f>
        <v>480000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>
        <v>1</v>
      </c>
      <c r="L46" s="197">
        <f>J46*K46</f>
        <v>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>
        <v>20</v>
      </c>
      <c r="L47" s="197">
        <f>J47*K47</f>
        <v>2000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>
        <v>5</v>
      </c>
      <c r="F48" s="195">
        <f>D48*E48</f>
        <v>25000</v>
      </c>
      <c r="G48" s="397"/>
      <c r="H48" s="391"/>
      <c r="I48" s="392"/>
      <c r="J48" s="194">
        <v>50</v>
      </c>
      <c r="K48" s="163">
        <v>6</v>
      </c>
      <c r="L48" s="197">
        <f>J48*K48</f>
        <v>300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>
        <v>1</v>
      </c>
      <c r="F49" s="195">
        <f>D49*E49</f>
        <v>2000</v>
      </c>
      <c r="G49" s="397"/>
      <c r="H49" s="391"/>
      <c r="I49" s="392"/>
      <c r="J49" s="194">
        <v>10</v>
      </c>
      <c r="K49" s="163">
        <v>2</v>
      </c>
      <c r="L49" s="197">
        <f>J49*K49</f>
        <v>20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14</v>
      </c>
      <c r="F50" s="195">
        <f>D50*E50</f>
        <v>14000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41000</v>
      </c>
      <c r="G51" s="156"/>
      <c r="H51" s="157"/>
      <c r="I51" s="158"/>
      <c r="J51" s="166"/>
      <c r="K51" s="167" t="s">
        <v>76</v>
      </c>
      <c r="L51" s="196">
        <f>SUM(L46:L50)</f>
        <v>2820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'10'!J69</f>
        <v>197300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98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43820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762410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20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480000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479730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282430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43820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KNT13ar3sIol4Khxogjk0HSVhejXLXaMsT1PtPGgDcrg7eeyoaoloTqy1tCfE1GJ0AER//sY+ceuA/X0Khw0FA==" saltValue="GPLMmPP5Hr6Hy+uO97lsz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32" priority="1">
      <formula>$J71=0</formula>
    </cfRule>
    <cfRule type="expression" dxfId="31" priority="2">
      <formula>$J71&gt;=1</formula>
    </cfRule>
    <cfRule type="expression" dxfId="30" priority="3">
      <formula>$J71&lt;=-1</formula>
    </cfRule>
  </conditionalFormatting>
  <pageMargins left="0.25" right="0.25" top="0.75" bottom="0.75" header="0.3" footer="0.3"/>
  <pageSetup paperSize="9" scale="59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6A79-D48F-4963-A7CD-E65D2551799F}">
  <sheetPr codeName="Hoja24">
    <tabColor theme="2"/>
    <pageSetUpPr fitToPage="1"/>
  </sheetPr>
  <dimension ref="A1:L89"/>
  <sheetViews>
    <sheetView showWhiteSpace="0" view="pageLayout" zoomScale="80" zoomScaleNormal="90" zoomScalePageLayoutView="80" workbookViewId="0">
      <selection activeCell="A4" sqref="A4:L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/>
      <c r="D1" s="351"/>
      <c r="E1" s="352"/>
      <c r="F1" s="348" t="s">
        <v>39</v>
      </c>
      <c r="G1" s="353"/>
      <c r="H1" s="349"/>
      <c r="I1" s="354"/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/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/>
      <c r="H8" s="103"/>
      <c r="I8" s="104"/>
      <c r="J8" s="104"/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/>
      <c r="H9" s="106"/>
      <c r="I9" s="108"/>
      <c r="J9" s="107"/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/>
      <c r="H10" s="97"/>
      <c r="I10" s="99"/>
      <c r="J10" s="99"/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/>
      <c r="I11" s="107"/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0</v>
      </c>
      <c r="K25" s="189">
        <f>SUM($K8:$K24)</f>
        <v>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>
        <v>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0</v>
      </c>
      <c r="G42" s="156"/>
      <c r="H42" s="157"/>
      <c r="I42" s="158"/>
      <c r="J42" s="154"/>
      <c r="K42" s="155" t="s">
        <v>69</v>
      </c>
      <c r="L42" s="193">
        <f>L39+L41</f>
        <v>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/>
      <c r="L47" s="197">
        <f>J47*K47</f>
        <v>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/>
      <c r="L48" s="197">
        <f>J48*K48</f>
        <v>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/>
      <c r="F50" s="195">
        <f>D50*E50</f>
        <v>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0</v>
      </c>
      <c r="G51" s="156"/>
      <c r="H51" s="157"/>
      <c r="I51" s="158"/>
      <c r="J51" s="166"/>
      <c r="K51" s="167" t="s">
        <v>76</v>
      </c>
      <c r="L51" s="196">
        <f>SUM(L46:L50)</f>
        <v>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'09'!J69</f>
        <v>197300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197300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197300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-197300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1Jx8u1Ll+uJzDfkMZqAiOcLVXIG2y+MYYlOyLd9LQZ6VzMayH4MTeDxXBy6pwj27GSa33y5lls76Xl14rRaLaw==" saltValue="NIdE5SuygnypDW7T5IDnO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29" priority="1">
      <formula>$J71=0</formula>
    </cfRule>
    <cfRule type="expression" dxfId="28" priority="2">
      <formula>$J71&gt;=1</formula>
    </cfRule>
    <cfRule type="expression" dxfId="27" priority="3">
      <formula>$J71&lt;=-1</formula>
    </cfRule>
  </conditionalFormatting>
  <pageMargins left="0.25" right="0.25" top="0.75" bottom="0.75" header="0.3" footer="0.3"/>
  <pageSetup paperSize="9" scale="17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59DF-4EF1-405A-8D5D-93C4C2703824}">
  <sheetPr codeName="Hoja25">
    <tabColor theme="2"/>
    <pageSetUpPr fitToPage="1"/>
  </sheetPr>
  <dimension ref="A1:L89"/>
  <sheetViews>
    <sheetView view="pageLayout" topLeftCell="A43" zoomScale="70" zoomScaleNormal="90" zoomScalePageLayoutView="70" workbookViewId="0">
      <selection activeCell="B57" sqref="B57:E71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45605</v>
      </c>
      <c r="D1" s="351"/>
      <c r="E1" s="352"/>
      <c r="F1" s="348" t="s">
        <v>39</v>
      </c>
      <c r="G1" s="353"/>
      <c r="H1" s="349"/>
      <c r="I1" s="354" t="s">
        <v>85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7" t="s">
        <v>44</v>
      </c>
      <c r="B5" s="358"/>
      <c r="C5" s="358"/>
      <c r="D5" s="358"/>
      <c r="E5" s="358"/>
      <c r="F5" s="359"/>
      <c r="G5" s="358" t="s">
        <v>45</v>
      </c>
      <c r="H5" s="358"/>
      <c r="I5" s="358"/>
      <c r="J5" s="358"/>
      <c r="K5" s="358"/>
      <c r="L5" s="360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>
        <v>21136</v>
      </c>
      <c r="C8" s="98">
        <v>3500</v>
      </c>
      <c r="D8" s="99"/>
      <c r="E8" s="100"/>
      <c r="F8" s="101"/>
      <c r="G8" s="102">
        <v>521</v>
      </c>
      <c r="H8" s="103">
        <v>7154</v>
      </c>
      <c r="I8" s="104"/>
      <c r="J8" s="104">
        <v>49500</v>
      </c>
      <c r="K8" s="98"/>
      <c r="L8" s="98"/>
    </row>
    <row r="9" spans="1:12" ht="20.45" customHeight="1" x14ac:dyDescent="0.25">
      <c r="A9" s="105">
        <v>292</v>
      </c>
      <c r="B9" s="106">
        <v>21137</v>
      </c>
      <c r="C9" s="107"/>
      <c r="D9" s="108">
        <v>52200</v>
      </c>
      <c r="E9" s="109"/>
      <c r="F9" s="110"/>
      <c r="G9" s="111">
        <v>522</v>
      </c>
      <c r="H9" s="106">
        <v>7155</v>
      </c>
      <c r="I9" s="108"/>
      <c r="J9" s="107">
        <v>12150</v>
      </c>
      <c r="K9" s="107"/>
      <c r="L9" s="107"/>
    </row>
    <row r="10" spans="1:12" ht="20.45" customHeight="1" x14ac:dyDescent="0.25">
      <c r="A10" s="96"/>
      <c r="B10" s="97">
        <v>21138</v>
      </c>
      <c r="C10" s="98">
        <v>3500</v>
      </c>
      <c r="D10" s="99"/>
      <c r="E10" s="100"/>
      <c r="F10" s="101"/>
      <c r="G10" s="102"/>
      <c r="H10" s="97">
        <v>7156</v>
      </c>
      <c r="I10" s="99">
        <v>134500</v>
      </c>
      <c r="J10" s="99"/>
      <c r="K10" s="98"/>
      <c r="L10" s="98"/>
    </row>
    <row r="11" spans="1:12" ht="20.45" customHeight="1" x14ac:dyDescent="0.25">
      <c r="A11" s="105">
        <v>293</v>
      </c>
      <c r="B11" s="106">
        <v>21139</v>
      </c>
      <c r="C11" s="107"/>
      <c r="D11" s="107">
        <v>3500</v>
      </c>
      <c r="E11" s="109"/>
      <c r="F11" s="110"/>
      <c r="G11" s="111">
        <v>523</v>
      </c>
      <c r="H11" s="106">
        <v>7157</v>
      </c>
      <c r="I11" s="107"/>
      <c r="J11" s="108">
        <v>10000</v>
      </c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524</v>
      </c>
      <c r="H12" s="97">
        <v>7158</v>
      </c>
      <c r="I12" s="98"/>
      <c r="J12" s="99">
        <v>26500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>
        <v>525</v>
      </c>
      <c r="H13" s="106">
        <v>7159</v>
      </c>
      <c r="I13" s="108"/>
      <c r="J13" s="107">
        <v>10000</v>
      </c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>
        <v>7150</v>
      </c>
      <c r="I14" s="98">
        <v>13990</v>
      </c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>
        <v>7151</v>
      </c>
      <c r="I15" s="107">
        <v>38000</v>
      </c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>
        <v>526</v>
      </c>
      <c r="H16" s="97">
        <v>7162</v>
      </c>
      <c r="I16" s="98"/>
      <c r="J16" s="98">
        <v>42980</v>
      </c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>
        <v>7163</v>
      </c>
      <c r="I17" s="107">
        <v>23490</v>
      </c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>
        <v>527</v>
      </c>
      <c r="H18" s="97">
        <v>7164</v>
      </c>
      <c r="I18" s="98"/>
      <c r="J18" s="98">
        <v>17990</v>
      </c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7000</v>
      </c>
      <c r="D25" s="189">
        <f>SUM($D8:$D24)</f>
        <v>55700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209980</v>
      </c>
      <c r="J25" s="189">
        <f>SUM($J8:$J24)</f>
        <v>169120</v>
      </c>
      <c r="K25" s="189">
        <f>SUM($K8:$K24)</f>
        <v>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441800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216980</v>
      </c>
      <c r="G32" s="373"/>
      <c r="H32" s="373"/>
      <c r="I32" s="374"/>
      <c r="J32" s="137" t="s">
        <v>10</v>
      </c>
      <c r="K32" s="138"/>
      <c r="L32" s="139">
        <v>47000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224820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441800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0</v>
      </c>
      <c r="G39" s="373"/>
      <c r="H39" s="373"/>
      <c r="I39" s="374"/>
      <c r="J39" s="144" t="s">
        <v>64</v>
      </c>
      <c r="K39" s="145"/>
      <c r="L39" s="192">
        <f>SUM(L32:L38)</f>
        <v>47000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441800</v>
      </c>
      <c r="G42" s="156"/>
      <c r="H42" s="157"/>
      <c r="I42" s="158"/>
      <c r="J42" s="154"/>
      <c r="K42" s="155" t="s">
        <v>69</v>
      </c>
      <c r="L42" s="193">
        <f>L39+L41</f>
        <v>47000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>
        <v>1</v>
      </c>
      <c r="L46" s="197">
        <f>J46*K46</f>
        <v>500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18</v>
      </c>
      <c r="F47" s="195">
        <f>D47*E47</f>
        <v>180000</v>
      </c>
      <c r="G47" s="397"/>
      <c r="H47" s="391"/>
      <c r="I47" s="392"/>
      <c r="J47" s="194">
        <v>100</v>
      </c>
      <c r="K47" s="163">
        <v>15</v>
      </c>
      <c r="L47" s="197">
        <f>J47*K47</f>
        <v>1500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>
        <v>1</v>
      </c>
      <c r="F48" s="195">
        <f>D48*E48</f>
        <v>5000</v>
      </c>
      <c r="G48" s="397"/>
      <c r="H48" s="391"/>
      <c r="I48" s="392"/>
      <c r="J48" s="194">
        <v>50</v>
      </c>
      <c r="K48" s="163">
        <v>6</v>
      </c>
      <c r="L48" s="197">
        <f>J48*K48</f>
        <v>300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>
        <v>1</v>
      </c>
      <c r="F49" s="195">
        <f>D49*E49</f>
        <v>2000</v>
      </c>
      <c r="G49" s="397"/>
      <c r="H49" s="391"/>
      <c r="I49" s="392"/>
      <c r="J49" s="194">
        <v>10</v>
      </c>
      <c r="K49" s="163">
        <v>2</v>
      </c>
      <c r="L49" s="197">
        <f>J49*K49</f>
        <v>20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8</v>
      </c>
      <c r="F50" s="195">
        <f>D50*E50</f>
        <v>8000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195000</v>
      </c>
      <c r="G51" s="156"/>
      <c r="H51" s="157"/>
      <c r="I51" s="158"/>
      <c r="J51" s="166"/>
      <c r="K51" s="167" t="s">
        <v>76</v>
      </c>
      <c r="L51" s="196">
        <f>SUM(L46:L50)</f>
        <v>2320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'08'!J69</f>
        <v>27320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87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197320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441800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47000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422120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394800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197300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20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t5JPHstoe5L2WWxoTjkqKrcp77vDrAkSKd2NANDSolPllZOKKyLWwv+EhzQLttVNKlsaQ9C//FY+NGG3hLffVw==" saltValue="36ftG19x9HThJZGkJCk/k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26" priority="1">
      <formula>$J71=0</formula>
    </cfRule>
    <cfRule type="expression" dxfId="25" priority="2">
      <formula>$J71&gt;=1</formula>
    </cfRule>
    <cfRule type="expression" dxfId="24" priority="3">
      <formula>$J71&lt;=-1</formula>
    </cfRule>
  </conditionalFormatting>
  <pageMargins left="0.25" right="0.25" top="0.75" bottom="0.75" header="0.3" footer="0.3"/>
  <pageSetup paperSize="9" scale="59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8254-B49A-454B-9FF2-552B78B3DA33}">
  <sheetPr codeName="Hoja26">
    <tabColor theme="2"/>
    <pageSetUpPr fitToPage="1"/>
  </sheetPr>
  <dimension ref="A1:L89"/>
  <sheetViews>
    <sheetView showWhiteSpace="0" view="pageLayout" topLeftCell="A44" zoomScale="70" zoomScaleNormal="90" zoomScalePageLayoutView="70" workbookViewId="0">
      <selection activeCell="G73" sqref="G73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45604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401" t="s">
        <v>44</v>
      </c>
      <c r="B5" s="402"/>
      <c r="C5" s="402"/>
      <c r="D5" s="402"/>
      <c r="E5" s="402"/>
      <c r="F5" s="403"/>
      <c r="G5" s="402" t="s">
        <v>45</v>
      </c>
      <c r="H5" s="402"/>
      <c r="I5" s="402"/>
      <c r="J5" s="402"/>
      <c r="K5" s="402"/>
      <c r="L5" s="404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289</v>
      </c>
      <c r="B8" s="97">
        <v>21134</v>
      </c>
      <c r="C8" s="98"/>
      <c r="D8" s="99">
        <v>16800</v>
      </c>
      <c r="E8" s="100"/>
      <c r="F8" s="101"/>
      <c r="G8" s="102">
        <v>514</v>
      </c>
      <c r="H8" s="103">
        <v>7146</v>
      </c>
      <c r="I8" s="104"/>
      <c r="J8" s="104">
        <v>285000</v>
      </c>
      <c r="K8" s="98"/>
      <c r="L8" s="98"/>
    </row>
    <row r="9" spans="1:12" ht="20.45" customHeight="1" x14ac:dyDescent="0.25">
      <c r="A9" s="105">
        <v>290</v>
      </c>
      <c r="B9" s="106">
        <v>21135</v>
      </c>
      <c r="C9" s="107"/>
      <c r="D9" s="108">
        <v>9200</v>
      </c>
      <c r="E9" s="109"/>
      <c r="F9" s="110"/>
      <c r="G9" s="111">
        <v>513</v>
      </c>
      <c r="H9" s="106">
        <v>7147</v>
      </c>
      <c r="I9" s="108"/>
      <c r="J9" s="107">
        <v>85000</v>
      </c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515</v>
      </c>
      <c r="H10" s="97">
        <v>7148</v>
      </c>
      <c r="I10" s="99"/>
      <c r="J10" s="99"/>
      <c r="K10" s="98">
        <v>65960</v>
      </c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>
        <v>516</v>
      </c>
      <c r="H11" s="106">
        <v>7149</v>
      </c>
      <c r="I11" s="107"/>
      <c r="J11" s="108">
        <v>32980</v>
      </c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517</v>
      </c>
      <c r="H12" s="97">
        <v>7150</v>
      </c>
      <c r="I12" s="98"/>
      <c r="J12" s="99">
        <v>69000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>
        <v>518</v>
      </c>
      <c r="H13" s="106">
        <v>7151</v>
      </c>
      <c r="I13" s="108"/>
      <c r="J13" s="107">
        <v>24990</v>
      </c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>
        <v>519</v>
      </c>
      <c r="H14" s="97">
        <v>7152</v>
      </c>
      <c r="I14" s="98"/>
      <c r="J14" s="98">
        <v>24990</v>
      </c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>
        <v>520</v>
      </c>
      <c r="H15" s="106">
        <v>7153</v>
      </c>
      <c r="I15" s="107"/>
      <c r="J15" s="107">
        <v>39500</v>
      </c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26000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561460</v>
      </c>
      <c r="K25" s="189">
        <f>SUM($K8:$K24)</f>
        <v>65960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653420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>
        <v>1410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587460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65960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653420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0</v>
      </c>
      <c r="G39" s="373"/>
      <c r="H39" s="373"/>
      <c r="I39" s="374"/>
      <c r="J39" s="144" t="s">
        <v>64</v>
      </c>
      <c r="K39" s="145"/>
      <c r="L39" s="192">
        <f>SUM(L32:L38)</f>
        <v>1410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>
        <v>0</v>
      </c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653420</v>
      </c>
      <c r="G42" s="156"/>
      <c r="H42" s="157"/>
      <c r="I42" s="158"/>
      <c r="J42" s="154"/>
      <c r="K42" s="155" t="s">
        <v>69</v>
      </c>
      <c r="L42" s="193">
        <f>L39+L41</f>
        <v>1410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>
        <v>2</v>
      </c>
      <c r="L46" s="197">
        <f>J46*K46</f>
        <v>1000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1</v>
      </c>
      <c r="F47" s="195">
        <f>D47*E47</f>
        <v>10000</v>
      </c>
      <c r="G47" s="397"/>
      <c r="H47" s="391"/>
      <c r="I47" s="392"/>
      <c r="J47" s="194">
        <v>100</v>
      </c>
      <c r="K47" s="163">
        <f>7+13</f>
        <v>20</v>
      </c>
      <c r="L47" s="197">
        <f>J47*K47</f>
        <v>2000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>
        <v>1</v>
      </c>
      <c r="F48" s="195">
        <f>D48*E48</f>
        <v>5000</v>
      </c>
      <c r="G48" s="397"/>
      <c r="H48" s="391"/>
      <c r="I48" s="392"/>
      <c r="J48" s="194">
        <v>50</v>
      </c>
      <c r="K48" s="163">
        <f>1+5</f>
        <v>6</v>
      </c>
      <c r="L48" s="197">
        <f>J48*K48</f>
        <v>300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>
        <v>4</v>
      </c>
      <c r="L49" s="197">
        <f>J49*K49</f>
        <v>40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9</v>
      </c>
      <c r="F50" s="195">
        <f>D50*E50</f>
        <v>9000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24000</v>
      </c>
      <c r="G51" s="156"/>
      <c r="H51" s="157"/>
      <c r="I51" s="158"/>
      <c r="J51" s="166"/>
      <c r="K51" s="167" t="s">
        <v>76</v>
      </c>
      <c r="L51" s="196">
        <f>SUM(L46:L50)</f>
        <v>3340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'07'!J69</f>
        <v>28730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89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27340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653420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1410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680740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652010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27320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20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YdTlOwfFyeDEejAPYAQfbTjoc4Aw0mgLQh/e0RBWvdEfTQkW3SUUuErxAL7JUuMh3kW04ehdXibOW2lnlA5Q/g==" saltValue="GJUm+A59ETraadF4EBdDK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23" priority="1">
      <formula>$J71=0</formula>
    </cfRule>
    <cfRule type="expression" dxfId="22" priority="2">
      <formula>$J71&gt;=1</formula>
    </cfRule>
    <cfRule type="expression" dxfId="21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514E-5D30-4A90-B3F1-DDA014C984B7}">
  <sheetPr codeName="Hoja27">
    <tabColor theme="2"/>
    <pageSetUpPr fitToPage="1"/>
  </sheetPr>
  <dimension ref="A1:L89"/>
  <sheetViews>
    <sheetView showWhiteSpace="0" view="pageLayout" topLeftCell="A43" zoomScale="70" zoomScaleNormal="90" zoomScalePageLayoutView="70" workbookViewId="0">
      <selection activeCell="F72" sqref="F72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45603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401" t="s">
        <v>44</v>
      </c>
      <c r="B5" s="402"/>
      <c r="C5" s="402"/>
      <c r="D5" s="402"/>
      <c r="E5" s="402"/>
      <c r="F5" s="403"/>
      <c r="G5" s="402" t="s">
        <v>45</v>
      </c>
      <c r="H5" s="402"/>
      <c r="I5" s="402"/>
      <c r="J5" s="402"/>
      <c r="K5" s="402"/>
      <c r="L5" s="404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>
        <v>21132</v>
      </c>
      <c r="C8" s="98">
        <v>49500</v>
      </c>
      <c r="D8" s="99"/>
      <c r="E8" s="100"/>
      <c r="F8" s="101"/>
      <c r="G8" s="102">
        <v>511</v>
      </c>
      <c r="H8" s="103">
        <v>7141</v>
      </c>
      <c r="I8" s="104"/>
      <c r="J8" s="104">
        <v>35000</v>
      </c>
      <c r="K8" s="98"/>
      <c r="L8" s="98"/>
    </row>
    <row r="9" spans="1:12" ht="20.45" customHeight="1" x14ac:dyDescent="0.25">
      <c r="A9" s="105">
        <v>287</v>
      </c>
      <c r="B9" s="106">
        <v>21133</v>
      </c>
      <c r="C9" s="107"/>
      <c r="D9" s="108">
        <v>9200</v>
      </c>
      <c r="E9" s="109"/>
      <c r="F9" s="110"/>
      <c r="G9" s="111">
        <v>655405</v>
      </c>
      <c r="H9" s="106">
        <v>7142</v>
      </c>
      <c r="I9" s="108"/>
      <c r="J9" s="107"/>
      <c r="K9" s="107"/>
      <c r="L9" s="107">
        <v>49500</v>
      </c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8047618</v>
      </c>
      <c r="H10" s="97">
        <v>7143</v>
      </c>
      <c r="I10" s="99"/>
      <c r="J10" s="99"/>
      <c r="K10" s="98"/>
      <c r="L10" s="98">
        <v>10000</v>
      </c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>
        <v>7144</v>
      </c>
      <c r="I11" s="107">
        <v>32980</v>
      </c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512</v>
      </c>
      <c r="H12" s="97">
        <v>7145</v>
      </c>
      <c r="I12" s="98"/>
      <c r="J12" s="99">
        <v>24990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49500</v>
      </c>
      <c r="D25" s="189">
        <f>SUM($D8:$D24)</f>
        <v>9200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32980</v>
      </c>
      <c r="J25" s="189">
        <f>SUM($J8:$J24)</f>
        <v>59990</v>
      </c>
      <c r="K25" s="189">
        <f>SUM($K8:$K24)</f>
        <v>0</v>
      </c>
      <c r="L25" s="189">
        <f>SUM($L8:$L24)</f>
        <v>59500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211170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82480</v>
      </c>
      <c r="G32" s="373"/>
      <c r="H32" s="373"/>
      <c r="I32" s="374"/>
      <c r="J32" s="137" t="s">
        <v>10</v>
      </c>
      <c r="K32" s="138"/>
      <c r="L32" s="139">
        <v>97000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69190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59500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211170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97000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211170</v>
      </c>
      <c r="G42" s="156"/>
      <c r="H42" s="157"/>
      <c r="I42" s="158"/>
      <c r="J42" s="154"/>
      <c r="K42" s="155" t="s">
        <v>69</v>
      </c>
      <c r="L42" s="193">
        <f>L39+L41</f>
        <v>97000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2</v>
      </c>
      <c r="F47" s="195">
        <f>D47*E47</f>
        <v>20000</v>
      </c>
      <c r="G47" s="397"/>
      <c r="H47" s="391"/>
      <c r="I47" s="392"/>
      <c r="J47" s="194">
        <v>100</v>
      </c>
      <c r="K47" s="163">
        <v>7</v>
      </c>
      <c r="L47" s="197">
        <f>J47*K47</f>
        <v>700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1</v>
      </c>
      <c r="L48" s="197">
        <f>J48*K48</f>
        <v>50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8</v>
      </c>
      <c r="F50" s="195">
        <f>D50*E50</f>
        <v>8000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28000</v>
      </c>
      <c r="G51" s="156"/>
      <c r="H51" s="157"/>
      <c r="I51" s="158"/>
      <c r="J51" s="166"/>
      <c r="K51" s="167" t="s">
        <v>76</v>
      </c>
      <c r="L51" s="196">
        <f>SUM(L46:L50)</f>
        <v>750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'06'!J69</f>
        <v>43250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90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28750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211170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97000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157420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114170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28730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20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OLtvS6kePnN2wFsBEkXQeTaDwq1JoY2l83+G0+p0Z6urHOIph5mMFXrRAgZ7N3UM61osi+olusnHUBDnIRqWCQ==" saltValue="t0NCLUt+vrsjcj8AYdeUh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20" priority="1">
      <formula>$J71=0</formula>
    </cfRule>
    <cfRule type="expression" dxfId="19" priority="2">
      <formula>$J71&gt;=1</formula>
    </cfRule>
    <cfRule type="expression" dxfId="18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FEAC-39B8-4E9F-BD69-FC31A71F814A}">
  <sheetPr codeName="Hoja31">
    <tabColor theme="2"/>
    <pageSetUpPr fitToPage="1"/>
  </sheetPr>
  <dimension ref="A1:L89"/>
  <sheetViews>
    <sheetView showWhiteSpace="0" view="pageLayout" topLeftCell="A26" zoomScale="70" zoomScaleNormal="90" zoomScalePageLayoutView="70" workbookViewId="0">
      <selection activeCell="B26" sqref="B26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45602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401" t="s">
        <v>44</v>
      </c>
      <c r="B5" s="402"/>
      <c r="C5" s="402"/>
      <c r="D5" s="402"/>
      <c r="E5" s="402"/>
      <c r="F5" s="403"/>
      <c r="G5" s="402" t="s">
        <v>45</v>
      </c>
      <c r="H5" s="402"/>
      <c r="I5" s="402"/>
      <c r="J5" s="402"/>
      <c r="K5" s="402"/>
      <c r="L5" s="404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299">
        <v>915188012</v>
      </c>
      <c r="B8" s="97">
        <v>21129</v>
      </c>
      <c r="C8" s="98"/>
      <c r="D8" s="99"/>
      <c r="E8" s="100"/>
      <c r="F8" s="101">
        <v>17250</v>
      </c>
      <c r="G8" s="102"/>
      <c r="H8" s="103">
        <v>7139</v>
      </c>
      <c r="I8" s="104">
        <v>14500</v>
      </c>
      <c r="J8" s="104"/>
      <c r="K8" s="98"/>
      <c r="L8" s="98"/>
    </row>
    <row r="9" spans="1:12" ht="20.45" customHeight="1" x14ac:dyDescent="0.25">
      <c r="A9" s="105">
        <v>284</v>
      </c>
      <c r="B9" s="106">
        <v>21130</v>
      </c>
      <c r="C9" s="107"/>
      <c r="D9" s="108">
        <v>5700</v>
      </c>
      <c r="E9" s="109"/>
      <c r="F9" s="110"/>
      <c r="G9" s="111">
        <v>510</v>
      </c>
      <c r="H9" s="106">
        <v>7140</v>
      </c>
      <c r="I9" s="108"/>
      <c r="J9" s="107">
        <v>24990</v>
      </c>
      <c r="K9" s="107"/>
      <c r="L9" s="107"/>
    </row>
    <row r="10" spans="1:12" ht="20.45" customHeight="1" x14ac:dyDescent="0.25">
      <c r="A10" s="96">
        <v>285</v>
      </c>
      <c r="B10" s="97">
        <v>21131</v>
      </c>
      <c r="C10" s="98"/>
      <c r="D10" s="99">
        <v>38700</v>
      </c>
      <c r="E10" s="100"/>
      <c r="F10" s="101"/>
      <c r="G10" s="102"/>
      <c r="H10" s="97"/>
      <c r="I10" s="99"/>
      <c r="J10" s="99"/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/>
      <c r="I11" s="107"/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44400</v>
      </c>
      <c r="E25" s="189">
        <f>SUM($E8:$E24)</f>
        <v>0</v>
      </c>
      <c r="F25" s="189">
        <f>SUM($F8:$F24)</f>
        <v>17250</v>
      </c>
      <c r="G25" s="120"/>
      <c r="H25" s="119" t="s">
        <v>49</v>
      </c>
      <c r="I25" s="189">
        <f>SUM($I8:$I24)</f>
        <v>14500</v>
      </c>
      <c r="J25" s="189">
        <f>SUM($J8:$J24)</f>
        <v>24990</v>
      </c>
      <c r="K25" s="189">
        <f>SUM($K8:$K24)</f>
        <v>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101140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14500</v>
      </c>
      <c r="G32" s="373"/>
      <c r="H32" s="373"/>
      <c r="I32" s="374"/>
      <c r="J32" s="137" t="s">
        <v>10</v>
      </c>
      <c r="K32" s="138"/>
      <c r="L32" s="139">
        <v>17000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69390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17250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101140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17000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101140</v>
      </c>
      <c r="G42" s="156"/>
      <c r="H42" s="157"/>
      <c r="I42" s="158"/>
      <c r="J42" s="154"/>
      <c r="K42" s="155" t="s">
        <v>69</v>
      </c>
      <c r="L42" s="193">
        <f>L39+L41</f>
        <v>17000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2</v>
      </c>
      <c r="F47" s="195">
        <f>D47*E47</f>
        <v>20000</v>
      </c>
      <c r="G47" s="397"/>
      <c r="H47" s="391"/>
      <c r="I47" s="392"/>
      <c r="J47" s="194">
        <v>100</v>
      </c>
      <c r="K47" s="163">
        <v>12</v>
      </c>
      <c r="L47" s="197">
        <f>J47*K47</f>
        <v>1200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>
        <v>2</v>
      </c>
      <c r="F48" s="195">
        <f>D48*E48</f>
        <v>10000</v>
      </c>
      <c r="G48" s="397"/>
      <c r="H48" s="391"/>
      <c r="I48" s="392"/>
      <c r="J48" s="194">
        <v>50</v>
      </c>
      <c r="K48" s="163">
        <v>1</v>
      </c>
      <c r="L48" s="197">
        <f>J48*K48</f>
        <v>50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>
        <v>1</v>
      </c>
      <c r="F49" s="195">
        <f>D49*E49</f>
        <v>2000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10</v>
      </c>
      <c r="F50" s="195">
        <f>D50*E50</f>
        <v>10000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42000</v>
      </c>
      <c r="G51" s="156"/>
      <c r="H51" s="157"/>
      <c r="I51" s="158"/>
      <c r="J51" s="166"/>
      <c r="K51" s="167" t="s">
        <v>76</v>
      </c>
      <c r="L51" s="196">
        <f>SUM(L46:L50)</f>
        <v>1250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'05'!J69</f>
        <v>45750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91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43250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101140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17000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129890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84140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43250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7/nUbpBB/fPhDs/Mc9epnVUTx/O7387r9CBKn2djPw5QATQhvADZn1XsA3Rqu/nLxKfqJRWcBllqYXM2NSdbGQ==" saltValue="RR/Fg+D6Lgyno/a9D93TJ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17" priority="1">
      <formula>$J71=0</formula>
    </cfRule>
    <cfRule type="expression" dxfId="16" priority="2">
      <formula>$J71&gt;=1</formula>
    </cfRule>
    <cfRule type="expression" dxfId="15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0474-53B1-4D5E-BA87-4E40AEAD091D}">
  <sheetPr codeName="Hoja1">
    <tabColor theme="2"/>
    <pageSetUpPr fitToPage="1"/>
  </sheetPr>
  <dimension ref="A1:L89"/>
  <sheetViews>
    <sheetView showWhiteSpace="0" view="pageLayout" topLeftCell="A44" zoomScale="70" zoomScaleNormal="90" zoomScalePageLayoutView="70" workbookViewId="0">
      <selection activeCell="L44" sqref="L44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45601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401" t="s">
        <v>44</v>
      </c>
      <c r="B5" s="402"/>
      <c r="C5" s="402"/>
      <c r="D5" s="402"/>
      <c r="E5" s="402"/>
      <c r="F5" s="403"/>
      <c r="G5" s="402" t="s">
        <v>45</v>
      </c>
      <c r="H5" s="402"/>
      <c r="I5" s="402"/>
      <c r="J5" s="402"/>
      <c r="K5" s="402"/>
      <c r="L5" s="404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505</v>
      </c>
      <c r="B8" s="97">
        <v>21125</v>
      </c>
      <c r="C8" s="98"/>
      <c r="D8" s="99"/>
      <c r="E8" s="100">
        <v>18500</v>
      </c>
      <c r="F8" s="101"/>
      <c r="G8" s="102">
        <v>504</v>
      </c>
      <c r="H8" s="103">
        <v>7134</v>
      </c>
      <c r="I8" s="104"/>
      <c r="J8" s="104"/>
      <c r="K8" s="98">
        <v>49500</v>
      </c>
      <c r="L8" s="98"/>
    </row>
    <row r="9" spans="1:12" ht="20.45" customHeight="1" x14ac:dyDescent="0.25">
      <c r="A9" s="105">
        <v>281</v>
      </c>
      <c r="B9" s="106">
        <v>21126</v>
      </c>
      <c r="C9" s="107"/>
      <c r="D9" s="108">
        <v>38500</v>
      </c>
      <c r="E9" s="109"/>
      <c r="F9" s="110"/>
      <c r="G9" s="111"/>
      <c r="H9" s="106">
        <v>7135</v>
      </c>
      <c r="I9" s="108">
        <v>10000</v>
      </c>
      <c r="J9" s="107"/>
      <c r="K9" s="107"/>
      <c r="L9" s="107"/>
    </row>
    <row r="10" spans="1:12" ht="20.45" customHeight="1" x14ac:dyDescent="0.25">
      <c r="A10" s="96">
        <v>507</v>
      </c>
      <c r="B10" s="97">
        <v>21127</v>
      </c>
      <c r="C10" s="98"/>
      <c r="D10" s="99">
        <v>13200</v>
      </c>
      <c r="E10" s="100"/>
      <c r="F10" s="101"/>
      <c r="G10" s="102">
        <v>507</v>
      </c>
      <c r="H10" s="97">
        <v>7136</v>
      </c>
      <c r="I10" s="99"/>
      <c r="J10" s="99">
        <v>9500</v>
      </c>
      <c r="K10" s="98"/>
      <c r="L10" s="98"/>
    </row>
    <row r="11" spans="1:12" ht="20.45" customHeight="1" x14ac:dyDescent="0.25">
      <c r="A11" s="105">
        <v>282</v>
      </c>
      <c r="B11" s="106">
        <v>21128</v>
      </c>
      <c r="C11" s="107"/>
      <c r="D11" s="107">
        <v>5500</v>
      </c>
      <c r="E11" s="109"/>
      <c r="F11" s="110"/>
      <c r="G11" s="111"/>
      <c r="H11" s="106">
        <v>7136</v>
      </c>
      <c r="I11" s="107">
        <v>30000</v>
      </c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508</v>
      </c>
      <c r="H12" s="97">
        <v>7137</v>
      </c>
      <c r="I12" s="98"/>
      <c r="J12" s="99">
        <v>74490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 t="s">
        <v>93</v>
      </c>
      <c r="H13" s="106">
        <v>7138</v>
      </c>
      <c r="I13" s="108">
        <v>65000</v>
      </c>
      <c r="J13" s="107">
        <f>35000+12000+2500</f>
        <v>49500</v>
      </c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57200</v>
      </c>
      <c r="E25" s="189">
        <f>SUM($E8:$E24)</f>
        <v>18500</v>
      </c>
      <c r="F25" s="189">
        <f>SUM($F8:$F24)</f>
        <v>0</v>
      </c>
      <c r="G25" s="120"/>
      <c r="H25" s="119" t="s">
        <v>49</v>
      </c>
      <c r="I25" s="189">
        <f>SUM($I8:$I24)</f>
        <v>105000</v>
      </c>
      <c r="J25" s="189">
        <f>SUM($J8:$J24)</f>
        <v>133490</v>
      </c>
      <c r="K25" s="189">
        <f>SUM($K8:$K24)</f>
        <v>49500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363690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105000</v>
      </c>
      <c r="G32" s="373"/>
      <c r="H32" s="373"/>
      <c r="I32" s="374"/>
      <c r="J32" s="137" t="s">
        <v>10</v>
      </c>
      <c r="K32" s="138"/>
      <c r="L32" s="139">
        <f>59000+3800</f>
        <v>62800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190690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68000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363690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62800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>
        <v>60000</v>
      </c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363690</v>
      </c>
      <c r="G42" s="156"/>
      <c r="H42" s="157"/>
      <c r="I42" s="158"/>
      <c r="J42" s="154"/>
      <c r="K42" s="155" t="s">
        <v>69</v>
      </c>
      <c r="L42" s="193">
        <f>L39+L41</f>
        <v>122800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2</v>
      </c>
      <c r="F47" s="195">
        <f>D47*E47</f>
        <v>20000</v>
      </c>
      <c r="G47" s="397"/>
      <c r="H47" s="391"/>
      <c r="I47" s="392"/>
      <c r="J47" s="194">
        <v>100</v>
      </c>
      <c r="K47" s="163">
        <v>7</v>
      </c>
      <c r="L47" s="197">
        <f>J47*K47</f>
        <v>700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>
        <v>3</v>
      </c>
      <c r="F48" s="195">
        <f>D48*E48</f>
        <v>15000</v>
      </c>
      <c r="G48" s="397"/>
      <c r="H48" s="391"/>
      <c r="I48" s="392"/>
      <c r="J48" s="194">
        <v>50</v>
      </c>
      <c r="K48" s="163">
        <v>1</v>
      </c>
      <c r="L48" s="197">
        <f>J48*K48</f>
        <v>50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f>5+5</f>
        <v>10</v>
      </c>
      <c r="F50" s="195">
        <f>D50*E50</f>
        <v>10000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45000</v>
      </c>
      <c r="G51" s="156"/>
      <c r="H51" s="157"/>
      <c r="I51" s="158"/>
      <c r="J51" s="166"/>
      <c r="K51" s="167" t="s">
        <v>76</v>
      </c>
      <c r="L51" s="196">
        <f>SUM(L46:L50)</f>
        <v>750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'04'!J69</f>
        <v>63550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94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45750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363690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122800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304440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240890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45750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SewgScyYK+i4BeRBi7ccYyivQIHOwrw0bbyCmJpuZFv13VLLydrqCVnU4PxmBKIhMxLmYxcDOYIRXDhn9MSEXg==" saltValue="+LclDT3xlhcvRT6Y6D4AW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14" priority="1">
      <formula>$J71=0</formula>
    </cfRule>
    <cfRule type="expression" dxfId="13" priority="2">
      <formula>$J71&gt;=1</formula>
    </cfRule>
    <cfRule type="expression" dxfId="12" priority="3">
      <formula>$J71&lt;=-1</formula>
    </cfRule>
  </conditionalFormatting>
  <pageMargins left="0.25" right="0.25" top="0.75" bottom="0.75" header="0.3" footer="0.3"/>
  <pageSetup paperSize="9" scale="59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4684-CC3F-4A57-A0C9-E8E1B452818C}">
  <sheetPr codeName="Hoja32">
    <tabColor theme="2"/>
    <pageSetUpPr fitToPage="1"/>
  </sheetPr>
  <dimension ref="A1:L89"/>
  <sheetViews>
    <sheetView showWhiteSpace="0" view="pageLayout" topLeftCell="A41" zoomScale="70" zoomScaleNormal="90" zoomScalePageLayoutView="70" workbookViewId="0">
      <selection activeCell="L61" sqref="L61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45600</v>
      </c>
      <c r="D1" s="351"/>
      <c r="E1" s="352"/>
      <c r="F1" s="348" t="s">
        <v>39</v>
      </c>
      <c r="G1" s="353"/>
      <c r="H1" s="349"/>
      <c r="I1" s="354" t="s">
        <v>88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86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401" t="s">
        <v>44</v>
      </c>
      <c r="B5" s="402"/>
      <c r="C5" s="402"/>
      <c r="D5" s="402"/>
      <c r="E5" s="402"/>
      <c r="F5" s="403"/>
      <c r="G5" s="402" t="s">
        <v>45</v>
      </c>
      <c r="H5" s="402"/>
      <c r="I5" s="402"/>
      <c r="J5" s="402"/>
      <c r="K5" s="402"/>
      <c r="L5" s="404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>
        <v>502</v>
      </c>
      <c r="B8" s="97">
        <v>21123</v>
      </c>
      <c r="C8" s="98"/>
      <c r="D8" s="99">
        <v>15000</v>
      </c>
      <c r="E8" s="100"/>
      <c r="F8" s="101"/>
      <c r="G8" s="102">
        <v>500</v>
      </c>
      <c r="H8" s="103">
        <v>7129</v>
      </c>
      <c r="I8" s="104"/>
      <c r="J8" s="104"/>
      <c r="K8" s="98">
        <v>310000</v>
      </c>
      <c r="L8" s="98"/>
    </row>
    <row r="9" spans="1:12" ht="20.45" customHeight="1" x14ac:dyDescent="0.25">
      <c r="A9" s="105"/>
      <c r="B9" s="106">
        <v>21123</v>
      </c>
      <c r="C9" s="107">
        <v>12500</v>
      </c>
      <c r="D9" s="108"/>
      <c r="E9" s="109"/>
      <c r="F9" s="110"/>
      <c r="G9" s="111">
        <v>501</v>
      </c>
      <c r="H9" s="106">
        <v>7130</v>
      </c>
      <c r="I9" s="108"/>
      <c r="J9" s="107"/>
      <c r="K9" s="107">
        <v>208000</v>
      </c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>
        <v>502</v>
      </c>
      <c r="H10" s="97">
        <v>7131</v>
      </c>
      <c r="I10" s="99"/>
      <c r="J10" s="99">
        <v>24990</v>
      </c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>
        <v>7132</v>
      </c>
      <c r="I11" s="107">
        <v>17990</v>
      </c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>
        <v>503</v>
      </c>
      <c r="H12" s="97">
        <v>7133</v>
      </c>
      <c r="I12" s="98"/>
      <c r="J12" s="99"/>
      <c r="K12" s="98">
        <v>35500</v>
      </c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s="83" customFormat="1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s="83" customFormat="1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25" customHeight="1" x14ac:dyDescent="0.25">
      <c r="A25" s="118"/>
      <c r="B25" s="119" t="s">
        <v>49</v>
      </c>
      <c r="C25" s="189">
        <f>SUM($C8:$C24)</f>
        <v>12500</v>
      </c>
      <c r="D25" s="189">
        <f>SUM($D8:$D24)</f>
        <v>15000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17990</v>
      </c>
      <c r="J25" s="189">
        <f>SUM($J8:$J24)</f>
        <v>24990</v>
      </c>
      <c r="K25" s="189">
        <f>SUM($K8:$K24)</f>
        <v>553500</v>
      </c>
      <c r="L25" s="189">
        <f>SUM($L8:$L24)</f>
        <v>0</v>
      </c>
    </row>
    <row r="26" spans="1:12" ht="3.7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1.7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623980</v>
      </c>
    </row>
    <row r="28" spans="1:12" ht="12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6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19.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8.75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75" customHeight="1" x14ac:dyDescent="0.25">
      <c r="A32" s="372"/>
      <c r="B32" s="373"/>
      <c r="C32" s="374"/>
      <c r="D32" s="137" t="s">
        <v>57</v>
      </c>
      <c r="E32" s="138"/>
      <c r="F32" s="191">
        <f>C25+I25</f>
        <v>30490</v>
      </c>
      <c r="G32" s="373"/>
      <c r="H32" s="373"/>
      <c r="I32" s="374"/>
      <c r="J32" s="137" t="s">
        <v>10</v>
      </c>
      <c r="K32" s="138"/>
      <c r="L32" s="139">
        <v>73000</v>
      </c>
    </row>
    <row r="33" spans="1:12" ht="15.75" customHeight="1" x14ac:dyDescent="0.25">
      <c r="A33" s="372"/>
      <c r="B33" s="373"/>
      <c r="C33" s="374"/>
      <c r="D33" s="137" t="s">
        <v>58</v>
      </c>
      <c r="E33" s="140"/>
      <c r="F33" s="191">
        <f>D25+J25</f>
        <v>39990</v>
      </c>
      <c r="G33" s="373"/>
      <c r="H33" s="373"/>
      <c r="I33" s="374"/>
      <c r="J33" s="141" t="s">
        <v>59</v>
      </c>
      <c r="K33" s="142"/>
      <c r="L33" s="143"/>
    </row>
    <row r="34" spans="1:12" ht="15.75" customHeight="1" x14ac:dyDescent="0.25">
      <c r="A34" s="372"/>
      <c r="B34" s="373"/>
      <c r="C34" s="374"/>
      <c r="D34" s="137" t="s">
        <v>60</v>
      </c>
      <c r="E34" s="140"/>
      <c r="F34" s="191">
        <f>E25+K25</f>
        <v>553500</v>
      </c>
      <c r="G34" s="373"/>
      <c r="H34" s="373"/>
      <c r="I34" s="374"/>
      <c r="J34" s="141" t="s">
        <v>61</v>
      </c>
      <c r="K34" s="142"/>
      <c r="L34" s="143"/>
    </row>
    <row r="35" spans="1:12" ht="15.75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75" customHeight="1" x14ac:dyDescent="0.25">
      <c r="A36" s="372"/>
      <c r="B36" s="373"/>
      <c r="C36" s="374"/>
      <c r="D36" s="144" t="s">
        <v>50</v>
      </c>
      <c r="E36" s="145"/>
      <c r="F36" s="192">
        <f>SUM(F32:F35)</f>
        <v>623980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>
        <v>20</v>
      </c>
      <c r="G39" s="373"/>
      <c r="H39" s="373"/>
      <c r="I39" s="374"/>
      <c r="J39" s="144" t="s">
        <v>64</v>
      </c>
      <c r="K39" s="145"/>
      <c r="L39" s="192">
        <f>SUM(L32:L38)</f>
        <v>73000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8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20</v>
      </c>
      <c r="G41" s="373"/>
      <c r="H41" s="373"/>
      <c r="I41" s="374"/>
      <c r="J41" s="141" t="s">
        <v>67</v>
      </c>
      <c r="K41" s="150"/>
      <c r="L41" s="151"/>
    </row>
    <row r="42" spans="1:12" ht="15.75" customHeight="1" x14ac:dyDescent="0.25">
      <c r="A42" s="118"/>
      <c r="B42" s="152"/>
      <c r="C42" s="153"/>
      <c r="D42" s="154"/>
      <c r="E42" s="155" t="s">
        <v>68</v>
      </c>
      <c r="F42" s="193">
        <f>F36+F41</f>
        <v>624000</v>
      </c>
      <c r="G42" s="156"/>
      <c r="H42" s="157"/>
      <c r="I42" s="158"/>
      <c r="J42" s="154"/>
      <c r="K42" s="155" t="s">
        <v>69</v>
      </c>
      <c r="L42" s="193">
        <f>L39+L41</f>
        <v>73000</v>
      </c>
    </row>
    <row r="43" spans="1:12" ht="11.2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8.5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7.10000000000000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7.100000000000001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7.100000000000001" customHeight="1" x14ac:dyDescent="0.25">
      <c r="A47" s="390"/>
      <c r="B47" s="391"/>
      <c r="C47" s="392"/>
      <c r="D47" s="194">
        <v>10000</v>
      </c>
      <c r="E47" s="163">
        <v>5</v>
      </c>
      <c r="F47" s="195">
        <f>D47*E47</f>
        <v>50000</v>
      </c>
      <c r="G47" s="397"/>
      <c r="H47" s="391"/>
      <c r="I47" s="392"/>
      <c r="J47" s="194">
        <v>100</v>
      </c>
      <c r="K47" s="163">
        <v>5</v>
      </c>
      <c r="L47" s="197">
        <f>J47*K47</f>
        <v>500</v>
      </c>
    </row>
    <row r="48" spans="1:12" ht="17.100000000000001" customHeight="1" x14ac:dyDescent="0.25">
      <c r="A48" s="390"/>
      <c r="B48" s="391"/>
      <c r="C48" s="392"/>
      <c r="D48" s="194">
        <v>5000</v>
      </c>
      <c r="E48" s="163">
        <v>1</v>
      </c>
      <c r="F48" s="195">
        <f>D48*E48</f>
        <v>5000</v>
      </c>
      <c r="G48" s="397"/>
      <c r="H48" s="391"/>
      <c r="I48" s="392"/>
      <c r="J48" s="194">
        <v>50</v>
      </c>
      <c r="K48" s="163">
        <v>1</v>
      </c>
      <c r="L48" s="197">
        <f>J48*K48</f>
        <v>50</v>
      </c>
    </row>
    <row r="49" spans="1:12" ht="17.100000000000001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7.100000000000001" customHeight="1" x14ac:dyDescent="0.25">
      <c r="A50" s="393"/>
      <c r="B50" s="394"/>
      <c r="C50" s="395"/>
      <c r="D50" s="194">
        <v>1000</v>
      </c>
      <c r="E50" s="163">
        <v>8</v>
      </c>
      <c r="F50" s="195">
        <f>D50*E50</f>
        <v>8000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63000</v>
      </c>
      <c r="G51" s="156"/>
      <c r="H51" s="157"/>
      <c r="I51" s="158"/>
      <c r="J51" s="166"/>
      <c r="K51" s="167" t="s">
        <v>76</v>
      </c>
      <c r="L51" s="196">
        <f>SUM(L46:L50)</f>
        <v>550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'03'!J69</f>
        <v>106040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95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63550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623980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20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73000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657040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551000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63550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customHeight="1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5" customHeight="1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5" customHeight="1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5" customHeight="1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5" customHeight="1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ht="15.75" customHeight="1" x14ac:dyDescent="0.25">
      <c r="A76" s="184"/>
      <c r="B76" s="185"/>
      <c r="C76" s="185"/>
      <c r="D76" s="185"/>
      <c r="E76" s="185"/>
      <c r="F76" s="186"/>
      <c r="G76" s="184"/>
      <c r="H76" s="187"/>
      <c r="I76" s="188"/>
      <c r="J76" s="188"/>
      <c r="K76" s="188"/>
      <c r="L76" s="188"/>
    </row>
    <row r="77" spans="1:12" ht="14.25" customHeight="1" x14ac:dyDescent="0.25">
      <c r="A77" s="184"/>
      <c r="B77" s="185"/>
      <c r="C77" s="185"/>
      <c r="D77" s="185"/>
      <c r="E77" s="185"/>
      <c r="F77" s="186"/>
      <c r="G77" s="184"/>
      <c r="H77" s="187"/>
      <c r="I77" s="188"/>
      <c r="J77" s="188"/>
      <c r="K77" s="188"/>
      <c r="L77" s="188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Ijq7lsLhX9EK7SEdbr3Uz4CPxvRPkKIINaF342fLwXk+mRz52CZW50QHCvv5h/3GvLK0QYpHrrtm5DkIbwPf1Q==" saltValue="BAtFP8EkOgNd9K0SKiIFLA==" spinCount="100000" sheet="1" objects="1" scenarios="1"/>
  <mergeCells count="29">
    <mergeCell ref="A1:B1"/>
    <mergeCell ref="C1:E1"/>
    <mergeCell ref="F1:H1"/>
    <mergeCell ref="I1:L1"/>
    <mergeCell ref="A2:B2"/>
    <mergeCell ref="C2:E2"/>
    <mergeCell ref="F2:H2"/>
    <mergeCell ref="I2:L2"/>
    <mergeCell ref="A5:F5"/>
    <mergeCell ref="G5:L5"/>
    <mergeCell ref="A6:A7"/>
    <mergeCell ref="B6:B7"/>
    <mergeCell ref="C6:F6"/>
    <mergeCell ref="G6:G7"/>
    <mergeCell ref="H6:H7"/>
    <mergeCell ref="I6:L6"/>
    <mergeCell ref="A30:C41"/>
    <mergeCell ref="G30:I41"/>
    <mergeCell ref="J30:L30"/>
    <mergeCell ref="D31:E31"/>
    <mergeCell ref="J31:K31"/>
    <mergeCell ref="D37:F37"/>
    <mergeCell ref="D38:E38"/>
    <mergeCell ref="J40:L40"/>
    <mergeCell ref="I43:J43"/>
    <mergeCell ref="A45:C50"/>
    <mergeCell ref="G45:I50"/>
    <mergeCell ref="B55:E56"/>
    <mergeCell ref="B57:E71"/>
  </mergeCells>
  <conditionalFormatting sqref="J71">
    <cfRule type="expression" dxfId="11" priority="1">
      <formula>$J71=0</formula>
    </cfRule>
    <cfRule type="expression" dxfId="10" priority="2">
      <formula>$J71&gt;=1</formula>
    </cfRule>
    <cfRule type="expression" dxfId="9" priority="3">
      <formula>$J71&lt;=-1</formula>
    </cfRule>
  </conditionalFormatting>
  <pageMargins left="0.25" right="0.25" top="0.75" bottom="0.75" header="0.3" footer="0.3"/>
  <pageSetup paperSize="5" scale="61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60D6-620F-4219-BFF4-46C6FA01B6DE}">
  <sheetPr codeName="Hoja28">
    <tabColor theme="2"/>
    <pageSetUpPr fitToPage="1"/>
  </sheetPr>
  <dimension ref="A1:L83"/>
  <sheetViews>
    <sheetView showWhiteSpace="0" view="pageLayout" topLeftCell="A50" zoomScale="70" zoomScaleNormal="90" zoomScaleSheetLayoutView="80" zoomScalePageLayoutView="70" workbookViewId="0">
      <selection activeCell="C78" sqref="C78"/>
    </sheetView>
  </sheetViews>
  <sheetFormatPr baseColWidth="10" defaultColWidth="8.85546875" defaultRowHeight="15" x14ac:dyDescent="0.25"/>
  <cols>
    <col min="1" max="1" width="14.5703125" style="6" customWidth="1"/>
    <col min="2" max="2" width="1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4.5703125" style="6" customWidth="1"/>
    <col min="8" max="8" width="1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/>
      <c r="D1" s="351"/>
      <c r="E1" s="352"/>
      <c r="F1" s="348" t="s">
        <v>39</v>
      </c>
      <c r="G1" s="353"/>
      <c r="H1" s="349"/>
      <c r="I1" s="354"/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/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401" t="s">
        <v>44</v>
      </c>
      <c r="B5" s="402"/>
      <c r="C5" s="402"/>
      <c r="D5" s="402"/>
      <c r="E5" s="402"/>
      <c r="F5" s="403"/>
      <c r="G5" s="402" t="s">
        <v>45</v>
      </c>
      <c r="H5" s="402"/>
      <c r="I5" s="402"/>
      <c r="J5" s="402"/>
      <c r="K5" s="402"/>
      <c r="L5" s="404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/>
      <c r="H8" s="103"/>
      <c r="I8" s="104"/>
      <c r="J8" s="104"/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/>
      <c r="H9" s="106"/>
      <c r="I9" s="108"/>
      <c r="J9" s="107"/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/>
      <c r="H10" s="97"/>
      <c r="I10" s="99"/>
      <c r="J10" s="99"/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/>
      <c r="I11" s="107"/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4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0</v>
      </c>
      <c r="K25" s="189">
        <f>SUM($K8:$K24)</f>
        <v>0</v>
      </c>
      <c r="L25" s="189">
        <f>SUM($L8:$L24)</f>
        <v>0</v>
      </c>
    </row>
    <row r="26" spans="1:12" ht="3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0.4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0</v>
      </c>
    </row>
    <row r="28" spans="1:12" ht="13.5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0.4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20.2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5.6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6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/>
    </row>
    <row r="33" spans="1:12" ht="15.6" customHeight="1" x14ac:dyDescent="0.25">
      <c r="A33" s="372"/>
      <c r="B33" s="373"/>
      <c r="C33" s="374"/>
      <c r="D33" s="137" t="s">
        <v>58</v>
      </c>
      <c r="E33" s="140"/>
      <c r="F33" s="191">
        <f>D25+J25</f>
        <v>0</v>
      </c>
      <c r="G33" s="373"/>
      <c r="H33" s="373"/>
      <c r="I33" s="374"/>
      <c r="J33" s="141" t="s">
        <v>59</v>
      </c>
      <c r="K33" s="142"/>
      <c r="L33" s="143"/>
    </row>
    <row r="34" spans="1:12" ht="15.6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5.6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6" customHeight="1" x14ac:dyDescent="0.25">
      <c r="A36" s="372"/>
      <c r="B36" s="373"/>
      <c r="C36" s="374"/>
      <c r="D36" s="144" t="s">
        <v>50</v>
      </c>
      <c r="E36" s="145"/>
      <c r="F36" s="192">
        <f>SUM(F32:F35)</f>
        <v>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5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8.75" x14ac:dyDescent="0.25">
      <c r="A42" s="118"/>
      <c r="B42" s="152"/>
      <c r="C42" s="153"/>
      <c r="D42" s="154"/>
      <c r="E42" s="155" t="s">
        <v>68</v>
      </c>
      <c r="F42" s="193">
        <f>F36+F41</f>
        <v>0</v>
      </c>
      <c r="G42" s="156"/>
      <c r="H42" s="157"/>
      <c r="I42" s="158"/>
      <c r="J42" s="154"/>
      <c r="K42" s="155" t="s">
        <v>69</v>
      </c>
      <c r="L42" s="193">
        <f>L39+L41</f>
        <v>0</v>
      </c>
    </row>
    <row r="43" spans="1:12" ht="18.7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0.25" customHeight="1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19.5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5.75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5.75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/>
      <c r="L47" s="197">
        <f>J47*K47</f>
        <v>0</v>
      </c>
    </row>
    <row r="48" spans="1:12" ht="15.75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/>
      <c r="L48" s="197">
        <f>J48*K48</f>
        <v>0</v>
      </c>
    </row>
    <row r="49" spans="1:12" ht="15.75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5.75" customHeight="1" x14ac:dyDescent="0.25">
      <c r="A50" s="393"/>
      <c r="B50" s="394"/>
      <c r="C50" s="395"/>
      <c r="D50" s="194">
        <v>1000</v>
      </c>
      <c r="E50" s="163"/>
      <c r="F50" s="195">
        <f>D50*E50</f>
        <v>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0</v>
      </c>
      <c r="G51" s="156"/>
      <c r="H51" s="157"/>
      <c r="I51" s="158"/>
      <c r="J51" s="166"/>
      <c r="K51" s="167" t="s">
        <v>76</v>
      </c>
      <c r="L51" s="196">
        <f>SUM(L46:L50)</f>
        <v>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'02'!J69</f>
        <v>106040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106040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106040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-106040</v>
      </c>
      <c r="K71" s="183"/>
      <c r="L71" s="122"/>
    </row>
    <row r="72" spans="1:12" ht="18.75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8.75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8.75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8.75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x14ac:dyDescent="0.25">
      <c r="B76" s="7"/>
      <c r="E76" s="8"/>
      <c r="F76" s="8"/>
      <c r="I76" s="8"/>
      <c r="J76" s="8"/>
      <c r="K76" s="8"/>
      <c r="L76" s="8"/>
    </row>
    <row r="77" spans="1:12" x14ac:dyDescent="0.25">
      <c r="B77" s="7"/>
      <c r="E77" s="8"/>
      <c r="F77" s="8"/>
      <c r="I77" s="8"/>
      <c r="J77" s="8"/>
      <c r="K77" s="8"/>
      <c r="L77" s="8"/>
    </row>
    <row r="78" spans="1:12" x14ac:dyDescent="0.25">
      <c r="B78" s="7"/>
      <c r="E78" s="8"/>
      <c r="F78" s="8"/>
      <c r="I78" s="8"/>
      <c r="J78" s="8"/>
      <c r="K78" s="8"/>
      <c r="L78" s="8"/>
    </row>
    <row r="79" spans="1:12" x14ac:dyDescent="0.25">
      <c r="B79" s="7"/>
      <c r="E79" s="8"/>
      <c r="F79" s="8"/>
      <c r="I79" s="8"/>
      <c r="J79" s="8"/>
      <c r="K79" s="8"/>
      <c r="L79" s="8"/>
    </row>
    <row r="80" spans="1:12" x14ac:dyDescent="0.25">
      <c r="B80" s="7"/>
      <c r="E80" s="8"/>
      <c r="F80" s="8"/>
      <c r="I80" s="8"/>
      <c r="J80" s="8"/>
      <c r="K80" s="8"/>
      <c r="L80" s="8"/>
    </row>
    <row r="81" spans="2:12" x14ac:dyDescent="0.25">
      <c r="B81" s="7"/>
      <c r="E81" s="8"/>
      <c r="F81" s="8"/>
      <c r="I81" s="8"/>
      <c r="J81" s="8"/>
      <c r="K81" s="8"/>
      <c r="L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</sheetData>
  <sheetProtection algorithmName="SHA-512" hashValue="DU+Xi96aYXYRLDQXgU/WPbtY94fLdMrKOU2VyvgnRW6g+kv42uau0LwGzPf6j0RGvWJaIQyLRHWGfbur1iy0Sw==" saltValue="i5uoFu517RECgvKI/5xyNg==" spinCount="100000" sheet="1" objects="1" scenarios="1"/>
  <mergeCells count="29">
    <mergeCell ref="I43:J43"/>
    <mergeCell ref="A45:C50"/>
    <mergeCell ref="G45:I50"/>
    <mergeCell ref="B55:E56"/>
    <mergeCell ref="A30:C41"/>
    <mergeCell ref="A1:B1"/>
    <mergeCell ref="C1:E1"/>
    <mergeCell ref="F1:H1"/>
    <mergeCell ref="I1:L1"/>
    <mergeCell ref="A2:B2"/>
    <mergeCell ref="C2:E2"/>
    <mergeCell ref="F2:H2"/>
    <mergeCell ref="I2:L2"/>
    <mergeCell ref="B57:E71"/>
    <mergeCell ref="A5:F5"/>
    <mergeCell ref="G5:L5"/>
    <mergeCell ref="A6:A7"/>
    <mergeCell ref="B6:B7"/>
    <mergeCell ref="C6:F6"/>
    <mergeCell ref="G6:G7"/>
    <mergeCell ref="H6:H7"/>
    <mergeCell ref="I6:L6"/>
    <mergeCell ref="J30:L30"/>
    <mergeCell ref="D31:E31"/>
    <mergeCell ref="J31:K31"/>
    <mergeCell ref="D37:F37"/>
    <mergeCell ref="D38:E38"/>
    <mergeCell ref="G30:I41"/>
    <mergeCell ref="J40:L40"/>
  </mergeCells>
  <conditionalFormatting sqref="J71">
    <cfRule type="expression" dxfId="8" priority="1">
      <formula>$J71=0</formula>
    </cfRule>
    <cfRule type="expression" dxfId="7" priority="2">
      <formula>$J71&gt;=1</formula>
    </cfRule>
    <cfRule type="expression" dxfId="6" priority="3">
      <formula>$J71&lt;=-1</formula>
    </cfRule>
  </conditionalFormatting>
  <pageMargins left="0.52278645833333337" right="0.44401041666666669" top="0.82291666666666663" bottom="0.76041666666666663" header="0.31496062992126" footer="0.31496062992126"/>
  <pageSetup paperSize="9" scale="54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B965-958F-4B3B-9189-563B0BCD4902}">
  <sheetPr codeName="Hoja29">
    <tabColor theme="2"/>
    <pageSetUpPr fitToPage="1"/>
  </sheetPr>
  <dimension ref="A1:L83"/>
  <sheetViews>
    <sheetView view="pageLayout" topLeftCell="A36" zoomScale="70" zoomScaleNormal="90" zoomScalePageLayoutView="70" workbookViewId="0">
      <selection activeCell="L69" sqref="L69"/>
    </sheetView>
  </sheetViews>
  <sheetFormatPr baseColWidth="10" defaultColWidth="8.85546875" defaultRowHeight="15" x14ac:dyDescent="0.25"/>
  <cols>
    <col min="1" max="1" width="14.7109375" style="6" customWidth="1"/>
    <col min="2" max="2" width="15.140625" style="10" customWidth="1"/>
    <col min="3" max="4" width="13.7109375" style="8" customWidth="1"/>
    <col min="5" max="5" width="13.7109375" style="9" customWidth="1"/>
    <col min="6" max="6" width="16.5703125" style="11" customWidth="1"/>
    <col min="7" max="7" width="14.85546875" style="6" customWidth="1"/>
    <col min="8" max="8" width="15.140625" style="7" customWidth="1"/>
    <col min="9" max="9" width="13.7109375" style="9" customWidth="1"/>
    <col min="10" max="10" width="16.28515625" style="9" customWidth="1"/>
    <col min="11" max="11" width="13.7109375" style="9" customWidth="1"/>
    <col min="12" max="12" width="17.855468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45598</v>
      </c>
      <c r="D1" s="351"/>
      <c r="E1" s="352"/>
      <c r="F1" s="348" t="s">
        <v>39</v>
      </c>
      <c r="G1" s="353"/>
      <c r="H1" s="349"/>
      <c r="I1" s="354" t="s">
        <v>85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401" t="s">
        <v>44</v>
      </c>
      <c r="B5" s="402"/>
      <c r="C5" s="402"/>
      <c r="D5" s="402"/>
      <c r="E5" s="402"/>
      <c r="F5" s="403"/>
      <c r="G5" s="402" t="s">
        <v>45</v>
      </c>
      <c r="H5" s="402"/>
      <c r="I5" s="402"/>
      <c r="J5" s="402"/>
      <c r="K5" s="402"/>
      <c r="L5" s="404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>
        <v>21119</v>
      </c>
      <c r="C8" s="98">
        <v>20200</v>
      </c>
      <c r="D8" s="99"/>
      <c r="E8" s="100"/>
      <c r="F8" s="101"/>
      <c r="G8" s="102">
        <v>493</v>
      </c>
      <c r="H8" s="103">
        <v>7120</v>
      </c>
      <c r="I8" s="104"/>
      <c r="J8" s="104">
        <v>515000</v>
      </c>
      <c r="K8" s="98"/>
      <c r="L8" s="98"/>
    </row>
    <row r="9" spans="1:12" ht="20.45" customHeight="1" x14ac:dyDescent="0.25">
      <c r="A9" s="105">
        <v>277</v>
      </c>
      <c r="B9" s="106">
        <v>21120</v>
      </c>
      <c r="C9" s="107"/>
      <c r="D9" s="108">
        <v>15200</v>
      </c>
      <c r="E9" s="109"/>
      <c r="F9" s="110"/>
      <c r="G9" s="111">
        <v>494</v>
      </c>
      <c r="H9" s="106">
        <v>7120</v>
      </c>
      <c r="I9" s="108"/>
      <c r="J9" s="107"/>
      <c r="K9" s="107">
        <v>600000</v>
      </c>
      <c r="L9" s="107"/>
    </row>
    <row r="10" spans="1:12" ht="20.45" customHeight="1" x14ac:dyDescent="0.25">
      <c r="A10" s="96"/>
      <c r="B10" s="97">
        <v>21121</v>
      </c>
      <c r="C10" s="98">
        <v>15000</v>
      </c>
      <c r="D10" s="99"/>
      <c r="E10" s="100"/>
      <c r="F10" s="101"/>
      <c r="G10" s="102">
        <v>492</v>
      </c>
      <c r="H10" s="97">
        <v>7121</v>
      </c>
      <c r="I10" s="99"/>
      <c r="J10" s="99">
        <v>60000</v>
      </c>
      <c r="K10" s="98"/>
      <c r="L10" s="98"/>
    </row>
    <row r="11" spans="1:12" ht="20.45" customHeight="1" x14ac:dyDescent="0.25">
      <c r="A11" s="105">
        <v>278</v>
      </c>
      <c r="B11" s="106">
        <v>21122</v>
      </c>
      <c r="C11" s="107"/>
      <c r="D11" s="107">
        <v>12700</v>
      </c>
      <c r="E11" s="109"/>
      <c r="F11" s="110"/>
      <c r="G11" s="111"/>
      <c r="H11" s="106">
        <v>7122</v>
      </c>
      <c r="I11" s="107">
        <v>29980</v>
      </c>
      <c r="J11" s="108"/>
      <c r="K11" s="107"/>
      <c r="L11" s="107"/>
    </row>
    <row r="12" spans="1:12" ht="20.45" customHeight="1" x14ac:dyDescent="0.25">
      <c r="A12" s="96"/>
      <c r="B12" s="97"/>
      <c r="C12" s="98">
        <v>4800</v>
      </c>
      <c r="D12" s="98"/>
      <c r="E12" s="100"/>
      <c r="F12" s="101"/>
      <c r="G12" s="102">
        <v>495</v>
      </c>
      <c r="H12" s="97">
        <v>7123</v>
      </c>
      <c r="I12" s="98"/>
      <c r="J12" s="99">
        <v>37990</v>
      </c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>
        <v>496</v>
      </c>
      <c r="H13" s="106">
        <v>7124</v>
      </c>
      <c r="I13" s="108"/>
      <c r="J13" s="107">
        <v>21980</v>
      </c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>
        <v>497</v>
      </c>
      <c r="H14" s="97">
        <v>7125</v>
      </c>
      <c r="I14" s="98"/>
      <c r="J14" s="98">
        <v>7500</v>
      </c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>
        <v>498</v>
      </c>
      <c r="H15" s="106">
        <v>7126</v>
      </c>
      <c r="I15" s="107"/>
      <c r="J15" s="107">
        <v>20000</v>
      </c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>
        <v>499</v>
      </c>
      <c r="H16" s="97">
        <v>7127</v>
      </c>
      <c r="I16" s="98"/>
      <c r="J16" s="98">
        <v>29990</v>
      </c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>
        <v>7128</v>
      </c>
      <c r="I17" s="107">
        <v>10000</v>
      </c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 t="s">
        <v>19</v>
      </c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45" customHeight="1" x14ac:dyDescent="0.25">
      <c r="A25" s="118"/>
      <c r="B25" s="119" t="s">
        <v>49</v>
      </c>
      <c r="C25" s="189">
        <f>SUM($C8:$C24)</f>
        <v>40000</v>
      </c>
      <c r="D25" s="189">
        <f>SUM($D8:$D24)</f>
        <v>27900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39980</v>
      </c>
      <c r="J25" s="189">
        <f>SUM($J8:$J24)</f>
        <v>692460</v>
      </c>
      <c r="K25" s="189">
        <f>SUM($K8:$K24)</f>
        <v>600000</v>
      </c>
      <c r="L25" s="189">
        <f>SUM($L8:$L24)</f>
        <v>0</v>
      </c>
    </row>
    <row r="26" spans="1:12" ht="4.5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0.4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1400340</v>
      </c>
    </row>
    <row r="28" spans="1:12" ht="8.25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0.4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20.2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5.6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5.6" customHeight="1" x14ac:dyDescent="0.25">
      <c r="A32" s="372"/>
      <c r="B32" s="373"/>
      <c r="C32" s="374"/>
      <c r="D32" s="137" t="s">
        <v>57</v>
      </c>
      <c r="E32" s="138"/>
      <c r="F32" s="191">
        <f>C25+I25</f>
        <v>79980</v>
      </c>
      <c r="G32" s="373"/>
      <c r="H32" s="373"/>
      <c r="I32" s="374"/>
      <c r="J32" s="137" t="s">
        <v>10</v>
      </c>
      <c r="K32" s="138"/>
      <c r="L32" s="139">
        <v>20000</v>
      </c>
    </row>
    <row r="33" spans="1:12" ht="15.6" customHeight="1" x14ac:dyDescent="0.25">
      <c r="A33" s="372"/>
      <c r="B33" s="373"/>
      <c r="C33" s="374"/>
      <c r="D33" s="137" t="s">
        <v>58</v>
      </c>
      <c r="E33" s="140"/>
      <c r="F33" s="191">
        <f>D25+J25</f>
        <v>720360</v>
      </c>
      <c r="G33" s="373"/>
      <c r="H33" s="373"/>
      <c r="I33" s="374"/>
      <c r="J33" s="141" t="s">
        <v>59</v>
      </c>
      <c r="K33" s="142"/>
      <c r="L33" s="143"/>
    </row>
    <row r="34" spans="1:12" ht="15.6" customHeight="1" x14ac:dyDescent="0.25">
      <c r="A34" s="372"/>
      <c r="B34" s="373"/>
      <c r="C34" s="374"/>
      <c r="D34" s="137" t="s">
        <v>60</v>
      </c>
      <c r="E34" s="140"/>
      <c r="F34" s="191">
        <f>E25+K25</f>
        <v>600000</v>
      </c>
      <c r="G34" s="373"/>
      <c r="H34" s="373"/>
      <c r="I34" s="374"/>
      <c r="J34" s="141" t="s">
        <v>61</v>
      </c>
      <c r="K34" s="142"/>
      <c r="L34" s="143"/>
    </row>
    <row r="35" spans="1:12" ht="15.6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5.6" customHeight="1" x14ac:dyDescent="0.25">
      <c r="A36" s="372"/>
      <c r="B36" s="373"/>
      <c r="C36" s="374"/>
      <c r="D36" s="144" t="s">
        <v>50</v>
      </c>
      <c r="E36" s="145"/>
      <c r="F36" s="192">
        <f>SUM(F32:F35)</f>
        <v>1400340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20000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5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/>
    </row>
    <row r="42" spans="1:12" ht="18.75" x14ac:dyDescent="0.25">
      <c r="A42" s="118"/>
      <c r="B42" s="152"/>
      <c r="C42" s="153"/>
      <c r="D42" s="154"/>
      <c r="E42" s="155" t="s">
        <v>68</v>
      </c>
      <c r="F42" s="193">
        <f>F36+F41</f>
        <v>1400340</v>
      </c>
      <c r="G42" s="156"/>
      <c r="H42" s="157"/>
      <c r="I42" s="158"/>
      <c r="J42" s="154"/>
      <c r="K42" s="155" t="s">
        <v>69</v>
      </c>
      <c r="L42" s="193">
        <f>L39+L41</f>
        <v>20000</v>
      </c>
    </row>
    <row r="43" spans="1:12" ht="18.7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0.25" customHeight="1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2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5.75" customHeight="1" x14ac:dyDescent="0.25">
      <c r="A46" s="390"/>
      <c r="B46" s="391"/>
      <c r="C46" s="392"/>
      <c r="D46" s="194">
        <v>20000</v>
      </c>
      <c r="E46" s="163">
        <v>3</v>
      </c>
      <c r="F46" s="195">
        <f>D46*E46</f>
        <v>60000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5.75" customHeight="1" x14ac:dyDescent="0.25">
      <c r="A47" s="390"/>
      <c r="B47" s="391"/>
      <c r="C47" s="392"/>
      <c r="D47" s="194">
        <v>10000</v>
      </c>
      <c r="E47" s="163">
        <v>4</v>
      </c>
      <c r="F47" s="195">
        <f>D47*E47</f>
        <v>40000</v>
      </c>
      <c r="G47" s="397"/>
      <c r="H47" s="391"/>
      <c r="I47" s="392"/>
      <c r="J47" s="194">
        <v>100</v>
      </c>
      <c r="K47" s="163"/>
      <c r="L47" s="197">
        <f>J47*K47</f>
        <v>0</v>
      </c>
    </row>
    <row r="48" spans="1:12" ht="15.75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>
        <v>1</v>
      </c>
      <c r="L48" s="197">
        <f>J48*K48</f>
        <v>50</v>
      </c>
    </row>
    <row r="49" spans="1:12" ht="15.75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>
        <v>-1</v>
      </c>
      <c r="L49" s="197">
        <f>J49*K49</f>
        <v>-10</v>
      </c>
    </row>
    <row r="50" spans="1:12" ht="15.75" customHeight="1" x14ac:dyDescent="0.25">
      <c r="A50" s="393"/>
      <c r="B50" s="394"/>
      <c r="C50" s="395"/>
      <c r="D50" s="194">
        <v>1000</v>
      </c>
      <c r="E50" s="163">
        <v>6</v>
      </c>
      <c r="F50" s="195">
        <f>D50*E50</f>
        <v>6000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106000</v>
      </c>
      <c r="G51" s="156"/>
      <c r="H51" s="157"/>
      <c r="I51" s="158"/>
      <c r="J51" s="166"/>
      <c r="K51" s="167" t="s">
        <v>76</v>
      </c>
      <c r="L51" s="196">
        <f>SUM(L46:L50)</f>
        <v>40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198">
        <f>'01'!J69</f>
        <v>46060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 t="s">
        <v>96</v>
      </c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106040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1400340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20000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1426400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1380340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106040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0</v>
      </c>
      <c r="K71" s="183"/>
      <c r="L71" s="122"/>
    </row>
    <row r="72" spans="1:12" ht="18.75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8.75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8.75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8.75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x14ac:dyDescent="0.25">
      <c r="B76" s="7"/>
      <c r="E76" s="8"/>
      <c r="F76" s="8"/>
      <c r="I76" s="8"/>
      <c r="J76" s="8"/>
      <c r="K76" s="8"/>
      <c r="L76" s="8"/>
    </row>
    <row r="77" spans="1:12" x14ac:dyDescent="0.25">
      <c r="B77" s="7"/>
      <c r="E77" s="8"/>
      <c r="F77" s="8"/>
      <c r="I77" s="8"/>
      <c r="J77" s="8"/>
      <c r="K77" s="8"/>
      <c r="L77" s="8"/>
    </row>
    <row r="78" spans="1:12" x14ac:dyDescent="0.25">
      <c r="B78" s="7"/>
      <c r="E78" s="8"/>
      <c r="F78" s="8"/>
      <c r="I78" s="8"/>
      <c r="J78" s="8"/>
      <c r="K78" s="8"/>
      <c r="L78" s="8"/>
    </row>
    <row r="79" spans="1:12" x14ac:dyDescent="0.25">
      <c r="B79" s="7"/>
      <c r="E79" s="8"/>
      <c r="F79" s="8"/>
      <c r="I79" s="8"/>
      <c r="J79" s="8"/>
      <c r="K79" s="8"/>
      <c r="L79" s="8"/>
    </row>
    <row r="80" spans="1:12" x14ac:dyDescent="0.25">
      <c r="B80" s="7"/>
      <c r="E80" s="8"/>
      <c r="F80" s="8"/>
      <c r="I80" s="8"/>
      <c r="J80" s="8"/>
      <c r="K80" s="8"/>
      <c r="L80" s="8"/>
    </row>
    <row r="81" spans="2:12" x14ac:dyDescent="0.25">
      <c r="B81" s="7"/>
      <c r="E81" s="8"/>
      <c r="F81" s="8"/>
      <c r="I81" s="8"/>
      <c r="J81" s="8"/>
      <c r="K81" s="8"/>
      <c r="L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</sheetData>
  <sheetProtection algorithmName="SHA-512" hashValue="//sBkhES/q5/6m5d5Bie94di5jsE4OeUjlRTIQxJhYIxuvrwy3MTlw7KTJSavSGcYg0Bre6zoEVQq8J9swi5ag==" saltValue="b7hXCUGN8sEvIC4T5gGmWw==" spinCount="100000" sheet="1" objects="1" scenarios="1"/>
  <mergeCells count="29">
    <mergeCell ref="I43:J43"/>
    <mergeCell ref="A45:C50"/>
    <mergeCell ref="G45:I50"/>
    <mergeCell ref="B55:E56"/>
    <mergeCell ref="A30:C41"/>
    <mergeCell ref="A1:B1"/>
    <mergeCell ref="C1:E1"/>
    <mergeCell ref="F1:H1"/>
    <mergeCell ref="I1:L1"/>
    <mergeCell ref="A2:B2"/>
    <mergeCell ref="C2:E2"/>
    <mergeCell ref="F2:H2"/>
    <mergeCell ref="I2:L2"/>
    <mergeCell ref="B57:E71"/>
    <mergeCell ref="A5:F5"/>
    <mergeCell ref="G5:L5"/>
    <mergeCell ref="A6:A7"/>
    <mergeCell ref="B6:B7"/>
    <mergeCell ref="C6:F6"/>
    <mergeCell ref="G6:G7"/>
    <mergeCell ref="H6:H7"/>
    <mergeCell ref="I6:L6"/>
    <mergeCell ref="J30:L30"/>
    <mergeCell ref="D31:E31"/>
    <mergeCell ref="J31:K31"/>
    <mergeCell ref="D37:F37"/>
    <mergeCell ref="D38:E38"/>
    <mergeCell ref="G30:I41"/>
    <mergeCell ref="J40:L40"/>
  </mergeCells>
  <conditionalFormatting sqref="J71">
    <cfRule type="expression" dxfId="5" priority="1">
      <formula>$J71=0</formula>
    </cfRule>
    <cfRule type="expression" dxfId="4" priority="2">
      <formula>$J71&gt;=1</formula>
    </cfRule>
    <cfRule type="expression" dxfId="3" priority="3">
      <formula>$J71&lt;=-1</formula>
    </cfRule>
  </conditionalFormatting>
  <pageMargins left="0.25" right="0.25" top="0.75" bottom="0.75" header="0.3" footer="0.3"/>
  <pageSetup paperSize="5" scale="56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865-3949-4BC7-B9DC-49BD351667A9}">
  <sheetPr codeName="Hoja30">
    <tabColor theme="2"/>
    <pageSetUpPr fitToPage="1"/>
  </sheetPr>
  <dimension ref="A1:L84"/>
  <sheetViews>
    <sheetView showWhiteSpace="0" view="pageLayout" topLeftCell="A47" zoomScale="80" zoomScaleNormal="90" zoomScalePageLayoutView="80" workbookViewId="0">
      <selection activeCell="M61" sqref="M61"/>
    </sheetView>
  </sheetViews>
  <sheetFormatPr baseColWidth="10" defaultColWidth="8.85546875" defaultRowHeight="15" x14ac:dyDescent="0.25"/>
  <cols>
    <col min="1" max="1" width="14.5703125" style="6" customWidth="1"/>
    <col min="2" max="2" width="1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4.5703125" style="6" customWidth="1"/>
    <col min="8" max="8" width="1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8" t="s">
        <v>8</v>
      </c>
      <c r="B1" s="349"/>
      <c r="C1" s="350">
        <v>45597</v>
      </c>
      <c r="D1" s="351"/>
      <c r="E1" s="352"/>
      <c r="F1" s="348" t="s">
        <v>39</v>
      </c>
      <c r="G1" s="353"/>
      <c r="H1" s="349"/>
      <c r="I1" s="354" t="s">
        <v>97</v>
      </c>
      <c r="J1" s="354"/>
      <c r="K1" s="354"/>
      <c r="L1" s="355"/>
    </row>
    <row r="2" spans="1:12" ht="20.45" customHeight="1" x14ac:dyDescent="0.25">
      <c r="A2" s="348" t="s">
        <v>40</v>
      </c>
      <c r="B2" s="349"/>
      <c r="C2" s="356" t="s">
        <v>92</v>
      </c>
      <c r="D2" s="354"/>
      <c r="E2" s="355"/>
      <c r="F2" s="348" t="s">
        <v>41</v>
      </c>
      <c r="G2" s="353"/>
      <c r="H2" s="349"/>
      <c r="I2" s="354" t="s">
        <v>42</v>
      </c>
      <c r="J2" s="354"/>
      <c r="K2" s="354"/>
      <c r="L2" s="355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401" t="s">
        <v>44</v>
      </c>
      <c r="B5" s="402"/>
      <c r="C5" s="402"/>
      <c r="D5" s="402"/>
      <c r="E5" s="402"/>
      <c r="F5" s="403"/>
      <c r="G5" s="402" t="s">
        <v>45</v>
      </c>
      <c r="H5" s="402"/>
      <c r="I5" s="402"/>
      <c r="J5" s="402"/>
      <c r="K5" s="402"/>
      <c r="L5" s="404"/>
    </row>
    <row r="6" spans="1:12" s="2" customFormat="1" ht="26.25" customHeight="1" x14ac:dyDescent="0.25">
      <c r="A6" s="361" t="s">
        <v>46</v>
      </c>
      <c r="B6" s="363" t="s">
        <v>47</v>
      </c>
      <c r="C6" s="365" t="s">
        <v>48</v>
      </c>
      <c r="D6" s="366"/>
      <c r="E6" s="366"/>
      <c r="F6" s="367"/>
      <c r="G6" s="361" t="s">
        <v>46</v>
      </c>
      <c r="H6" s="363" t="s">
        <v>47</v>
      </c>
      <c r="I6" s="365" t="s">
        <v>48</v>
      </c>
      <c r="J6" s="366"/>
      <c r="K6" s="366"/>
      <c r="L6" s="368"/>
    </row>
    <row r="7" spans="1:12" ht="20.25" customHeight="1" x14ac:dyDescent="0.3">
      <c r="A7" s="362"/>
      <c r="B7" s="364"/>
      <c r="C7" s="93" t="s">
        <v>10</v>
      </c>
      <c r="D7" s="93" t="s">
        <v>14</v>
      </c>
      <c r="E7" s="300" t="s">
        <v>15</v>
      </c>
      <c r="F7" s="94" t="s">
        <v>12</v>
      </c>
      <c r="G7" s="362"/>
      <c r="H7" s="364"/>
      <c r="I7" s="93" t="s">
        <v>10</v>
      </c>
      <c r="J7" s="93" t="s">
        <v>14</v>
      </c>
      <c r="K7" s="300" t="s">
        <v>15</v>
      </c>
      <c r="L7" s="95" t="s">
        <v>12</v>
      </c>
    </row>
    <row r="8" spans="1:12" ht="20.45" customHeight="1" x14ac:dyDescent="0.25">
      <c r="A8" s="96"/>
      <c r="B8" s="97"/>
      <c r="C8" s="98"/>
      <c r="D8" s="99"/>
      <c r="E8" s="100"/>
      <c r="F8" s="101"/>
      <c r="G8" s="102"/>
      <c r="H8" s="103"/>
      <c r="I8" s="104"/>
      <c r="J8" s="104"/>
      <c r="K8" s="98"/>
      <c r="L8" s="98"/>
    </row>
    <row r="9" spans="1:12" ht="20.45" customHeight="1" x14ac:dyDescent="0.25">
      <c r="A9" s="105"/>
      <c r="B9" s="106"/>
      <c r="C9" s="107"/>
      <c r="D9" s="108"/>
      <c r="E9" s="109"/>
      <c r="F9" s="110"/>
      <c r="G9" s="111"/>
      <c r="H9" s="106"/>
      <c r="I9" s="108"/>
      <c r="J9" s="107"/>
      <c r="K9" s="107"/>
      <c r="L9" s="107"/>
    </row>
    <row r="10" spans="1:12" ht="20.45" customHeight="1" x14ac:dyDescent="0.25">
      <c r="A10" s="96"/>
      <c r="B10" s="97"/>
      <c r="C10" s="98"/>
      <c r="D10" s="99"/>
      <c r="E10" s="100"/>
      <c r="F10" s="101"/>
      <c r="G10" s="102"/>
      <c r="H10" s="97"/>
      <c r="I10" s="99"/>
      <c r="J10" s="99"/>
      <c r="K10" s="98"/>
      <c r="L10" s="98"/>
    </row>
    <row r="11" spans="1:12" ht="20.45" customHeight="1" x14ac:dyDescent="0.25">
      <c r="A11" s="105"/>
      <c r="B11" s="106"/>
      <c r="C11" s="107"/>
      <c r="D11" s="107"/>
      <c r="E11" s="109"/>
      <c r="F11" s="110"/>
      <c r="G11" s="111"/>
      <c r="H11" s="106"/>
      <c r="I11" s="107"/>
      <c r="J11" s="108"/>
      <c r="K11" s="107"/>
      <c r="L11" s="107"/>
    </row>
    <row r="12" spans="1:12" ht="20.45" customHeight="1" x14ac:dyDescent="0.25">
      <c r="A12" s="96"/>
      <c r="B12" s="97"/>
      <c r="C12" s="98"/>
      <c r="D12" s="98"/>
      <c r="E12" s="100"/>
      <c r="F12" s="101"/>
      <c r="G12" s="102"/>
      <c r="H12" s="97"/>
      <c r="I12" s="98"/>
      <c r="J12" s="99"/>
      <c r="K12" s="98"/>
      <c r="L12" s="98"/>
    </row>
    <row r="13" spans="1:12" ht="20.45" customHeight="1" x14ac:dyDescent="0.25">
      <c r="A13" s="105"/>
      <c r="B13" s="106"/>
      <c r="C13" s="107"/>
      <c r="D13" s="107"/>
      <c r="E13" s="109"/>
      <c r="F13" s="110"/>
      <c r="G13" s="111"/>
      <c r="H13" s="106"/>
      <c r="I13" s="108"/>
      <c r="J13" s="107"/>
      <c r="K13" s="107"/>
      <c r="L13" s="107"/>
    </row>
    <row r="14" spans="1:12" ht="20.45" customHeight="1" x14ac:dyDescent="0.25">
      <c r="A14" s="96"/>
      <c r="B14" s="97"/>
      <c r="C14" s="98"/>
      <c r="D14" s="98"/>
      <c r="E14" s="100"/>
      <c r="F14" s="101"/>
      <c r="G14" s="102"/>
      <c r="H14" s="97"/>
      <c r="I14" s="98"/>
      <c r="J14" s="98"/>
      <c r="K14" s="98"/>
      <c r="L14" s="98"/>
    </row>
    <row r="15" spans="1:12" ht="20.45" customHeight="1" x14ac:dyDescent="0.25">
      <c r="A15" s="105"/>
      <c r="B15" s="106"/>
      <c r="C15" s="107"/>
      <c r="D15" s="107"/>
      <c r="E15" s="109"/>
      <c r="F15" s="110"/>
      <c r="G15" s="111"/>
      <c r="H15" s="106"/>
      <c r="I15" s="107"/>
      <c r="J15" s="107"/>
      <c r="K15" s="107"/>
      <c r="L15" s="107"/>
    </row>
    <row r="16" spans="1:12" ht="20.45" customHeight="1" x14ac:dyDescent="0.25">
      <c r="A16" s="96"/>
      <c r="B16" s="97"/>
      <c r="C16" s="98"/>
      <c r="D16" s="98"/>
      <c r="E16" s="100"/>
      <c r="F16" s="101"/>
      <c r="G16" s="102"/>
      <c r="H16" s="97"/>
      <c r="I16" s="98"/>
      <c r="J16" s="98"/>
      <c r="K16" s="98"/>
      <c r="L16" s="98"/>
    </row>
    <row r="17" spans="1:12" ht="20.45" customHeight="1" x14ac:dyDescent="0.25">
      <c r="A17" s="105"/>
      <c r="B17" s="106"/>
      <c r="C17" s="107"/>
      <c r="D17" s="107"/>
      <c r="E17" s="109"/>
      <c r="F17" s="110"/>
      <c r="G17" s="111"/>
      <c r="H17" s="106"/>
      <c r="I17" s="107"/>
      <c r="J17" s="107"/>
      <c r="K17" s="107"/>
      <c r="L17" s="107"/>
    </row>
    <row r="18" spans="1:12" ht="20.45" customHeight="1" x14ac:dyDescent="0.25">
      <c r="A18" s="96"/>
      <c r="B18" s="97"/>
      <c r="C18" s="98"/>
      <c r="D18" s="98"/>
      <c r="E18" s="100"/>
      <c r="F18" s="101"/>
      <c r="G18" s="102"/>
      <c r="H18" s="97"/>
      <c r="I18" s="98"/>
      <c r="J18" s="98"/>
      <c r="K18" s="98"/>
      <c r="L18" s="98"/>
    </row>
    <row r="19" spans="1:12" ht="20.45" customHeight="1" x14ac:dyDescent="0.25">
      <c r="A19" s="112"/>
      <c r="B19" s="113"/>
      <c r="C19" s="114"/>
      <c r="D19" s="114"/>
      <c r="E19" s="115"/>
      <c r="F19" s="116"/>
      <c r="G19" s="117"/>
      <c r="H19" s="113"/>
      <c r="I19" s="114"/>
      <c r="J19" s="114"/>
      <c r="K19" s="114"/>
      <c r="L19" s="114"/>
    </row>
    <row r="20" spans="1:12" ht="20.45" customHeight="1" x14ac:dyDescent="0.25">
      <c r="A20" s="96"/>
      <c r="B20" s="97"/>
      <c r="C20" s="98"/>
      <c r="D20" s="98"/>
      <c r="E20" s="100"/>
      <c r="F20" s="101"/>
      <c r="G20" s="102"/>
      <c r="H20" s="97"/>
      <c r="I20" s="98"/>
      <c r="J20" s="98"/>
      <c r="K20" s="98"/>
      <c r="L20" s="98"/>
    </row>
    <row r="21" spans="1:12" ht="20.45" customHeight="1" x14ac:dyDescent="0.25">
      <c r="A21" s="112"/>
      <c r="B21" s="113"/>
      <c r="C21" s="114"/>
      <c r="D21" s="114"/>
      <c r="E21" s="115"/>
      <c r="F21" s="116"/>
      <c r="G21" s="117"/>
      <c r="H21" s="113"/>
      <c r="I21" s="114"/>
      <c r="J21" s="114"/>
      <c r="K21" s="114"/>
      <c r="L21" s="114"/>
    </row>
    <row r="22" spans="1:12" ht="20.45" customHeight="1" x14ac:dyDescent="0.25">
      <c r="A22" s="96"/>
      <c r="B22" s="97"/>
      <c r="C22" s="98"/>
      <c r="D22" s="98"/>
      <c r="E22" s="100"/>
      <c r="F22" s="101"/>
      <c r="G22" s="102"/>
      <c r="H22" s="97"/>
      <c r="I22" s="98"/>
      <c r="J22" s="98"/>
      <c r="K22" s="98"/>
      <c r="L22" s="98"/>
    </row>
    <row r="23" spans="1:12" ht="20.45" customHeight="1" x14ac:dyDescent="0.25">
      <c r="A23" s="105"/>
      <c r="B23" s="106"/>
      <c r="C23" s="107"/>
      <c r="D23" s="107"/>
      <c r="E23" s="109"/>
      <c r="F23" s="110"/>
      <c r="G23" s="111"/>
      <c r="H23" s="106"/>
      <c r="I23" s="107"/>
      <c r="J23" s="107"/>
      <c r="K23" s="107"/>
      <c r="L23" s="107"/>
    </row>
    <row r="24" spans="1:12" ht="20.45" customHeight="1" x14ac:dyDescent="0.25">
      <c r="A24" s="96"/>
      <c r="B24" s="97"/>
      <c r="C24" s="98"/>
      <c r="D24" s="98"/>
      <c r="E24" s="100"/>
      <c r="F24" s="101"/>
      <c r="G24" s="102"/>
      <c r="H24" s="97"/>
      <c r="I24" s="98"/>
      <c r="J24" s="98"/>
      <c r="K24" s="98"/>
      <c r="L24" s="98"/>
    </row>
    <row r="25" spans="1:12" ht="20.45" customHeight="1" x14ac:dyDescent="0.25">
      <c r="A25" s="118"/>
      <c r="B25" s="119" t="s">
        <v>49</v>
      </c>
      <c r="C25" s="189">
        <f>SUM($C8:$C24)</f>
        <v>0</v>
      </c>
      <c r="D25" s="189">
        <f>SUM($D8:$D24)</f>
        <v>0</v>
      </c>
      <c r="E25" s="189">
        <f>SUM($E8:$E24)</f>
        <v>0</v>
      </c>
      <c r="F25" s="189">
        <f>SUM($F8:$F24)</f>
        <v>0</v>
      </c>
      <c r="G25" s="120"/>
      <c r="H25" s="119" t="s">
        <v>49</v>
      </c>
      <c r="I25" s="189">
        <f>SUM($I8:$I24)</f>
        <v>0</v>
      </c>
      <c r="J25" s="189">
        <f>SUM($J8:$J24)</f>
        <v>0</v>
      </c>
      <c r="K25" s="189">
        <f>SUM($K8:$K24)</f>
        <v>0</v>
      </c>
      <c r="L25" s="189">
        <f>SUM($L8:$L24)</f>
        <v>0</v>
      </c>
    </row>
    <row r="26" spans="1:12" ht="3" customHeight="1" x14ac:dyDescent="0.25">
      <c r="A26" s="118"/>
      <c r="B26" s="121"/>
      <c r="C26" s="122"/>
      <c r="D26" s="122"/>
      <c r="E26" s="122"/>
      <c r="F26" s="123"/>
      <c r="G26" s="118"/>
      <c r="H26" s="121"/>
      <c r="I26" s="124"/>
      <c r="J26" s="124"/>
      <c r="K26" s="124"/>
      <c r="L26" s="124"/>
    </row>
    <row r="27" spans="1:12" ht="20.45" customHeight="1" x14ac:dyDescent="0.25">
      <c r="A27" s="118"/>
      <c r="B27" s="121"/>
      <c r="C27" s="122"/>
      <c r="D27" s="122"/>
      <c r="E27" s="122"/>
      <c r="F27" s="123"/>
      <c r="G27" s="118"/>
      <c r="H27" s="121"/>
      <c r="I27" s="124"/>
      <c r="J27" s="125"/>
      <c r="K27" s="126" t="s">
        <v>50</v>
      </c>
      <c r="L27" s="190">
        <f>$C$25+$D$25+$E$25+$F$25+$I$25+$J$25+$K$25+$L$25</f>
        <v>0</v>
      </c>
    </row>
    <row r="28" spans="1:12" ht="6.75" customHeight="1" x14ac:dyDescent="0.25">
      <c r="A28" s="118"/>
      <c r="B28" s="121"/>
      <c r="C28" s="122"/>
      <c r="D28" s="122"/>
      <c r="E28" s="122"/>
      <c r="F28" s="123"/>
      <c r="G28" s="118"/>
      <c r="H28" s="127"/>
      <c r="I28" s="122"/>
      <c r="J28" s="122"/>
      <c r="K28" s="122"/>
      <c r="L28" s="128"/>
    </row>
    <row r="29" spans="1:12" ht="20.25" customHeight="1" x14ac:dyDescent="0.25">
      <c r="A29" s="129"/>
      <c r="B29" s="130"/>
      <c r="C29" s="131"/>
      <c r="D29" s="131"/>
      <c r="E29" s="131"/>
      <c r="F29" s="132"/>
      <c r="G29" s="132" t="s">
        <v>51</v>
      </c>
      <c r="H29" s="130"/>
      <c r="I29" s="131"/>
      <c r="J29" s="131"/>
      <c r="K29" s="131"/>
      <c r="L29" s="131"/>
    </row>
    <row r="30" spans="1:12" ht="20.25" customHeight="1" x14ac:dyDescent="0.25">
      <c r="A30" s="369" t="s">
        <v>52</v>
      </c>
      <c r="B30" s="370"/>
      <c r="C30" s="371"/>
      <c r="D30" s="133"/>
      <c r="E30" s="134" t="s">
        <v>53</v>
      </c>
      <c r="F30" s="135"/>
      <c r="G30" s="370" t="s">
        <v>54</v>
      </c>
      <c r="H30" s="370"/>
      <c r="I30" s="371"/>
      <c r="J30" s="378" t="s">
        <v>55</v>
      </c>
      <c r="K30" s="379"/>
      <c r="L30" s="380"/>
    </row>
    <row r="31" spans="1:12" ht="17.100000000000001" customHeight="1" x14ac:dyDescent="0.25">
      <c r="A31" s="372"/>
      <c r="B31" s="373"/>
      <c r="C31" s="374"/>
      <c r="D31" s="381" t="s">
        <v>56</v>
      </c>
      <c r="E31" s="382"/>
      <c r="F31" s="136" t="s">
        <v>16</v>
      </c>
      <c r="G31" s="373"/>
      <c r="H31" s="373"/>
      <c r="I31" s="374"/>
      <c r="J31" s="381" t="s">
        <v>56</v>
      </c>
      <c r="K31" s="382"/>
      <c r="L31" s="136" t="s">
        <v>16</v>
      </c>
    </row>
    <row r="32" spans="1:12" ht="17.100000000000001" customHeight="1" x14ac:dyDescent="0.25">
      <c r="A32" s="372"/>
      <c r="B32" s="373"/>
      <c r="C32" s="374"/>
      <c r="D32" s="137" t="s">
        <v>57</v>
      </c>
      <c r="E32" s="138"/>
      <c r="F32" s="191">
        <f>C25+I25</f>
        <v>0</v>
      </c>
      <c r="G32" s="373"/>
      <c r="H32" s="373"/>
      <c r="I32" s="374"/>
      <c r="J32" s="137" t="s">
        <v>10</v>
      </c>
      <c r="K32" s="138"/>
      <c r="L32" s="139"/>
    </row>
    <row r="33" spans="1:12" ht="17.100000000000001" customHeight="1" x14ac:dyDescent="0.25">
      <c r="A33" s="372"/>
      <c r="B33" s="373"/>
      <c r="C33" s="374"/>
      <c r="D33" s="137" t="s">
        <v>58</v>
      </c>
      <c r="E33" s="140"/>
      <c r="F33" s="191">
        <f>D25+J25</f>
        <v>0</v>
      </c>
      <c r="G33" s="373"/>
      <c r="H33" s="373"/>
      <c r="I33" s="374"/>
      <c r="J33" s="141" t="s">
        <v>59</v>
      </c>
      <c r="K33" s="142"/>
      <c r="L33" s="143"/>
    </row>
    <row r="34" spans="1:12" ht="17.100000000000001" customHeight="1" x14ac:dyDescent="0.25">
      <c r="A34" s="372"/>
      <c r="B34" s="373"/>
      <c r="C34" s="374"/>
      <c r="D34" s="137" t="s">
        <v>60</v>
      </c>
      <c r="E34" s="140"/>
      <c r="F34" s="191">
        <f>E25+K25</f>
        <v>0</v>
      </c>
      <c r="G34" s="373"/>
      <c r="H34" s="373"/>
      <c r="I34" s="374"/>
      <c r="J34" s="141" t="s">
        <v>61</v>
      </c>
      <c r="K34" s="142"/>
      <c r="L34" s="143"/>
    </row>
    <row r="35" spans="1:12" ht="17.100000000000001" customHeight="1" x14ac:dyDescent="0.25">
      <c r="A35" s="372"/>
      <c r="B35" s="373"/>
      <c r="C35" s="374"/>
      <c r="D35" s="137" t="s">
        <v>62</v>
      </c>
      <c r="E35" s="140"/>
      <c r="F35" s="191">
        <f>F25+L25</f>
        <v>0</v>
      </c>
      <c r="G35" s="373"/>
      <c r="H35" s="373"/>
      <c r="I35" s="374"/>
      <c r="J35" s="141"/>
      <c r="K35" s="142"/>
      <c r="L35" s="143"/>
    </row>
    <row r="36" spans="1:12" ht="16.5" customHeight="1" x14ac:dyDescent="0.25">
      <c r="A36" s="372"/>
      <c r="B36" s="373"/>
      <c r="C36" s="374"/>
      <c r="D36" s="144" t="s">
        <v>50</v>
      </c>
      <c r="E36" s="145"/>
      <c r="F36" s="192">
        <f>SUM(F32:F35)</f>
        <v>0</v>
      </c>
      <c r="G36" s="373"/>
      <c r="H36" s="373"/>
      <c r="I36" s="374"/>
      <c r="J36" s="141"/>
      <c r="K36" s="142"/>
      <c r="L36" s="143"/>
    </row>
    <row r="37" spans="1:12" ht="15.75" customHeight="1" x14ac:dyDescent="0.25">
      <c r="A37" s="372"/>
      <c r="B37" s="373"/>
      <c r="C37" s="374"/>
      <c r="D37" s="383" t="s">
        <v>63</v>
      </c>
      <c r="E37" s="384"/>
      <c r="F37" s="385"/>
      <c r="G37" s="373"/>
      <c r="H37" s="373"/>
      <c r="I37" s="374"/>
      <c r="J37" s="141"/>
      <c r="K37" s="142"/>
      <c r="L37" s="143"/>
    </row>
    <row r="38" spans="1:12" ht="15.75" customHeight="1" x14ac:dyDescent="0.25">
      <c r="A38" s="372"/>
      <c r="B38" s="373"/>
      <c r="C38" s="374"/>
      <c r="D38" s="381" t="s">
        <v>56</v>
      </c>
      <c r="E38" s="382"/>
      <c r="F38" s="136" t="s">
        <v>16</v>
      </c>
      <c r="G38" s="373"/>
      <c r="H38" s="373"/>
      <c r="I38" s="374"/>
      <c r="J38" s="141"/>
      <c r="K38" s="142"/>
      <c r="L38" s="143"/>
    </row>
    <row r="39" spans="1:12" ht="15.75" customHeight="1" x14ac:dyDescent="0.25">
      <c r="A39" s="372"/>
      <c r="B39" s="373"/>
      <c r="C39" s="374"/>
      <c r="D39" s="146" t="s">
        <v>10</v>
      </c>
      <c r="E39" s="147"/>
      <c r="F39" s="148"/>
      <c r="G39" s="373"/>
      <c r="H39" s="373"/>
      <c r="I39" s="374"/>
      <c r="J39" s="144" t="s">
        <v>64</v>
      </c>
      <c r="K39" s="145"/>
      <c r="L39" s="192">
        <f>SUM(L32:L38)</f>
        <v>0</v>
      </c>
    </row>
    <row r="40" spans="1:12" ht="15.75" customHeight="1" x14ac:dyDescent="0.25">
      <c r="A40" s="372"/>
      <c r="B40" s="373"/>
      <c r="C40" s="374"/>
      <c r="D40" s="149" t="s">
        <v>61</v>
      </c>
      <c r="E40" s="150"/>
      <c r="F40" s="151"/>
      <c r="G40" s="373"/>
      <c r="H40" s="373"/>
      <c r="I40" s="374"/>
      <c r="J40" s="378" t="s">
        <v>65</v>
      </c>
      <c r="K40" s="379"/>
      <c r="L40" s="380"/>
    </row>
    <row r="41" spans="1:12" ht="15.75" customHeight="1" x14ac:dyDescent="0.25">
      <c r="A41" s="375"/>
      <c r="B41" s="376"/>
      <c r="C41" s="377"/>
      <c r="D41" s="144" t="s">
        <v>66</v>
      </c>
      <c r="E41" s="145"/>
      <c r="F41" s="192">
        <f>SUM(F39:F40)</f>
        <v>0</v>
      </c>
      <c r="G41" s="373"/>
      <c r="H41" s="373"/>
      <c r="I41" s="374"/>
      <c r="J41" s="141" t="s">
        <v>67</v>
      </c>
      <c r="K41" s="150"/>
      <c r="L41" s="151">
        <v>0</v>
      </c>
    </row>
    <row r="42" spans="1:12" ht="18.75" x14ac:dyDescent="0.25">
      <c r="A42" s="118"/>
      <c r="B42" s="152"/>
      <c r="C42" s="153"/>
      <c r="D42" s="154"/>
      <c r="E42" s="155" t="s">
        <v>68</v>
      </c>
      <c r="F42" s="193">
        <f>F36+F41</f>
        <v>0</v>
      </c>
      <c r="G42" s="156"/>
      <c r="H42" s="157"/>
      <c r="I42" s="158"/>
      <c r="J42" s="154"/>
      <c r="K42" s="155" t="s">
        <v>69</v>
      </c>
      <c r="L42" s="193">
        <f>L39+L41</f>
        <v>0</v>
      </c>
    </row>
    <row r="43" spans="1:12" ht="18.75" customHeight="1" x14ac:dyDescent="0.25">
      <c r="A43" s="118"/>
      <c r="B43" s="121"/>
      <c r="C43" s="123"/>
      <c r="D43" s="123"/>
      <c r="E43" s="123"/>
      <c r="F43" s="123"/>
      <c r="G43" s="159"/>
      <c r="H43" s="160"/>
      <c r="I43" s="386"/>
      <c r="J43" s="386"/>
      <c r="K43" s="122"/>
      <c r="L43" s="122"/>
    </row>
    <row r="44" spans="1:12" ht="20.25" customHeight="1" x14ac:dyDescent="0.25">
      <c r="A44" s="129"/>
      <c r="B44" s="130"/>
      <c r="C44" s="131"/>
      <c r="D44" s="131"/>
      <c r="E44" s="131"/>
      <c r="F44" s="132"/>
      <c r="G44" s="132" t="s">
        <v>70</v>
      </c>
      <c r="H44" s="130"/>
      <c r="I44" s="131"/>
      <c r="J44" s="131"/>
      <c r="K44" s="131"/>
      <c r="L44" s="131"/>
    </row>
    <row r="45" spans="1:12" ht="21" customHeight="1" x14ac:dyDescent="0.25">
      <c r="A45" s="387" t="s">
        <v>71</v>
      </c>
      <c r="B45" s="388"/>
      <c r="C45" s="389"/>
      <c r="D45" s="161" t="s">
        <v>72</v>
      </c>
      <c r="E45" s="161" t="s">
        <v>73</v>
      </c>
      <c r="F45" s="162" t="s">
        <v>16</v>
      </c>
      <c r="G45" s="396" t="s">
        <v>74</v>
      </c>
      <c r="H45" s="388"/>
      <c r="I45" s="389"/>
      <c r="J45" s="161" t="s">
        <v>72</v>
      </c>
      <c r="K45" s="161" t="s">
        <v>73</v>
      </c>
      <c r="L45" s="161" t="s">
        <v>16</v>
      </c>
    </row>
    <row r="46" spans="1:12" ht="15.75" customHeight="1" x14ac:dyDescent="0.25">
      <c r="A46" s="390"/>
      <c r="B46" s="391"/>
      <c r="C46" s="392"/>
      <c r="D46" s="194">
        <v>20000</v>
      </c>
      <c r="E46" s="163"/>
      <c r="F46" s="195">
        <f>D46*E46</f>
        <v>0</v>
      </c>
      <c r="G46" s="397"/>
      <c r="H46" s="391"/>
      <c r="I46" s="392"/>
      <c r="J46" s="194">
        <v>500</v>
      </c>
      <c r="K46" s="163"/>
      <c r="L46" s="197">
        <f>J46*K46</f>
        <v>0</v>
      </c>
    </row>
    <row r="47" spans="1:12" ht="15.75" customHeight="1" x14ac:dyDescent="0.25">
      <c r="A47" s="390"/>
      <c r="B47" s="391"/>
      <c r="C47" s="392"/>
      <c r="D47" s="194">
        <v>10000</v>
      </c>
      <c r="E47" s="163"/>
      <c r="F47" s="195">
        <f>D47*E47</f>
        <v>0</v>
      </c>
      <c r="G47" s="397"/>
      <c r="H47" s="391"/>
      <c r="I47" s="392"/>
      <c r="J47" s="194">
        <v>100</v>
      </c>
      <c r="K47" s="163"/>
      <c r="L47" s="197">
        <f>J47*K47</f>
        <v>0</v>
      </c>
    </row>
    <row r="48" spans="1:12" ht="15.75" customHeight="1" x14ac:dyDescent="0.25">
      <c r="A48" s="390"/>
      <c r="B48" s="391"/>
      <c r="C48" s="392"/>
      <c r="D48" s="194">
        <v>5000</v>
      </c>
      <c r="E48" s="163"/>
      <c r="F48" s="195">
        <f>D48*E48</f>
        <v>0</v>
      </c>
      <c r="G48" s="397"/>
      <c r="H48" s="391"/>
      <c r="I48" s="392"/>
      <c r="J48" s="194">
        <v>50</v>
      </c>
      <c r="K48" s="163"/>
      <c r="L48" s="197">
        <f>J48*K48</f>
        <v>0</v>
      </c>
    </row>
    <row r="49" spans="1:12" ht="15.75" customHeight="1" x14ac:dyDescent="0.25">
      <c r="A49" s="390"/>
      <c r="B49" s="391"/>
      <c r="C49" s="392"/>
      <c r="D49" s="194">
        <v>2000</v>
      </c>
      <c r="E49" s="163"/>
      <c r="F49" s="195">
        <f>D49*E49</f>
        <v>0</v>
      </c>
      <c r="G49" s="397"/>
      <c r="H49" s="391"/>
      <c r="I49" s="392"/>
      <c r="J49" s="194">
        <v>10</v>
      </c>
      <c r="K49" s="163"/>
      <c r="L49" s="197">
        <f>J49*K49</f>
        <v>0</v>
      </c>
    </row>
    <row r="50" spans="1:12" ht="15.75" customHeight="1" x14ac:dyDescent="0.25">
      <c r="A50" s="393"/>
      <c r="B50" s="394"/>
      <c r="C50" s="395"/>
      <c r="D50" s="194">
        <v>1000</v>
      </c>
      <c r="E50" s="163"/>
      <c r="F50" s="195">
        <f>D50*E50</f>
        <v>0</v>
      </c>
      <c r="G50" s="398"/>
      <c r="H50" s="394"/>
      <c r="I50" s="395"/>
      <c r="J50" s="194"/>
      <c r="K50" s="164"/>
      <c r="L50" s="197"/>
    </row>
    <row r="51" spans="1:12" ht="18.75" x14ac:dyDescent="0.25">
      <c r="A51" s="118"/>
      <c r="B51" s="121"/>
      <c r="C51" s="165"/>
      <c r="D51" s="166"/>
      <c r="E51" s="167" t="s">
        <v>75</v>
      </c>
      <c r="F51" s="196">
        <f>SUM(F46:F50)</f>
        <v>0</v>
      </c>
      <c r="G51" s="156"/>
      <c r="H51" s="157"/>
      <c r="I51" s="158"/>
      <c r="J51" s="166"/>
      <c r="K51" s="167" t="s">
        <v>76</v>
      </c>
      <c r="L51" s="196">
        <f>SUM(L46:L50)</f>
        <v>0</v>
      </c>
    </row>
    <row r="52" spans="1:12" ht="18.75" x14ac:dyDescent="0.25">
      <c r="A52" s="118"/>
      <c r="B52" s="121"/>
      <c r="C52" s="123"/>
      <c r="D52" s="123"/>
      <c r="E52" s="123"/>
      <c r="F52" s="123"/>
      <c r="G52" s="118"/>
      <c r="H52" s="121"/>
      <c r="I52" s="165"/>
      <c r="J52" s="165"/>
      <c r="K52" s="122"/>
      <c r="L52" s="122"/>
    </row>
    <row r="53" spans="1:12" ht="18" customHeight="1" x14ac:dyDescent="0.25">
      <c r="A53" s="118"/>
      <c r="B53" s="121"/>
      <c r="C53" s="123"/>
      <c r="D53" s="123"/>
      <c r="E53" s="123"/>
      <c r="F53" s="123"/>
      <c r="G53" s="168"/>
      <c r="H53" s="168"/>
      <c r="I53" s="169" t="s">
        <v>77</v>
      </c>
      <c r="J53" s="170"/>
      <c r="K53" s="168"/>
      <c r="L53" s="122"/>
    </row>
    <row r="54" spans="1:12" ht="4.5" customHeight="1" x14ac:dyDescent="0.25">
      <c r="A54" s="118"/>
      <c r="B54" s="121"/>
      <c r="C54" s="123"/>
      <c r="D54" s="123"/>
      <c r="E54" s="123"/>
      <c r="F54" s="123"/>
      <c r="G54" s="118"/>
      <c r="H54" s="121"/>
      <c r="I54" s="122"/>
      <c r="J54" s="122"/>
      <c r="K54" s="122"/>
      <c r="L54" s="122"/>
    </row>
    <row r="55" spans="1:12" ht="15" customHeight="1" x14ac:dyDescent="0.25">
      <c r="A55" s="171"/>
      <c r="B55" s="399" t="s">
        <v>78</v>
      </c>
      <c r="C55" s="399"/>
      <c r="D55" s="399"/>
      <c r="E55" s="399"/>
      <c r="F55" s="123"/>
      <c r="G55" s="172"/>
      <c r="H55" s="172"/>
      <c r="I55" s="173" t="s">
        <v>79</v>
      </c>
      <c r="J55" s="298">
        <v>46060</v>
      </c>
      <c r="K55" s="174"/>
      <c r="L55" s="122"/>
    </row>
    <row r="56" spans="1:12" ht="4.5" customHeight="1" x14ac:dyDescent="0.25">
      <c r="A56" s="171"/>
      <c r="B56" s="399"/>
      <c r="C56" s="399"/>
      <c r="D56" s="399"/>
      <c r="E56" s="399"/>
      <c r="F56" s="123"/>
      <c r="G56" s="118"/>
      <c r="H56" s="121"/>
      <c r="I56" s="122"/>
      <c r="J56" s="199"/>
      <c r="K56" s="122"/>
      <c r="L56" s="122"/>
    </row>
    <row r="57" spans="1:12" ht="18.75" customHeight="1" x14ac:dyDescent="0.25">
      <c r="A57" s="175"/>
      <c r="B57" s="400"/>
      <c r="C57" s="400"/>
      <c r="D57" s="400"/>
      <c r="E57" s="400"/>
      <c r="F57" s="123"/>
      <c r="G57" s="176"/>
      <c r="H57" s="176"/>
      <c r="I57" s="177" t="s">
        <v>80</v>
      </c>
      <c r="J57" s="200">
        <f>F51+L51</f>
        <v>0</v>
      </c>
      <c r="K57" s="178"/>
      <c r="L57" s="122"/>
    </row>
    <row r="58" spans="1:12" ht="4.5" customHeight="1" x14ac:dyDescent="0.25">
      <c r="A58" s="175"/>
      <c r="B58" s="400"/>
      <c r="C58" s="400"/>
      <c r="D58" s="400"/>
      <c r="E58" s="400"/>
      <c r="F58" s="123"/>
      <c r="G58" s="118"/>
      <c r="H58" s="159"/>
      <c r="I58" s="160"/>
      <c r="J58" s="201"/>
      <c r="K58" s="165"/>
      <c r="L58" s="122"/>
    </row>
    <row r="59" spans="1:12" ht="18.75" x14ac:dyDescent="0.25">
      <c r="A59" s="175"/>
      <c r="B59" s="400"/>
      <c r="C59" s="400"/>
      <c r="D59" s="400"/>
      <c r="E59" s="400"/>
      <c r="F59" s="123"/>
      <c r="G59" s="176"/>
      <c r="H59" s="176"/>
      <c r="I59" s="177" t="s">
        <v>50</v>
      </c>
      <c r="J59" s="200">
        <f>L27</f>
        <v>0</v>
      </c>
      <c r="K59" s="178"/>
      <c r="L59" s="128"/>
    </row>
    <row r="60" spans="1:12" ht="4.5" customHeight="1" x14ac:dyDescent="0.25">
      <c r="A60" s="175"/>
      <c r="B60" s="400"/>
      <c r="C60" s="400"/>
      <c r="D60" s="400"/>
      <c r="E60" s="400"/>
      <c r="F60" s="123"/>
      <c r="G60" s="118"/>
      <c r="H60" s="159"/>
      <c r="I60" s="160"/>
      <c r="J60" s="201"/>
      <c r="K60" s="123"/>
      <c r="L60" s="122"/>
    </row>
    <row r="61" spans="1:12" ht="18.75" x14ac:dyDescent="0.25">
      <c r="A61" s="175"/>
      <c r="B61" s="400"/>
      <c r="C61" s="400"/>
      <c r="D61" s="400"/>
      <c r="E61" s="400"/>
      <c r="F61" s="123"/>
      <c r="G61" s="179"/>
      <c r="H61" s="179"/>
      <c r="I61" s="180" t="s">
        <v>63</v>
      </c>
      <c r="J61" s="202">
        <f>F39</f>
        <v>0</v>
      </c>
      <c r="K61" s="178"/>
      <c r="L61" s="122"/>
    </row>
    <row r="62" spans="1:12" ht="4.5" customHeight="1" x14ac:dyDescent="0.25">
      <c r="A62" s="175"/>
      <c r="B62" s="400"/>
      <c r="C62" s="400"/>
      <c r="D62" s="400"/>
      <c r="E62" s="400"/>
      <c r="F62" s="123"/>
      <c r="G62" s="118"/>
      <c r="H62" s="118"/>
      <c r="I62" s="121"/>
      <c r="J62" s="199"/>
      <c r="K62" s="122"/>
      <c r="L62" s="122"/>
    </row>
    <row r="63" spans="1:12" ht="18.75" x14ac:dyDescent="0.25">
      <c r="A63" s="175"/>
      <c r="B63" s="400"/>
      <c r="C63" s="400"/>
      <c r="D63" s="400"/>
      <c r="E63" s="400"/>
      <c r="F63" s="123"/>
      <c r="G63" s="179"/>
      <c r="H63" s="179"/>
      <c r="I63" s="180" t="s">
        <v>55</v>
      </c>
      <c r="J63" s="202">
        <f>L32+L41</f>
        <v>0</v>
      </c>
      <c r="K63" s="178"/>
      <c r="L63" s="122"/>
    </row>
    <row r="64" spans="1:12" ht="4.5" customHeight="1" x14ac:dyDescent="0.25">
      <c r="A64" s="175"/>
      <c r="B64" s="400"/>
      <c r="C64" s="400"/>
      <c r="D64" s="400"/>
      <c r="E64" s="400"/>
      <c r="F64" s="123"/>
      <c r="G64" s="118"/>
      <c r="H64" s="118"/>
      <c r="I64" s="121"/>
      <c r="J64" s="199"/>
      <c r="K64" s="122"/>
      <c r="L64" s="122"/>
    </row>
    <row r="65" spans="1:12" ht="18.75" x14ac:dyDescent="0.25">
      <c r="A65" s="175"/>
      <c r="B65" s="400"/>
      <c r="C65" s="400"/>
      <c r="D65" s="400"/>
      <c r="E65" s="400"/>
      <c r="F65" s="123"/>
      <c r="G65" s="179"/>
      <c r="H65" s="179"/>
      <c r="I65" s="180" t="s">
        <v>81</v>
      </c>
      <c r="J65" s="202">
        <f>J55+J59+J61-J63</f>
        <v>46060</v>
      </c>
      <c r="K65" s="181"/>
      <c r="L65" s="122"/>
    </row>
    <row r="66" spans="1:12" ht="4.5" customHeight="1" x14ac:dyDescent="0.25">
      <c r="A66" s="118"/>
      <c r="B66" s="400"/>
      <c r="C66" s="400"/>
      <c r="D66" s="400"/>
      <c r="E66" s="400"/>
      <c r="F66" s="123"/>
      <c r="G66" s="118"/>
      <c r="H66" s="121"/>
      <c r="I66" s="123"/>
      <c r="J66" s="199"/>
      <c r="K66" s="122"/>
      <c r="L66" s="122"/>
    </row>
    <row r="67" spans="1:12" ht="18.75" x14ac:dyDescent="0.25">
      <c r="A67" s="118"/>
      <c r="B67" s="400"/>
      <c r="C67" s="400"/>
      <c r="D67" s="400"/>
      <c r="E67" s="400"/>
      <c r="F67" s="123"/>
      <c r="G67" s="172"/>
      <c r="H67" s="172"/>
      <c r="I67" s="173" t="s">
        <v>82</v>
      </c>
      <c r="J67" s="202">
        <f>J65-J55</f>
        <v>0</v>
      </c>
      <c r="K67" s="182"/>
      <c r="L67" s="122"/>
    </row>
    <row r="68" spans="1:12" ht="4.5" customHeight="1" x14ac:dyDescent="0.25">
      <c r="A68" s="175"/>
      <c r="B68" s="400"/>
      <c r="C68" s="400"/>
      <c r="D68" s="400"/>
      <c r="E68" s="400"/>
      <c r="F68" s="123"/>
      <c r="G68" s="118"/>
      <c r="H68" s="121"/>
      <c r="I68" s="121"/>
      <c r="J68" s="199"/>
      <c r="K68" s="122"/>
      <c r="L68" s="122"/>
    </row>
    <row r="69" spans="1:12" ht="18.75" x14ac:dyDescent="0.25">
      <c r="A69" s="118"/>
      <c r="B69" s="400"/>
      <c r="C69" s="400"/>
      <c r="D69" s="400"/>
      <c r="E69" s="400"/>
      <c r="F69" s="123"/>
      <c r="G69" s="176"/>
      <c r="H69" s="176"/>
      <c r="I69" s="177" t="s">
        <v>83</v>
      </c>
      <c r="J69" s="202">
        <f>J55+F32+(F39-(L32+L41))</f>
        <v>46060</v>
      </c>
      <c r="K69" s="182"/>
      <c r="L69" s="122"/>
    </row>
    <row r="70" spans="1:12" ht="4.5" customHeight="1" x14ac:dyDescent="0.25">
      <c r="A70" s="175"/>
      <c r="B70" s="400"/>
      <c r="C70" s="400"/>
      <c r="D70" s="400"/>
      <c r="E70" s="400"/>
      <c r="F70" s="123"/>
      <c r="G70" s="118"/>
      <c r="H70" s="121"/>
      <c r="I70" s="121"/>
      <c r="J70" s="199"/>
      <c r="K70" s="122"/>
      <c r="L70" s="122"/>
    </row>
    <row r="71" spans="1:12" ht="18.75" x14ac:dyDescent="0.25">
      <c r="A71" s="175"/>
      <c r="B71" s="400"/>
      <c r="C71" s="400"/>
      <c r="D71" s="400"/>
      <c r="E71" s="400"/>
      <c r="F71" s="123"/>
      <c r="G71" s="176"/>
      <c r="H71" s="176"/>
      <c r="I71" s="177" t="s">
        <v>84</v>
      </c>
      <c r="J71" s="203">
        <f>J57-J69</f>
        <v>-46060</v>
      </c>
      <c r="K71" s="183"/>
      <c r="L71" s="122"/>
    </row>
    <row r="72" spans="1:12" ht="18.75" x14ac:dyDescent="0.25">
      <c r="A72" s="184"/>
      <c r="B72" s="185"/>
      <c r="C72" s="185"/>
      <c r="D72" s="185"/>
      <c r="E72" s="185"/>
      <c r="F72" s="186"/>
      <c r="G72" s="184"/>
      <c r="H72" s="187"/>
      <c r="I72" s="188"/>
      <c r="J72" s="188"/>
      <c r="K72" s="188"/>
      <c r="L72" s="188"/>
    </row>
    <row r="73" spans="1:12" ht="18.75" x14ac:dyDescent="0.25">
      <c r="A73" s="184"/>
      <c r="B73" s="185"/>
      <c r="C73" s="185"/>
      <c r="D73" s="185"/>
      <c r="E73" s="185"/>
      <c r="F73" s="186"/>
      <c r="G73" s="184"/>
      <c r="H73" s="187"/>
      <c r="I73" s="188"/>
      <c r="J73" s="188"/>
      <c r="K73" s="188"/>
      <c r="L73" s="188"/>
    </row>
    <row r="74" spans="1:12" ht="18.75" x14ac:dyDescent="0.25">
      <c r="A74" s="184"/>
      <c r="B74" s="185"/>
      <c r="C74" s="185"/>
      <c r="D74" s="185"/>
      <c r="E74" s="185"/>
      <c r="F74" s="186"/>
      <c r="G74" s="184"/>
      <c r="H74" s="187"/>
      <c r="I74" s="188"/>
      <c r="J74" s="188"/>
      <c r="K74" s="188"/>
      <c r="L74" s="188"/>
    </row>
    <row r="75" spans="1:12" ht="18.75" x14ac:dyDescent="0.25">
      <c r="A75" s="184"/>
      <c r="B75" s="185"/>
      <c r="C75" s="185"/>
      <c r="D75" s="185"/>
      <c r="E75" s="185"/>
      <c r="F75" s="186"/>
      <c r="G75" s="184"/>
      <c r="H75" s="187"/>
      <c r="I75" s="188"/>
      <c r="J75" s="188"/>
      <c r="K75" s="188"/>
      <c r="L75" s="188"/>
    </row>
    <row r="76" spans="1:12" x14ac:dyDescent="0.25">
      <c r="B76" s="7"/>
      <c r="E76" s="8"/>
      <c r="F76" s="8"/>
      <c r="I76" s="8"/>
      <c r="J76" s="8"/>
      <c r="K76" s="8"/>
      <c r="L76" s="8"/>
    </row>
    <row r="77" spans="1:12" x14ac:dyDescent="0.25">
      <c r="B77" s="7"/>
      <c r="E77" s="8"/>
      <c r="F77" s="8"/>
      <c r="I77" s="8"/>
      <c r="J77" s="8"/>
      <c r="K77" s="8"/>
      <c r="L77" s="8"/>
    </row>
    <row r="78" spans="1:12" x14ac:dyDescent="0.25">
      <c r="B78" s="7"/>
      <c r="E78" s="8"/>
      <c r="F78" s="8"/>
      <c r="I78" s="8"/>
      <c r="J78" s="8"/>
      <c r="K78" s="8"/>
      <c r="L78" s="8"/>
    </row>
    <row r="79" spans="1:12" x14ac:dyDescent="0.25">
      <c r="B79" s="7"/>
      <c r="E79" s="8"/>
      <c r="F79" s="8"/>
      <c r="I79" s="8"/>
      <c r="J79" s="8"/>
      <c r="K79" s="8"/>
      <c r="L79" s="8"/>
    </row>
    <row r="80" spans="1:12" x14ac:dyDescent="0.25">
      <c r="B80" s="7"/>
      <c r="E80" s="8"/>
      <c r="F80" s="8"/>
      <c r="I80" s="8"/>
      <c r="J80" s="8"/>
      <c r="K80" s="8"/>
      <c r="L80" s="8"/>
    </row>
    <row r="81" spans="2:12" x14ac:dyDescent="0.25">
      <c r="B81" s="7"/>
      <c r="E81" s="8"/>
      <c r="F81" s="8"/>
      <c r="I81" s="8"/>
      <c r="J81" s="8"/>
      <c r="K81" s="8"/>
      <c r="L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</row>
  </sheetData>
  <sheetProtection algorithmName="SHA-512" hashValue="Ia0W0EuGUDJJ+NMuZ79DBXox02zylDSseIhT4Q/ppkJ6bCrllhiVuuDEHVvDiiDSlTcdILgRhMHWtU7Rp+nXLw==" saltValue="uhM2fe3GQVklBynjwEx7yQ==" spinCount="100000" sheet="1" objects="1" scenarios="1"/>
  <mergeCells count="29">
    <mergeCell ref="J40:L40"/>
    <mergeCell ref="I43:J43"/>
    <mergeCell ref="A45:C50"/>
    <mergeCell ref="G45:I50"/>
    <mergeCell ref="B55:E56"/>
    <mergeCell ref="B57:E71"/>
    <mergeCell ref="A30:C41"/>
    <mergeCell ref="G30:I41"/>
    <mergeCell ref="A5:F5"/>
    <mergeCell ref="G5:L5"/>
    <mergeCell ref="A6:A7"/>
    <mergeCell ref="B6:B7"/>
    <mergeCell ref="C6:F6"/>
    <mergeCell ref="G6:G7"/>
    <mergeCell ref="H6:H7"/>
    <mergeCell ref="I6:L6"/>
    <mergeCell ref="J30:L30"/>
    <mergeCell ref="D31:E31"/>
    <mergeCell ref="J31:K31"/>
    <mergeCell ref="D37:F37"/>
    <mergeCell ref="D38:E38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2" priority="1">
      <formula>$J71=0</formula>
    </cfRule>
    <cfRule type="expression" dxfId="1" priority="2">
      <formula>$J71&gt;=1</formula>
    </cfRule>
    <cfRule type="expression" dxfId="0" priority="3">
      <formula>$J71&lt;=-1</formula>
    </cfRule>
  </conditionalFormatting>
  <pageMargins left="0.51181102362204722" right="0.43307086614173229" top="0.82677165354330717" bottom="0.74803149606299213" header="0.31496062992125984" footer="0.31496062992125984"/>
  <pageSetup paperSize="9" scale="54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28</vt:i4>
      </vt:variant>
    </vt:vector>
  </HeadingPairs>
  <TitlesOfParts>
    <vt:vector size="60" baseType="lpstr">
      <vt:lpstr>MES 23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02</vt:lpstr>
      <vt:lpstr>01</vt:lpstr>
      <vt:lpstr>'04'!Área_de_impresión</vt:lpstr>
      <vt:lpstr>'05'!Área_de_impresión</vt:lpstr>
      <vt:lpstr>'06'!Área_de_impresión</vt:lpstr>
      <vt:lpstr>'07'!Área_de_impresión</vt:lpstr>
      <vt:lpstr>'08'!Área_de_impresión</vt:lpstr>
      <vt:lpstr>'09'!Área_de_impresión</vt:lpstr>
      <vt:lpstr>'10'!Área_de_impresión</vt:lpstr>
      <vt:lpstr>'11'!Área_de_impresión</vt:lpstr>
      <vt:lpstr>'12'!Área_de_impresión</vt:lpstr>
      <vt:lpstr>'13'!Área_de_impresión</vt:lpstr>
      <vt:lpstr>'14'!Área_de_impresión</vt:lpstr>
      <vt:lpstr>'15'!Área_de_impresión</vt:lpstr>
      <vt:lpstr>'16'!Área_de_impresión</vt:lpstr>
      <vt:lpstr>'17'!Área_de_impresión</vt:lpstr>
      <vt:lpstr>'18'!Área_de_impresión</vt:lpstr>
      <vt:lpstr>'19'!Área_de_impresión</vt:lpstr>
      <vt:lpstr>'20'!Área_de_impresión</vt:lpstr>
      <vt:lpstr>'21'!Área_de_impresión</vt:lpstr>
      <vt:lpstr>'22'!Área_de_impresión</vt:lpstr>
      <vt:lpstr>'23'!Área_de_impresión</vt:lpstr>
      <vt:lpstr>'24'!Área_de_impresión</vt:lpstr>
      <vt:lpstr>'25'!Área_de_impresión</vt:lpstr>
      <vt:lpstr>'26'!Área_de_impresión</vt:lpstr>
      <vt:lpstr>'27'!Área_de_impresión</vt:lpstr>
      <vt:lpstr>'28'!Área_de_impresión</vt:lpstr>
      <vt:lpstr>'29'!Área_de_impresión</vt:lpstr>
      <vt:lpstr>'30'!Área_de_impresión</vt:lpstr>
      <vt:lpstr>'31'!Área_de_impresión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 Exotic</dc:creator>
  <cp:keywords/>
  <dc:description/>
  <cp:lastModifiedBy>Pet Exotic</cp:lastModifiedBy>
  <cp:revision/>
  <cp:lastPrinted>2024-11-30T21:34:08Z</cp:lastPrinted>
  <dcterms:created xsi:type="dcterms:W3CDTF">2022-02-25T18:11:02Z</dcterms:created>
  <dcterms:modified xsi:type="dcterms:W3CDTF">2024-11-30T21:35:46Z</dcterms:modified>
  <cp:category/>
  <cp:contentStatus/>
</cp:coreProperties>
</file>