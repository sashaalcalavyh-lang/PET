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4"/>
  <workbookPr/>
  <mc:AlternateContent xmlns:mc="http://schemas.openxmlformats.org/markup-compatibility/2006">
    <mc:Choice Requires="x15">
      <x15ac:absPath xmlns:x15ac="http://schemas.microsoft.com/office/spreadsheetml/2010/11/ac" url="https://d.docs.live.net/005921d4bb37e7f5/Pet Exotic Veterinaria/"/>
    </mc:Choice>
  </mc:AlternateContent>
  <xr:revisionPtr revIDLastSave="864" documentId="13_ncr:1_{4E04CE86-26A5-408A-979B-4E7EC85A301D}" xr6:coauthVersionLast="47" xr6:coauthVersionMax="47" xr10:uidLastSave="{5F0D3A1F-7B16-4EFF-B56B-364B04B5C743}"/>
  <bookViews>
    <workbookView xWindow="-120" yWindow="-120" windowWidth="20730" windowHeight="11160" tabRatio="914" firstSheet="2" activeTab="1" xr2:uid="{C9E7CEFC-F99B-4B3F-BC5C-9BD4C3118B4E}"/>
  </bookViews>
  <sheets>
    <sheet name="Formato" sheetId="2" r:id="rId1"/>
    <sheet name="27-07-2024" sheetId="19" r:id="rId2"/>
    <sheet name="26-07-2024" sheetId="18" r:id="rId3"/>
    <sheet name="25-07-2024" sheetId="16" r:id="rId4"/>
    <sheet name="24-07-2024 " sheetId="15" r:id="rId5"/>
    <sheet name="23-07-2024" sheetId="14" r:id="rId6"/>
    <sheet name="22-07-2024" sheetId="13" r:id="rId7"/>
    <sheet name="19-07-2024" sheetId="12" r:id="rId8"/>
    <sheet name="16-07-2024" sheetId="11" r:id="rId9"/>
    <sheet name="15-07-2024" sheetId="10" r:id="rId10"/>
    <sheet name="13-07-2024" sheetId="9" r:id="rId11"/>
    <sheet name="12-07-2024" sheetId="8" r:id="rId12"/>
    <sheet name="11-07-2024" sheetId="7" r:id="rId13"/>
    <sheet name="10-07-2024" sheetId="6" r:id="rId14"/>
    <sheet name="09-07-2024" sheetId="5" r:id="rId15"/>
    <sheet name="08-07-2024" sheetId="4" r:id="rId16"/>
    <sheet name="06-07-2024" sheetId="3" r:id="rId17"/>
    <sheet name="22-06-2024" sheetId="1" r:id="rId18"/>
  </sheets>
  <definedNames>
    <definedName name="_xlnm.Print_Area" localSheetId="16">'06-07-2024'!$A$1:$K$72</definedName>
    <definedName name="_xlnm.Print_Area" localSheetId="15">'08-07-2024'!$A$1:$K$72</definedName>
    <definedName name="_xlnm.Print_Area" localSheetId="14">'09-07-2024'!$A$1:$K$72</definedName>
    <definedName name="_xlnm.Print_Area" localSheetId="13">'10-07-2024'!$A$1:$K$72</definedName>
    <definedName name="_xlnm.Print_Area" localSheetId="12">'11-07-2024'!$A$1:$K$72</definedName>
    <definedName name="_xlnm.Print_Area" localSheetId="11">'12-07-2024'!$A$1:$K$72</definedName>
    <definedName name="_xlnm.Print_Area" localSheetId="10">'13-07-2024'!$A$1:$K$72</definedName>
    <definedName name="_xlnm.Print_Area" localSheetId="9">'15-07-2024'!$A$1:$K$72</definedName>
    <definedName name="_xlnm.Print_Area" localSheetId="8">'16-07-2024'!$A$1:$K$72</definedName>
    <definedName name="_xlnm.Print_Area" localSheetId="7">'19-07-2024'!$A$1:$K$72</definedName>
    <definedName name="_xlnm.Print_Area" localSheetId="17">'22-06-2024'!$A$1:$K$72</definedName>
    <definedName name="_xlnm.Print_Area" localSheetId="6">'22-07-2024'!$A$1:$K$72</definedName>
    <definedName name="_xlnm.Print_Area" localSheetId="5">'23-07-2024'!$A$1:$K$72</definedName>
    <definedName name="_xlnm.Print_Area" localSheetId="4">'24-07-2024 '!$A$1:$K$72</definedName>
    <definedName name="_xlnm.Print_Area" localSheetId="3">'25-07-2024'!$A$1:$K$72</definedName>
    <definedName name="_xlnm.Print_Area" localSheetId="2">'26-07-2024'!$A$1:$K$72</definedName>
    <definedName name="_xlnm.Print_Area" localSheetId="1">'27-07-2024'!$A$1:$K$72</definedName>
    <definedName name="_xlnm.Print_Area" localSheetId="0">Formato!$A$1:$K$72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19" l="1"/>
  <c r="I60" i="19"/>
  <c r="E49" i="19"/>
  <c r="K48" i="19"/>
  <c r="E48" i="19"/>
  <c r="K47" i="19"/>
  <c r="E47" i="19"/>
  <c r="K46" i="19"/>
  <c r="E46" i="19"/>
  <c r="K45" i="19"/>
  <c r="E45" i="19"/>
  <c r="K41" i="19"/>
  <c r="E40" i="19"/>
  <c r="K38" i="19"/>
  <c r="E24" i="19"/>
  <c r="E34" i="19" s="1"/>
  <c r="D24" i="19"/>
  <c r="E33" i="19" s="1"/>
  <c r="C24" i="19"/>
  <c r="E32" i="19" s="1"/>
  <c r="B24" i="19"/>
  <c r="E31" i="19" s="1"/>
  <c r="I68" i="19" s="1"/>
  <c r="I62" i="18"/>
  <c r="I60" i="18"/>
  <c r="E49" i="18"/>
  <c r="K48" i="18"/>
  <c r="E48" i="18"/>
  <c r="K47" i="18"/>
  <c r="E47" i="18"/>
  <c r="K46" i="18"/>
  <c r="E46" i="18"/>
  <c r="K45" i="18"/>
  <c r="E45" i="18"/>
  <c r="K41" i="18"/>
  <c r="E40" i="18"/>
  <c r="K38" i="18"/>
  <c r="E33" i="18"/>
  <c r="E31" i="18"/>
  <c r="I68" i="18" s="1"/>
  <c r="E24" i="18"/>
  <c r="E34" i="18" s="1"/>
  <c r="D24" i="18"/>
  <c r="C24" i="18"/>
  <c r="E32" i="18" s="1"/>
  <c r="B24" i="18"/>
  <c r="I62" i="16"/>
  <c r="I60" i="16"/>
  <c r="E49" i="16"/>
  <c r="K48" i="16"/>
  <c r="E48" i="16"/>
  <c r="K47" i="16"/>
  <c r="E47" i="16"/>
  <c r="K46" i="16"/>
  <c r="E46" i="16"/>
  <c r="K45" i="16"/>
  <c r="E45" i="16"/>
  <c r="K41" i="16"/>
  <c r="E40" i="16"/>
  <c r="K38" i="16"/>
  <c r="E33" i="16"/>
  <c r="E24" i="16"/>
  <c r="E34" i="16" s="1"/>
  <c r="D24" i="16"/>
  <c r="C24" i="16"/>
  <c r="E32" i="16" s="1"/>
  <c r="B24" i="16"/>
  <c r="E31" i="16" s="1"/>
  <c r="I68" i="16" s="1"/>
  <c r="I62" i="15"/>
  <c r="I60" i="15"/>
  <c r="E49" i="15"/>
  <c r="K48" i="15"/>
  <c r="E48" i="15"/>
  <c r="K47" i="15"/>
  <c r="E47" i="15"/>
  <c r="K46" i="15"/>
  <c r="E46" i="15"/>
  <c r="E50" i="15" s="1"/>
  <c r="K45" i="15"/>
  <c r="K50" i="15" s="1"/>
  <c r="E45" i="15"/>
  <c r="E40" i="15"/>
  <c r="K38" i="15"/>
  <c r="K41" i="15" s="1"/>
  <c r="E24" i="15"/>
  <c r="E34" i="15" s="1"/>
  <c r="D24" i="15"/>
  <c r="E33" i="15" s="1"/>
  <c r="C24" i="15"/>
  <c r="E32" i="15" s="1"/>
  <c r="B24" i="15"/>
  <c r="E31" i="15" s="1"/>
  <c r="E50" i="19" l="1"/>
  <c r="I56" i="19"/>
  <c r="I70" i="19" s="1"/>
  <c r="K50" i="19"/>
  <c r="K26" i="19"/>
  <c r="I58" i="19" s="1"/>
  <c r="I64" i="19" s="1"/>
  <c r="I66" i="19" s="1"/>
  <c r="E35" i="19"/>
  <c r="E41" i="19" s="1"/>
  <c r="K50" i="16"/>
  <c r="I56" i="16" s="1"/>
  <c r="I70" i="16" s="1"/>
  <c r="E50" i="16"/>
  <c r="K26" i="16"/>
  <c r="I58" i="16" s="1"/>
  <c r="I64" i="16" s="1"/>
  <c r="I66" i="16" s="1"/>
  <c r="K50" i="18"/>
  <c r="I56" i="18" s="1"/>
  <c r="I70" i="18" s="1"/>
  <c r="E50" i="18"/>
  <c r="K26" i="18"/>
  <c r="I58" i="18" s="1"/>
  <c r="I64" i="18" s="1"/>
  <c r="I66" i="18" s="1"/>
  <c r="E35" i="18"/>
  <c r="E41" i="18" s="1"/>
  <c r="E35" i="16"/>
  <c r="E41" i="16" s="1"/>
  <c r="I68" i="15"/>
  <c r="E35" i="15"/>
  <c r="E41" i="15" s="1"/>
  <c r="I56" i="15"/>
  <c r="K26" i="15"/>
  <c r="I58" i="15" s="1"/>
  <c r="I64" i="15" s="1"/>
  <c r="I66" i="15" s="1"/>
  <c r="I70" i="15" l="1"/>
  <c r="I62" i="14" l="1"/>
  <c r="I60" i="14"/>
  <c r="E49" i="14"/>
  <c r="K48" i="14"/>
  <c r="E48" i="14"/>
  <c r="K47" i="14"/>
  <c r="E47" i="14"/>
  <c r="K46" i="14"/>
  <c r="E46" i="14"/>
  <c r="K45" i="14"/>
  <c r="E45" i="14"/>
  <c r="E40" i="14"/>
  <c r="K38" i="14"/>
  <c r="K41" i="14" s="1"/>
  <c r="E24" i="14"/>
  <c r="E34" i="14" s="1"/>
  <c r="D24" i="14"/>
  <c r="E33" i="14" s="1"/>
  <c r="C24" i="14"/>
  <c r="E32" i="14" s="1"/>
  <c r="B24" i="14"/>
  <c r="E31" i="14" s="1"/>
  <c r="I68" i="14" s="1"/>
  <c r="I62" i="13"/>
  <c r="I60" i="13"/>
  <c r="E49" i="13"/>
  <c r="K48" i="13"/>
  <c r="E48" i="13"/>
  <c r="K47" i="13"/>
  <c r="E47" i="13"/>
  <c r="K46" i="13"/>
  <c r="E46" i="13"/>
  <c r="K45" i="13"/>
  <c r="E45" i="13"/>
  <c r="E50" i="13" s="1"/>
  <c r="E40" i="13"/>
  <c r="K38" i="13"/>
  <c r="K41" i="13" s="1"/>
  <c r="E24" i="13"/>
  <c r="E34" i="13" s="1"/>
  <c r="D24" i="13"/>
  <c r="E33" i="13" s="1"/>
  <c r="C24" i="13"/>
  <c r="E32" i="13" s="1"/>
  <c r="B24" i="13"/>
  <c r="I62" i="12"/>
  <c r="I60" i="12"/>
  <c r="E49" i="12"/>
  <c r="K48" i="12"/>
  <c r="E48" i="12"/>
  <c r="K47" i="12"/>
  <c r="E47" i="12"/>
  <c r="K46" i="12"/>
  <c r="E46" i="12"/>
  <c r="K45" i="12"/>
  <c r="E45" i="12"/>
  <c r="K41" i="12"/>
  <c r="E40" i="12"/>
  <c r="K38" i="12"/>
  <c r="E24" i="12"/>
  <c r="E34" i="12" s="1"/>
  <c r="D24" i="12"/>
  <c r="E33" i="12" s="1"/>
  <c r="C24" i="12"/>
  <c r="E32" i="12" s="1"/>
  <c r="B24" i="12"/>
  <c r="I68" i="10"/>
  <c r="I62" i="11"/>
  <c r="I60" i="11"/>
  <c r="E49" i="11"/>
  <c r="K48" i="11"/>
  <c r="E48" i="11"/>
  <c r="K47" i="11"/>
  <c r="E47" i="11"/>
  <c r="K46" i="11"/>
  <c r="E46" i="11"/>
  <c r="K45" i="11"/>
  <c r="E45" i="11"/>
  <c r="E40" i="11"/>
  <c r="K38" i="11"/>
  <c r="K41" i="11" s="1"/>
  <c r="E24" i="11"/>
  <c r="E34" i="11" s="1"/>
  <c r="D24" i="11"/>
  <c r="E33" i="11" s="1"/>
  <c r="C24" i="11"/>
  <c r="E32" i="11" s="1"/>
  <c r="B24" i="11"/>
  <c r="E31" i="11" s="1"/>
  <c r="I68" i="11" s="1"/>
  <c r="I62" i="10"/>
  <c r="I60" i="10"/>
  <c r="E49" i="10"/>
  <c r="K48" i="10"/>
  <c r="E48" i="10"/>
  <c r="K47" i="10"/>
  <c r="E47" i="10"/>
  <c r="K46" i="10"/>
  <c r="E46" i="10"/>
  <c r="K45" i="10"/>
  <c r="E45" i="10"/>
  <c r="E50" i="10" s="1"/>
  <c r="K41" i="10"/>
  <c r="E40" i="10"/>
  <c r="K38" i="10"/>
  <c r="E24" i="10"/>
  <c r="E34" i="10" s="1"/>
  <c r="D24" i="10"/>
  <c r="E33" i="10" s="1"/>
  <c r="C24" i="10"/>
  <c r="E32" i="10" s="1"/>
  <c r="B24" i="10"/>
  <c r="C9" i="9"/>
  <c r="K31" i="9"/>
  <c r="I62" i="9" s="1"/>
  <c r="I54" i="9"/>
  <c r="I60" i="9"/>
  <c r="E49" i="9"/>
  <c r="K48" i="9"/>
  <c r="E48" i="9"/>
  <c r="K47" i="9"/>
  <c r="E47" i="9"/>
  <c r="K46" i="9"/>
  <c r="E46" i="9"/>
  <c r="K45" i="9"/>
  <c r="K50" i="9" s="1"/>
  <c r="E45" i="9"/>
  <c r="E50" i="9" s="1"/>
  <c r="E40" i="9"/>
  <c r="E24" i="9"/>
  <c r="E34" i="9" s="1"/>
  <c r="D24" i="9"/>
  <c r="E33" i="9" s="1"/>
  <c r="C24" i="9"/>
  <c r="E32" i="9" s="1"/>
  <c r="B24" i="9"/>
  <c r="I54" i="8"/>
  <c r="I62" i="8"/>
  <c r="I60" i="8"/>
  <c r="E49" i="8"/>
  <c r="K48" i="8"/>
  <c r="E48" i="8"/>
  <c r="K47" i="8"/>
  <c r="E47" i="8"/>
  <c r="K46" i="8"/>
  <c r="E46" i="8"/>
  <c r="K45" i="8"/>
  <c r="K50" i="8" s="1"/>
  <c r="E45" i="8"/>
  <c r="E40" i="8"/>
  <c r="K38" i="8"/>
  <c r="K41" i="8" s="1"/>
  <c r="E24" i="8"/>
  <c r="E34" i="8" s="1"/>
  <c r="D24" i="8"/>
  <c r="E33" i="8" s="1"/>
  <c r="B24" i="8"/>
  <c r="E31" i="8" s="1"/>
  <c r="C24" i="8"/>
  <c r="E32" i="8" s="1"/>
  <c r="C11" i="7"/>
  <c r="C24" i="7" s="1"/>
  <c r="E32" i="7" s="1"/>
  <c r="C8" i="7"/>
  <c r="I62" i="7"/>
  <c r="I60" i="7"/>
  <c r="E49" i="7"/>
  <c r="K48" i="7"/>
  <c r="E48" i="7"/>
  <c r="K47" i="7"/>
  <c r="E47" i="7"/>
  <c r="K46" i="7"/>
  <c r="E46" i="7"/>
  <c r="K45" i="7"/>
  <c r="K50" i="7" s="1"/>
  <c r="E45" i="7"/>
  <c r="E50" i="7" s="1"/>
  <c r="E40" i="7"/>
  <c r="K38" i="7"/>
  <c r="K41" i="7" s="1"/>
  <c r="E24" i="7"/>
  <c r="E34" i="7" s="1"/>
  <c r="D24" i="7"/>
  <c r="E33" i="7" s="1"/>
  <c r="B24" i="7"/>
  <c r="E31" i="7" s="1"/>
  <c r="I54" i="6"/>
  <c r="I62" i="6"/>
  <c r="I60" i="6"/>
  <c r="E49" i="6"/>
  <c r="K48" i="6"/>
  <c r="E48" i="6"/>
  <c r="K47" i="6"/>
  <c r="E47" i="6"/>
  <c r="K46" i="6"/>
  <c r="E46" i="6"/>
  <c r="K45" i="6"/>
  <c r="E45" i="6"/>
  <c r="E40" i="6"/>
  <c r="K38" i="6"/>
  <c r="K41" i="6" s="1"/>
  <c r="E24" i="6"/>
  <c r="E34" i="6" s="1"/>
  <c r="D24" i="6"/>
  <c r="E33" i="6" s="1"/>
  <c r="C24" i="6"/>
  <c r="E32" i="6" s="1"/>
  <c r="B24" i="6"/>
  <c r="E31" i="6" s="1"/>
  <c r="I62" i="5"/>
  <c r="I60" i="5"/>
  <c r="E49" i="5"/>
  <c r="K48" i="5"/>
  <c r="E48" i="5"/>
  <c r="K47" i="5"/>
  <c r="E47" i="5"/>
  <c r="K46" i="5"/>
  <c r="E46" i="5"/>
  <c r="K45" i="5"/>
  <c r="E45" i="5"/>
  <c r="K41" i="5"/>
  <c r="E40" i="5"/>
  <c r="K38" i="5"/>
  <c r="E24" i="5"/>
  <c r="E34" i="5" s="1"/>
  <c r="D24" i="5"/>
  <c r="E33" i="5" s="1"/>
  <c r="C24" i="5"/>
  <c r="E32" i="5" s="1"/>
  <c r="B24" i="5"/>
  <c r="E31" i="5" s="1"/>
  <c r="I54" i="4"/>
  <c r="I62" i="4"/>
  <c r="I60" i="4"/>
  <c r="E49" i="4"/>
  <c r="K48" i="4"/>
  <c r="E48" i="4"/>
  <c r="K47" i="4"/>
  <c r="E47" i="4"/>
  <c r="K46" i="4"/>
  <c r="E46" i="4"/>
  <c r="K45" i="4"/>
  <c r="E45" i="4"/>
  <c r="K41" i="4"/>
  <c r="E40" i="4"/>
  <c r="K38" i="4"/>
  <c r="E24" i="4"/>
  <c r="E34" i="4" s="1"/>
  <c r="D24" i="4"/>
  <c r="E33" i="4" s="1"/>
  <c r="C24" i="4"/>
  <c r="E32" i="4" s="1"/>
  <c r="B24" i="4"/>
  <c r="E31" i="4" s="1"/>
  <c r="I62" i="3"/>
  <c r="I60" i="3"/>
  <c r="E49" i="3"/>
  <c r="K48" i="3"/>
  <c r="E48" i="3"/>
  <c r="K47" i="3"/>
  <c r="E47" i="3"/>
  <c r="K46" i="3"/>
  <c r="E46" i="3"/>
  <c r="K45" i="3"/>
  <c r="E45" i="3"/>
  <c r="E40" i="3"/>
  <c r="K38" i="3"/>
  <c r="K41" i="3" s="1"/>
  <c r="E34" i="3"/>
  <c r="E24" i="3"/>
  <c r="D24" i="3"/>
  <c r="E33" i="3" s="1"/>
  <c r="C24" i="3"/>
  <c r="E32" i="3" s="1"/>
  <c r="B24" i="3"/>
  <c r="E31" i="3" s="1"/>
  <c r="I62" i="2"/>
  <c r="I60" i="2"/>
  <c r="E49" i="2"/>
  <c r="K48" i="2"/>
  <c r="E48" i="2"/>
  <c r="K47" i="2"/>
  <c r="E47" i="2"/>
  <c r="K46" i="2"/>
  <c r="E46" i="2"/>
  <c r="K45" i="2"/>
  <c r="K50" i="2" s="1"/>
  <c r="E45" i="2"/>
  <c r="E50" i="2" s="1"/>
  <c r="I56" i="2" s="1"/>
  <c r="K41" i="2"/>
  <c r="E40" i="2"/>
  <c r="K38" i="2"/>
  <c r="E31" i="2"/>
  <c r="E24" i="2"/>
  <c r="E34" i="2" s="1"/>
  <c r="D24" i="2"/>
  <c r="E33" i="2" s="1"/>
  <c r="C24" i="2"/>
  <c r="E32" i="2" s="1"/>
  <c r="B24" i="2"/>
  <c r="K26" i="2" s="1"/>
  <c r="I58" i="2" s="1"/>
  <c r="I64" i="2" s="1"/>
  <c r="I66" i="2" s="1"/>
  <c r="E45" i="1"/>
  <c r="E40" i="1"/>
  <c r="E33" i="1"/>
  <c r="I62" i="1"/>
  <c r="I60" i="1"/>
  <c r="E49" i="1"/>
  <c r="K48" i="1"/>
  <c r="E48" i="1"/>
  <c r="K47" i="1"/>
  <c r="E47" i="1"/>
  <c r="K46" i="1"/>
  <c r="E46" i="1"/>
  <c r="K45" i="1"/>
  <c r="E50" i="1"/>
  <c r="K38" i="1"/>
  <c r="K41" i="1" s="1"/>
  <c r="E24" i="1"/>
  <c r="E34" i="1" s="1"/>
  <c r="D24" i="1"/>
  <c r="C24" i="1"/>
  <c r="E32" i="1" s="1"/>
  <c r="B24" i="1"/>
  <c r="E31" i="1" s="1"/>
  <c r="E50" i="14" l="1"/>
  <c r="K26" i="14"/>
  <c r="I58" i="14" s="1"/>
  <c r="I64" i="14" s="1"/>
  <c r="I66" i="14" s="1"/>
  <c r="K50" i="14"/>
  <c r="E35" i="14"/>
  <c r="E41" i="14" s="1"/>
  <c r="K26" i="13"/>
  <c r="I58" i="13" s="1"/>
  <c r="I64" i="13" s="1"/>
  <c r="I66" i="13" s="1"/>
  <c r="K50" i="13"/>
  <c r="I56" i="13" s="1"/>
  <c r="E31" i="13"/>
  <c r="K50" i="12"/>
  <c r="E50" i="12"/>
  <c r="K26" i="12"/>
  <c r="I58" i="12" s="1"/>
  <c r="I64" i="12" s="1"/>
  <c r="I66" i="12" s="1"/>
  <c r="E31" i="12"/>
  <c r="I68" i="12" s="1"/>
  <c r="E35" i="12"/>
  <c r="E41" i="12" s="1"/>
  <c r="K50" i="11"/>
  <c r="E50" i="11"/>
  <c r="K26" i="11"/>
  <c r="I58" i="11" s="1"/>
  <c r="I64" i="11" s="1"/>
  <c r="I66" i="11" s="1"/>
  <c r="E35" i="11"/>
  <c r="E41" i="11" s="1"/>
  <c r="K50" i="10"/>
  <c r="I56" i="10" s="1"/>
  <c r="K26" i="10"/>
  <c r="I58" i="10" s="1"/>
  <c r="I64" i="10" s="1"/>
  <c r="I66" i="10" s="1"/>
  <c r="E31" i="10"/>
  <c r="E35" i="10" s="1"/>
  <c r="E41" i="10" s="1"/>
  <c r="I56" i="9"/>
  <c r="K38" i="9"/>
  <c r="K41" i="9" s="1"/>
  <c r="K26" i="9"/>
  <c r="I58" i="9" s="1"/>
  <c r="I64" i="9" s="1"/>
  <c r="I66" i="9" s="1"/>
  <c r="E31" i="9"/>
  <c r="I68" i="9"/>
  <c r="I70" i="9" s="1"/>
  <c r="E35" i="9"/>
  <c r="E41" i="9" s="1"/>
  <c r="E50" i="8"/>
  <c r="I56" i="8" s="1"/>
  <c r="E35" i="8"/>
  <c r="E41" i="8" s="1"/>
  <c r="I68" i="8"/>
  <c r="K26" i="8"/>
  <c r="I58" i="8" s="1"/>
  <c r="I64" i="8" s="1"/>
  <c r="I66" i="8" s="1"/>
  <c r="I56" i="7"/>
  <c r="K50" i="6"/>
  <c r="E50" i="6"/>
  <c r="E35" i="7"/>
  <c r="E41" i="7" s="1"/>
  <c r="K26" i="7"/>
  <c r="I58" i="7" s="1"/>
  <c r="E35" i="6"/>
  <c r="E41" i="6" s="1"/>
  <c r="I68" i="6"/>
  <c r="K26" i="6"/>
  <c r="I58" i="6" s="1"/>
  <c r="I64" i="6" s="1"/>
  <c r="I66" i="6" s="1"/>
  <c r="K50" i="5"/>
  <c r="E50" i="5"/>
  <c r="K26" i="5"/>
  <c r="I58" i="5" s="1"/>
  <c r="K50" i="4"/>
  <c r="E50" i="4"/>
  <c r="I56" i="4" s="1"/>
  <c r="K26" i="4"/>
  <c r="I58" i="4" s="1"/>
  <c r="I64" i="4" s="1"/>
  <c r="I66" i="4" s="1"/>
  <c r="I68" i="5"/>
  <c r="E35" i="5"/>
  <c r="E41" i="5" s="1"/>
  <c r="I68" i="4"/>
  <c r="I54" i="5" s="1"/>
  <c r="E35" i="4"/>
  <c r="E41" i="4" s="1"/>
  <c r="K50" i="3"/>
  <c r="E50" i="3"/>
  <c r="I68" i="3"/>
  <c r="E35" i="3"/>
  <c r="E41" i="3" s="1"/>
  <c r="K26" i="3"/>
  <c r="I58" i="3" s="1"/>
  <c r="I64" i="3" s="1"/>
  <c r="I66" i="3" s="1"/>
  <c r="E35" i="1"/>
  <c r="E41" i="1" s="1"/>
  <c r="K26" i="1"/>
  <c r="I58" i="1" s="1"/>
  <c r="I64" i="1" s="1"/>
  <c r="I66" i="1" s="1"/>
  <c r="E35" i="2"/>
  <c r="E41" i="2" s="1"/>
  <c r="I68" i="2"/>
  <c r="I70" i="2" s="1"/>
  <c r="K50" i="1"/>
  <c r="I68" i="1"/>
  <c r="I56" i="1"/>
  <c r="I56" i="14" l="1"/>
  <c r="I70" i="14" s="1"/>
  <c r="I68" i="13"/>
  <c r="I70" i="13" s="1"/>
  <c r="E35" i="13"/>
  <c r="E41" i="13" s="1"/>
  <c r="I56" i="12"/>
  <c r="I70" i="12" s="1"/>
  <c r="I56" i="11"/>
  <c r="I70" i="11" s="1"/>
  <c r="I70" i="10"/>
  <c r="I70" i="8"/>
  <c r="I56" i="6"/>
  <c r="I70" i="6" s="1"/>
  <c r="I54" i="7"/>
  <c r="I68" i="7" s="1"/>
  <c r="I70" i="7" s="1"/>
  <c r="I64" i="7"/>
  <c r="I66" i="7" s="1"/>
  <c r="I56" i="5"/>
  <c r="I70" i="5"/>
  <c r="I64" i="5"/>
  <c r="I66" i="5" s="1"/>
  <c r="I70" i="4"/>
  <c r="I56" i="3"/>
  <c r="I70" i="3"/>
  <c r="I70" i="1"/>
</calcChain>
</file>

<file path=xl/sharedStrings.xml><?xml version="1.0" encoding="utf-8"?>
<sst xmlns="http://schemas.openxmlformats.org/spreadsheetml/2006/main" count="1280" uniqueCount="185">
  <si>
    <t>Fecha</t>
  </si>
  <si>
    <t>Turno</t>
  </si>
  <si>
    <t>REGISTRO DE VENTAS</t>
  </si>
  <si>
    <t>Sin registro en dodozooft</t>
  </si>
  <si>
    <t>Folio Voucher</t>
  </si>
  <si>
    <t>Forma de Pago</t>
  </si>
  <si>
    <t xml:space="preserve">Descripción </t>
  </si>
  <si>
    <t>Efectivo</t>
  </si>
  <si>
    <t>Debito</t>
  </si>
  <si>
    <t>Credito</t>
  </si>
  <si>
    <t>Transf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</si>
  <si>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</si>
  <si>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</si>
  <si>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</si>
  <si>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</si>
  <si>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</si>
  <si>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</si>
  <si>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</si>
  <si>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</si>
  <si>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</si>
  <si>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</si>
  <si>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</si>
  <si>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</si>
  <si>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</si>
  <si>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</si>
  <si>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</si>
  <si>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</si>
  <si>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</si>
  <si>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</si>
  <si>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</si>
  <si>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</si>
  <si>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</si>
  <si>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</si>
  <si>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</si>
  <si>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</si>
  <si>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</si>
  <si>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</si>
  <si>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</si>
  <si>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</si>
  <si>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</si>
  <si>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</si>
  <si>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</si>
  <si>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</si>
  <si>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TOTAL EFECTIVO FISICO</t>
  </si>
  <si>
    <t>TOTAL EN CAJA CON APERTURA</t>
  </si>
  <si>
    <t>TOTAL EN CAJA</t>
  </si>
  <si>
    <t>CAJA FINAL EFECTIVO</t>
  </si>
  <si>
    <t>DIFERENCIA</t>
  </si>
  <si>
    <t>Augustina y Sasha- Turno completo</t>
  </si>
  <si>
    <t>Esterilización felina</t>
  </si>
  <si>
    <t>Hemograma + P. bioquímico +electrolitos (16.000) + cistocentesis (35.000) + Urianálisis+UP (18.000)+ Eco FAST (25.000)</t>
  </si>
  <si>
    <t>Ecografía exótico+sedación</t>
  </si>
  <si>
    <t>dermisolona</t>
  </si>
  <si>
    <t>sedación felina</t>
  </si>
  <si>
    <t>Paga pendiente: en dodo hacer boleta de tto (30.990) y descontar 10.000</t>
  </si>
  <si>
    <t>tratamiento</t>
  </si>
  <si>
    <t>castración</t>
  </si>
  <si>
    <t>consulta exótico</t>
  </si>
  <si>
    <t>2 x sustrato my pet litter (7.500) + juguete timoty zanahoria (10.200)</t>
  </si>
  <si>
    <r>
      <rPr>
        <b/>
        <sz val="14"/>
        <color theme="1"/>
        <rFont val="Aptos Narrow"/>
        <family val="2"/>
        <scheme val="minor"/>
      </rPr>
      <t>6663:</t>
    </r>
    <r>
      <rPr>
        <sz val="14"/>
        <color theme="1"/>
        <rFont val="Aptos Narrow"/>
        <family val="2"/>
        <scheme val="minor"/>
      </rPr>
      <t xml:space="preserve"> aplicación mebermic (5.500) + antirrábica + sextuple</t>
    </r>
  </si>
  <si>
    <t>6664: Pago1: Hosp 24 hrs (50.000)+tto intrahosp (24.990)+anestesia inhalatoria (45.000)+ enfermería (25.000) + cirugía oncológica (160.000) + cirugía reconstructiva (110.000) +biopsia (28.000) + insumos (30.000)</t>
  </si>
  <si>
    <t>6664:Pago2: Hosp 24 hrs (50.000)+tto intrahosp (24.990)+anestesia inhalatoria (45.000)+ enfermería (25.000) + cirugía oncológica (160.000) + cirugía reconstructiva (110.000) +biopsia (28.000) + insumos (30.000)</t>
  </si>
  <si>
    <t>6665: CONSULTA</t>
  </si>
  <si>
    <t>6666: corte de uñas</t>
  </si>
  <si>
    <t>20943: Naxpet</t>
  </si>
  <si>
    <t>retiro efectivo: $20.000</t>
  </si>
  <si>
    <t>Augustina Drago- Medio turno</t>
  </si>
  <si>
    <t>Nexgard 10-25kg</t>
  </si>
  <si>
    <t>Domicilio exótico</t>
  </si>
  <si>
    <t>cirugía piometra</t>
  </si>
  <si>
    <t>vacuna</t>
  </si>
  <si>
    <t>94*AFECTA</t>
  </si>
  <si>
    <t>hospitalización</t>
  </si>
  <si>
    <t>Augustina turno completo</t>
  </si>
  <si>
    <t>6644: radiografia</t>
  </si>
  <si>
    <t>6645: consulta</t>
  </si>
  <si>
    <t>6646: triplefelina</t>
  </si>
  <si>
    <t>6647: hosp 24hrs</t>
  </si>
  <si>
    <t>6648: Hosp 3 (25.000)</t>
  </si>
  <si>
    <t>6649: vacuna sextuple</t>
  </si>
  <si>
    <t>Augustina Drago-Turno completo</t>
  </si>
  <si>
    <r>
      <rPr>
        <b/>
        <sz val="14"/>
        <color theme="1"/>
        <rFont val="Aptos Narrow"/>
        <family val="2"/>
        <scheme val="minor"/>
      </rPr>
      <t>6639</t>
    </r>
    <r>
      <rPr>
        <sz val="14"/>
        <color theme="1"/>
        <rFont val="Aptos Narrow"/>
        <family val="2"/>
        <scheme val="minor"/>
      </rPr>
      <t>: medio pago de tto 30.990</t>
    </r>
  </si>
  <si>
    <r>
      <rPr>
        <b/>
        <sz val="14"/>
        <color theme="1"/>
        <rFont val="Aptos Narrow"/>
        <family val="2"/>
        <scheme val="minor"/>
      </rPr>
      <t xml:space="preserve">6640: </t>
    </r>
    <r>
      <rPr>
        <sz val="14"/>
        <color theme="1"/>
        <rFont val="Aptos Narrow"/>
        <family val="2"/>
        <scheme val="minor"/>
      </rPr>
      <t>35000 perfil+toma de muestras 17500+ exam lab 13000+3000 retiro</t>
    </r>
  </si>
  <si>
    <r>
      <rPr>
        <b/>
        <sz val="14"/>
        <color theme="1"/>
        <rFont val="Aptos Narrow"/>
        <family val="2"/>
        <scheme val="minor"/>
      </rPr>
      <t>6641</t>
    </r>
    <r>
      <rPr>
        <sz val="14"/>
        <color theme="1"/>
        <rFont val="Aptos Narrow"/>
        <family val="2"/>
        <scheme val="minor"/>
      </rPr>
      <t>: Hospital conejo: consulta exotico + hospital 24 hrs (50) + tto 2 (30.990) + hm+pb +45rx</t>
    </r>
  </si>
  <si>
    <r>
      <rPr>
        <b/>
        <sz val="14"/>
        <color theme="1"/>
        <rFont val="Aptos Narrow"/>
        <family val="2"/>
        <scheme val="minor"/>
      </rPr>
      <t xml:space="preserve">6642: </t>
    </r>
    <r>
      <rPr>
        <sz val="14"/>
        <color theme="1"/>
        <rFont val="Aptos Narrow"/>
        <family val="2"/>
        <scheme val="minor"/>
      </rPr>
      <t>consulta exótico</t>
    </r>
  </si>
  <si>
    <r>
      <rPr>
        <b/>
        <sz val="14"/>
        <color theme="1"/>
        <rFont val="Aptos Narrow"/>
        <family val="2"/>
        <scheme val="minor"/>
      </rPr>
      <t xml:space="preserve">20938: </t>
    </r>
    <r>
      <rPr>
        <sz val="14"/>
        <color theme="1"/>
        <rFont val="Aptos Narrow"/>
        <family val="2"/>
        <scheme val="minor"/>
      </rPr>
      <t>shaky pollo</t>
    </r>
  </si>
  <si>
    <r>
      <rPr>
        <b/>
        <sz val="14"/>
        <color theme="1"/>
        <rFont val="Aptos Narrow"/>
        <family val="2"/>
        <scheme val="minor"/>
      </rPr>
      <t xml:space="preserve">6643: </t>
    </r>
    <r>
      <rPr>
        <sz val="14"/>
        <color theme="1"/>
        <rFont val="Aptos Narrow"/>
        <family val="2"/>
        <scheme val="minor"/>
      </rPr>
      <t>Hosp 3 (25000)</t>
    </r>
  </si>
  <si>
    <t>RETIRO CAJA 60.000</t>
  </si>
  <si>
    <t>CON registro en dodozooft</t>
  </si>
  <si>
    <t>6632: Consulta y eutanasia hamster</t>
  </si>
  <si>
    <t>6634: examen leucemia (35.000)+ 2 calibralife (2x3800)+hemograma y perfil bioquímico (49.500) + consulta (10.000) + hospitalización 24hrs (50.000)</t>
  </si>
  <si>
    <t>6633: consulta</t>
  </si>
  <si>
    <t>6635: Hospitalización 24hrs (50.000)+Hemograma y perfil bioquimico (49.500) + tratamientos intrahospitalario (30.990) + alimentacion medicada (10.600)</t>
  </si>
  <si>
    <t>6636: vacuna leucemia</t>
  </si>
  <si>
    <t>6637: consulta</t>
  </si>
  <si>
    <t>6638: corte de uñas</t>
  </si>
  <si>
    <t>10.000 retiro caja + 20.000 pago Jimena</t>
  </si>
  <si>
    <t>6630: consulta+ desp int y ext</t>
  </si>
  <si>
    <t>20936: Pipeta puppy + arnes gato+ collar fluorescente gato</t>
  </si>
  <si>
    <t>6631: consulta</t>
  </si>
  <si>
    <t>20937: dermisolona</t>
  </si>
  <si>
    <t>completo- Augustina Drago</t>
  </si>
  <si>
    <r>
      <rPr>
        <b/>
        <sz val="14"/>
        <color theme="1"/>
        <rFont val="Aptos Narrow"/>
        <family val="2"/>
        <scheme val="minor"/>
      </rPr>
      <t>20933</t>
    </r>
    <r>
      <rPr>
        <sz val="14"/>
        <color theme="1"/>
        <rFont val="Aptos Narrow"/>
        <family val="2"/>
        <scheme val="minor"/>
      </rPr>
      <t>calibra adulto salmon lata// pendiente pago 400 pesos</t>
    </r>
  </si>
  <si>
    <r>
      <rPr>
        <b/>
        <sz val="14"/>
        <color theme="1"/>
        <rFont val="Aptos Narrow"/>
        <family val="2"/>
        <scheme val="minor"/>
      </rPr>
      <t xml:space="preserve">6627 </t>
    </r>
    <r>
      <rPr>
        <sz val="14"/>
        <color theme="1"/>
        <rFont val="Aptos Narrow"/>
        <family val="2"/>
        <scheme val="minor"/>
      </rPr>
      <t>vacuna triple felina + vacuna antirrabica</t>
    </r>
  </si>
  <si>
    <r>
      <rPr>
        <b/>
        <sz val="14"/>
        <color theme="1"/>
        <rFont val="Aptos Narrow"/>
        <family val="2"/>
        <scheme val="minor"/>
      </rPr>
      <t xml:space="preserve">6628 </t>
    </r>
    <r>
      <rPr>
        <sz val="14"/>
        <color theme="1"/>
        <rFont val="Aptos Narrow"/>
        <family val="2"/>
        <scheme val="minor"/>
      </rPr>
      <t>vacuna triple felina+ desparacitación interna + aplicación pipeta</t>
    </r>
  </si>
  <si>
    <r>
      <rPr>
        <b/>
        <sz val="14"/>
        <color theme="1"/>
        <rFont val="Aptos Narrow"/>
        <family val="2"/>
        <scheme val="minor"/>
      </rPr>
      <t xml:space="preserve">20934 </t>
    </r>
    <r>
      <rPr>
        <sz val="14"/>
        <color theme="1"/>
        <rFont val="Aptos Narrow"/>
        <family val="2"/>
        <scheme val="minor"/>
      </rPr>
      <t>revolution puppy</t>
    </r>
  </si>
  <si>
    <r>
      <rPr>
        <b/>
        <sz val="14"/>
        <color theme="1"/>
        <rFont val="Aptos Narrow"/>
        <family val="2"/>
        <scheme val="minor"/>
      </rPr>
      <t xml:space="preserve">6629 </t>
    </r>
    <r>
      <rPr>
        <sz val="14"/>
        <color theme="1"/>
        <rFont val="Aptos Narrow"/>
        <family val="2"/>
        <scheme val="minor"/>
      </rPr>
      <t>corte de uñas</t>
    </r>
  </si>
  <si>
    <r>
      <rPr>
        <b/>
        <sz val="14"/>
        <color theme="1"/>
        <rFont val="Aptos Narrow"/>
        <family val="2"/>
        <scheme val="minor"/>
      </rPr>
      <t xml:space="preserve">20935 </t>
    </r>
    <r>
      <rPr>
        <sz val="14"/>
        <color theme="1"/>
        <rFont val="Aptos Narrow"/>
        <family val="2"/>
        <scheme val="minor"/>
      </rPr>
      <t>2 struvita calibra+ 400 pesos de diferencia de calibra salmon</t>
    </r>
  </si>
  <si>
    <t>Los 400 pesos de diferencia fueron pagados con debito</t>
  </si>
  <si>
    <t>Completo Augustina Drago</t>
  </si>
  <si>
    <t>con registro en dodozooft</t>
  </si>
  <si>
    <r>
      <t xml:space="preserve">promoción castración </t>
    </r>
    <r>
      <rPr>
        <b/>
        <sz val="14"/>
        <color theme="1"/>
        <rFont val="Aptos Narrow"/>
        <family val="2"/>
        <scheme val="minor"/>
      </rPr>
      <t>6622</t>
    </r>
  </si>
  <si>
    <r>
      <t xml:space="preserve">vacuna rabia+ vacuna octuple </t>
    </r>
    <r>
      <rPr>
        <b/>
        <sz val="14"/>
        <color theme="1"/>
        <rFont val="Aptos Narrow"/>
        <family val="2"/>
        <scheme val="minor"/>
      </rPr>
      <t>6623</t>
    </r>
  </si>
  <si>
    <r>
      <rPr>
        <b/>
        <sz val="14"/>
        <color theme="1"/>
        <rFont val="Aptos Narrow"/>
        <family val="2"/>
        <scheme val="minor"/>
      </rPr>
      <t>6624</t>
    </r>
    <r>
      <rPr>
        <sz val="14"/>
        <color theme="1"/>
        <rFont val="Aptos Narrow"/>
        <family val="2"/>
        <scheme val="minor"/>
      </rPr>
      <t xml:space="preserve"> esterilización</t>
    </r>
  </si>
  <si>
    <r>
      <rPr>
        <b/>
        <sz val="14"/>
        <color theme="1"/>
        <rFont val="Aptos Narrow"/>
        <family val="2"/>
        <scheme val="minor"/>
      </rPr>
      <t>6625</t>
    </r>
    <r>
      <rPr>
        <sz val="14"/>
        <color theme="1"/>
        <rFont val="Aptos Narrow"/>
        <family val="2"/>
        <scheme val="minor"/>
      </rPr>
      <t xml:space="preserve"> tto 1</t>
    </r>
  </si>
  <si>
    <r>
      <t xml:space="preserve">doximicin + ketoprofeno + shaky (?)premio </t>
    </r>
    <r>
      <rPr>
        <b/>
        <sz val="14"/>
        <color theme="1"/>
        <rFont val="Aptos Narrow"/>
        <family val="2"/>
        <scheme val="minor"/>
      </rPr>
      <t>20929</t>
    </r>
  </si>
  <si>
    <r>
      <t xml:space="preserve">calibra life gato 1,5 kg </t>
    </r>
    <r>
      <rPr>
        <b/>
        <sz val="14"/>
        <color theme="1"/>
        <rFont val="Aptos Narrow"/>
        <family val="2"/>
        <scheme val="minor"/>
      </rPr>
      <t>2230</t>
    </r>
  </si>
  <si>
    <r>
      <t xml:space="preserve">tratamiento 1 </t>
    </r>
    <r>
      <rPr>
        <b/>
        <sz val="14"/>
        <color theme="1"/>
        <rFont val="Aptos Narrow"/>
        <family val="2"/>
        <scheme val="minor"/>
      </rPr>
      <t>6626</t>
    </r>
  </si>
  <si>
    <r>
      <t>20931</t>
    </r>
    <r>
      <rPr>
        <sz val="14"/>
        <color theme="1"/>
        <rFont val="Aptos Narrow"/>
        <family val="2"/>
        <scheme val="minor"/>
      </rPr>
      <t xml:space="preserve"> alimento renal calibra + calibra struvita</t>
    </r>
  </si>
  <si>
    <r>
      <t xml:space="preserve">recovery </t>
    </r>
    <r>
      <rPr>
        <b/>
        <sz val="14"/>
        <color theme="1"/>
        <rFont val="Aptos Narrow"/>
        <family val="2"/>
        <scheme val="minor"/>
      </rPr>
      <t>20932</t>
    </r>
  </si>
  <si>
    <t>castación gato, boleta pendiente al whatsApp</t>
  </si>
  <si>
    <t>vacuna+frontline+mebermic</t>
  </si>
  <si>
    <t xml:space="preserve">8mebermic + 2 premios </t>
  </si>
  <si>
    <t>eutanasia</t>
  </si>
  <si>
    <t>examenes de sangre+consulta</t>
  </si>
  <si>
    <t>TTO 2</t>
  </si>
  <si>
    <t>TTO 1</t>
  </si>
  <si>
    <t>doximicin</t>
  </si>
  <si>
    <t>consulta</t>
  </si>
  <si>
    <t>hospitalización 24hrs+consulta+sonda+latita</t>
  </si>
  <si>
    <t>recovery</t>
  </si>
  <si>
    <t>Ronald Diaz</t>
  </si>
  <si>
    <t>Ecografia</t>
  </si>
  <si>
    <t>Examenes (h+pb+THC)</t>
  </si>
  <si>
    <t>67 / 70</t>
  </si>
  <si>
    <t>Hospital Ambulatorio + Examenes (h+pb+Leucemia/sida)</t>
  </si>
  <si>
    <t>Consulta</t>
  </si>
  <si>
    <t>Procedimiento quirugico + hemograma</t>
  </si>
  <si>
    <t>Hospital Ambulatorio + Examenes (h+pb+)</t>
  </si>
  <si>
    <t>Rostrum raza grande + Ketoprofeno</t>
  </si>
  <si>
    <t xml:space="preserve">Ingreso $100.000
Ecografia $30.000 + Almuerzo $8.300 + Agua $5.000 + AnimaLab $65.000 </t>
  </si>
  <si>
    <t>Castración promocion</t>
  </si>
  <si>
    <t>Ketoprofeno 10mg</t>
  </si>
  <si>
    <t>Vacuna antirranica+Vacuna TF+ Advantage hasta 4kg + Desp Interna</t>
  </si>
  <si>
    <t>Procedimiento Quirurgico</t>
  </si>
  <si>
    <t>AnimaLab $23.000 + Retiro efectivo $160.000</t>
  </si>
  <si>
    <t>H+PB+Coagulación</t>
  </si>
  <si>
    <t>56 / 60</t>
  </si>
  <si>
    <t>Procedimiento quirurgico</t>
  </si>
  <si>
    <t>Radiografia</t>
  </si>
  <si>
    <t>59 / 61</t>
  </si>
  <si>
    <t>Procedimiento quirurgico + Ketoprofeo 10mg + Rostrum 50mg</t>
  </si>
  <si>
    <t>Consulta + Sustrato Zupet</t>
  </si>
  <si>
    <t>Vacuna + Snack Pata pollo</t>
  </si>
  <si>
    <t>Tratamiento 1</t>
  </si>
  <si>
    <t>Augustina Drago</t>
  </si>
  <si>
    <t>Doximicin comprimidos+Naxpet jarabe</t>
  </si>
  <si>
    <t>vacuna antirrabica</t>
  </si>
  <si>
    <t>urgencia sutura compleja</t>
  </si>
  <si>
    <t>tto inyectable</t>
  </si>
  <si>
    <t>(3x2 oferta) sheeke tasty</t>
  </si>
  <si>
    <t>vacuna antirrabica + vacuna triple felina+ corte de uñas</t>
  </si>
  <si>
    <t>Arnés gato+ jueguete petplay+ (3x2 oferta) shaky tasty</t>
  </si>
  <si>
    <t>Naxpet raza grande</t>
  </si>
  <si>
    <t>Ronald Díaz</t>
  </si>
  <si>
    <t>Esterilizacion+castración gato</t>
  </si>
  <si>
    <t>Castracion gato</t>
  </si>
  <si>
    <t>Vacuna octuple</t>
  </si>
  <si>
    <t>Vacuna Antirrabica + Octuple</t>
  </si>
  <si>
    <t>Ingreso abono de H+PB (programado proximo 08/08/2024)</t>
  </si>
  <si>
    <t>Ingreso $20.000 (H+PB proximo 08/08/2024) + Retiro efectivo $40.000</t>
  </si>
  <si>
    <t>Augustina Drago turno completo</t>
  </si>
  <si>
    <t>consulta+citología</t>
  </si>
  <si>
    <t>corte de uñas</t>
  </si>
  <si>
    <t>consulta descuento adulto mayor</t>
  </si>
  <si>
    <t>tto+consulta</t>
  </si>
  <si>
    <t>3 mebermic</t>
  </si>
  <si>
    <t>vinieron de animal lab a retirar una muestra de citología ($17.000)</t>
  </si>
  <si>
    <t>Paula D.</t>
  </si>
  <si>
    <t>Pendientes en Dodozooft</t>
  </si>
  <si>
    <t>Veterinario</t>
  </si>
  <si>
    <t>Domicilio + H +PB</t>
  </si>
  <si>
    <t>Consulta exotico</t>
  </si>
  <si>
    <t>Triple Felina</t>
  </si>
  <si>
    <t>sextuple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</si>
</sst>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€&quot;_-;\-* #,##0\ &quot;€&quot;_-;_-* &quot;-&quot;\ &quot;€&quot;_-;_-@_-"/>
    <numFmt numFmtId="165" formatCode="_-&quot;$&quot;* #,##0.00_-;\-&quot;$&quot;* #,##0.00_-;_-&quot;$&quot;* &quot;-&quot;??_-;_-@_-"/>
    <numFmt numFmtId="166" formatCode="_-&quot;$&quot;* #,##0_-;\-&quot;$&quot;* #,##0_-;_-&quot;$&quot;* &quot;-&quot;??_-;_-@_-"/>
    <numFmt numFmtId="167" formatCode="_ [$$-340A]* #,##0_ ;_ [$$-340A]* \-#,##0_ ;_ [$$-340A]* &quot;-&quot;??_ ;_ @_ "/>
    <numFmt numFmtId="168" formatCode="_-* #,##0.00_-;\-* #,##0.00_-;_-* &quot;-&quot;??_-;_-@_-"/>
  </numFmts>
  <fonts count="17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i/>
      <sz val="16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7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 tint="0.34998626667073579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12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164" fontId="1" fillId="0" borderId="3" xfId="2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64" fontId="6" fillId="2" borderId="3" xfId="2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164" fontId="6" fillId="2" borderId="10" xfId="2" applyFont="1" applyFill="1" applyBorder="1" applyAlignment="1" applyProtection="1">
      <alignment horizontal="center" vertical="center" wrapText="1"/>
      <protection locked="0"/>
    </xf>
    <xf numFmtId="164" fontId="6" fillId="2" borderId="11" xfId="2" applyFont="1" applyFill="1" applyBorder="1" applyAlignment="1" applyProtection="1">
      <alignment horizontal="center" wrapText="1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166" fontId="6" fillId="5" borderId="10" xfId="1" applyNumberFormat="1" applyFont="1" applyFill="1" applyBorder="1" applyAlignment="1" applyProtection="1">
      <alignment horizontal="left" vertical="center"/>
      <protection locked="0"/>
    </xf>
    <xf numFmtId="166" fontId="6" fillId="5" borderId="3" xfId="1" applyNumberFormat="1" applyFont="1" applyFill="1" applyBorder="1" applyAlignment="1" applyProtection="1">
      <alignment horizontal="left" vertical="center"/>
      <protection locked="0"/>
    </xf>
    <xf numFmtId="166" fontId="6" fillId="5" borderId="11" xfId="1" applyNumberFormat="1" applyFont="1" applyFill="1" applyBorder="1" applyAlignment="1" applyProtection="1">
      <alignment horizontal="left" vertical="center"/>
      <protection locked="0"/>
    </xf>
    <xf numFmtId="0" fontId="0" fillId="5" borderId="0" xfId="0" applyFill="1"/>
    <xf numFmtId="0" fontId="6" fillId="0" borderId="0" xfId="0" applyFont="1" applyAlignment="1" applyProtection="1">
      <alignment horizontal="center" vertical="center"/>
      <protection locked="0"/>
    </xf>
    <xf numFmtId="164" fontId="6" fillId="2" borderId="10" xfId="2" applyFont="1" applyFill="1" applyBorder="1" applyAlignment="1" applyProtection="1">
      <alignment horizontal="right" vertical="center"/>
      <protection locked="0"/>
    </xf>
    <xf numFmtId="166" fontId="6" fillId="2" borderId="10" xfId="1" applyNumberFormat="1" applyFont="1" applyFill="1" applyBorder="1" applyAlignment="1" applyProtection="1">
      <alignment horizontal="left" vertical="center"/>
    </xf>
    <xf numFmtId="0" fontId="6" fillId="0" borderId="0" xfId="0" applyFont="1" applyAlignment="1" applyProtection="1">
      <alignment horizontal="left" vertical="center"/>
      <protection locked="0"/>
    </xf>
    <xf numFmtId="164" fontId="6" fillId="0" borderId="0" xfId="2" applyFont="1" applyAlignment="1" applyProtection="1">
      <alignment horizontal="left" vertical="center"/>
      <protection locked="0"/>
    </xf>
    <xf numFmtId="164" fontId="6" fillId="0" borderId="0" xfId="2" applyFont="1" applyBorder="1" applyAlignment="1" applyProtection="1">
      <alignment horizontal="left" vertical="center"/>
      <protection locked="0"/>
    </xf>
    <xf numFmtId="166" fontId="6" fillId="0" borderId="0" xfId="1" applyNumberFormat="1" applyFont="1" applyAlignment="1" applyProtection="1">
      <alignment horizontal="left" vertical="center"/>
      <protection locked="0"/>
    </xf>
    <xf numFmtId="166" fontId="7" fillId="2" borderId="1" xfId="1" applyNumberFormat="1" applyFont="1" applyFill="1" applyBorder="1" applyAlignment="1" applyProtection="1">
      <alignment horizontal="right" vertical="center"/>
      <protection locked="0"/>
    </xf>
    <xf numFmtId="166" fontId="7" fillId="2" borderId="2" xfId="1" applyNumberFormat="1" applyFont="1" applyFill="1" applyBorder="1" applyAlignment="1" applyProtection="1">
      <alignment horizontal="right" vertical="center"/>
      <protection locked="0"/>
    </xf>
    <xf numFmtId="166" fontId="7" fillId="2" borderId="10" xfId="1" applyNumberFormat="1" applyFont="1" applyFill="1" applyBorder="1" applyAlignment="1" applyProtection="1">
      <alignment horizontal="left" vertical="center"/>
    </xf>
    <xf numFmtId="166" fontId="6" fillId="0" borderId="0" xfId="0" applyNumberFormat="1" applyFont="1" applyAlignment="1" applyProtection="1">
      <alignment horizontal="left" vertical="center"/>
      <protection locked="0"/>
    </xf>
    <xf numFmtId="167" fontId="6" fillId="0" borderId="0" xfId="2" applyNumberFormat="1" applyFont="1" applyAlignment="1" applyProtection="1">
      <alignment horizontal="left" vertical="center"/>
      <protection locked="0"/>
    </xf>
    <xf numFmtId="0" fontId="6" fillId="3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164" fontId="6" fillId="3" borderId="0" xfId="2" applyFont="1" applyFill="1" applyAlignment="1" applyProtection="1">
      <alignment horizontal="left" vertical="center"/>
      <protection locked="0"/>
    </xf>
    <xf numFmtId="164" fontId="8" fillId="3" borderId="0" xfId="2" applyFont="1" applyFill="1" applyBorder="1" applyAlignment="1" applyProtection="1">
      <alignment horizontal="center" vertical="center"/>
      <protection locked="0"/>
    </xf>
    <xf numFmtId="164" fontId="7" fillId="6" borderId="1" xfId="2" applyFont="1" applyFill="1" applyBorder="1" applyAlignment="1" applyProtection="1">
      <alignment vertical="center" wrapText="1"/>
      <protection locked="0"/>
    </xf>
    <xf numFmtId="164" fontId="9" fillId="6" borderId="3" xfId="2" applyFont="1" applyFill="1" applyBorder="1" applyAlignment="1" applyProtection="1">
      <alignment vertical="center" wrapText="1"/>
      <protection locked="0"/>
    </xf>
    <xf numFmtId="164" fontId="7" fillId="6" borderId="5" xfId="2" applyFont="1" applyFill="1" applyBorder="1" applyAlignment="1" applyProtection="1">
      <alignment vertical="center" wrapText="1"/>
      <protection locked="0"/>
    </xf>
    <xf numFmtId="166" fontId="6" fillId="8" borderId="11" xfId="1" applyNumberFormat="1" applyFont="1" applyFill="1" applyBorder="1" applyAlignment="1" applyProtection="1">
      <alignment horizontal="center" vertical="center" wrapText="1"/>
      <protection locked="0"/>
    </xf>
    <xf numFmtId="164" fontId="10" fillId="4" borderId="1" xfId="2" applyFont="1" applyFill="1" applyBorder="1" applyAlignment="1" applyProtection="1">
      <alignment vertical="center"/>
      <protection locked="0"/>
    </xf>
    <xf numFmtId="164" fontId="10" fillId="4" borderId="2" xfId="2" applyFont="1" applyFill="1" applyBorder="1" applyAlignment="1" applyProtection="1">
      <alignment vertical="center" wrapText="1"/>
      <protection locked="0"/>
    </xf>
    <xf numFmtId="166" fontId="11" fillId="4" borderId="11" xfId="1" applyNumberFormat="1" applyFont="1" applyFill="1" applyBorder="1" applyAlignment="1" applyProtection="1">
      <alignment horizontal="left" vertical="center"/>
    </xf>
    <xf numFmtId="166" fontId="11" fillId="4" borderId="11" xfId="1" applyNumberFormat="1" applyFont="1" applyFill="1" applyBorder="1" applyAlignment="1" applyProtection="1">
      <alignment horizontal="left" vertical="center"/>
      <protection locked="0"/>
    </xf>
    <xf numFmtId="164" fontId="10" fillId="4" borderId="2" xfId="2" applyFont="1" applyFill="1" applyBorder="1" applyAlignment="1" applyProtection="1">
      <alignment vertical="center"/>
      <protection locked="0"/>
    </xf>
    <xf numFmtId="164" fontId="10" fillId="5" borderId="1" xfId="2" applyFont="1" applyFill="1" applyBorder="1" applyAlignment="1" applyProtection="1">
      <alignment vertical="center"/>
      <protection locked="0"/>
    </xf>
    <xf numFmtId="164" fontId="10" fillId="5" borderId="2" xfId="2" applyFont="1" applyFill="1" applyBorder="1" applyAlignment="1" applyProtection="1">
      <alignment vertical="center"/>
      <protection locked="0"/>
    </xf>
    <xf numFmtId="166" fontId="11" fillId="5" borderId="11" xfId="1" applyNumberFormat="1" applyFont="1" applyFill="1" applyBorder="1" applyAlignment="1" applyProtection="1">
      <alignment horizontal="left" vertical="center"/>
      <protection locked="0"/>
    </xf>
    <xf numFmtId="164" fontId="11" fillId="9" borderId="1" xfId="2" applyFont="1" applyFill="1" applyBorder="1" applyAlignment="1" applyProtection="1">
      <alignment vertical="center"/>
      <protection locked="0"/>
    </xf>
    <xf numFmtId="164" fontId="11" fillId="9" borderId="2" xfId="2" applyFont="1" applyFill="1" applyBorder="1" applyAlignment="1" applyProtection="1">
      <alignment vertical="center"/>
      <protection locked="0"/>
    </xf>
    <xf numFmtId="166" fontId="11" fillId="9" borderId="11" xfId="1" applyNumberFormat="1" applyFont="1" applyFill="1" applyBorder="1" applyAlignment="1" applyProtection="1">
      <alignment horizontal="left" vertical="center"/>
    </xf>
    <xf numFmtId="164" fontId="6" fillId="4" borderId="1" xfId="2" applyFont="1" applyFill="1" applyBorder="1" applyAlignment="1" applyProtection="1">
      <alignment horizontal="left" vertical="center" wrapText="1"/>
      <protection locked="0"/>
    </xf>
    <xf numFmtId="164" fontId="6" fillId="4" borderId="2" xfId="2" applyFont="1" applyFill="1" applyBorder="1" applyAlignment="1" applyProtection="1">
      <alignment horizontal="left" vertical="center" wrapText="1"/>
      <protection locked="0"/>
    </xf>
    <xf numFmtId="166" fontId="7" fillId="4" borderId="11" xfId="1" applyNumberFormat="1" applyFont="1" applyFill="1" applyBorder="1" applyAlignment="1" applyProtection="1">
      <alignment horizontal="left" vertical="center"/>
      <protection locked="0"/>
    </xf>
    <xf numFmtId="164" fontId="6" fillId="5" borderId="1" xfId="2" applyFont="1" applyFill="1" applyBorder="1" applyAlignment="1" applyProtection="1">
      <alignment horizontal="left" vertical="center"/>
      <protection locked="0"/>
    </xf>
    <xf numFmtId="164" fontId="6" fillId="5" borderId="2" xfId="2" applyFont="1" applyFill="1" applyBorder="1" applyAlignment="1" applyProtection="1">
      <alignment horizontal="left" vertical="center" wrapText="1"/>
      <protection locked="0"/>
    </xf>
    <xf numFmtId="166" fontId="7" fillId="5" borderId="11" xfId="1" applyNumberFormat="1" applyFont="1" applyFill="1" applyBorder="1" applyAlignment="1" applyProtection="1">
      <alignment horizontal="left" vertical="center"/>
      <protection locked="0"/>
    </xf>
    <xf numFmtId="164" fontId="6" fillId="0" borderId="0" xfId="2" applyFont="1" applyFill="1" applyBorder="1" applyAlignment="1" applyProtection="1">
      <alignment horizontal="right" vertical="center"/>
      <protection locked="0"/>
    </xf>
    <xf numFmtId="164" fontId="12" fillId="10" borderId="1" xfId="2" applyFont="1" applyFill="1" applyBorder="1" applyAlignment="1" applyProtection="1">
      <alignment horizontal="left" vertical="center"/>
      <protection locked="0"/>
    </xf>
    <xf numFmtId="164" fontId="9" fillId="10" borderId="2" xfId="2" applyFont="1" applyFill="1" applyBorder="1" applyAlignment="1" applyProtection="1">
      <alignment horizontal="right" vertical="center"/>
      <protection locked="0"/>
    </xf>
    <xf numFmtId="166" fontId="9" fillId="10" borderId="10" xfId="1" applyNumberFormat="1" applyFont="1" applyFill="1" applyBorder="1" applyAlignment="1" applyProtection="1">
      <alignment horizontal="left" vertical="center"/>
    </xf>
    <xf numFmtId="0" fontId="6" fillId="0" borderId="12" xfId="0" applyFont="1" applyBorder="1" applyAlignment="1" applyProtection="1">
      <alignment horizontal="left" vertical="center"/>
      <protection locked="0"/>
    </xf>
    <xf numFmtId="164" fontId="6" fillId="0" borderId="7" xfId="2" applyFont="1" applyFill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164" fontId="6" fillId="4" borderId="10" xfId="2" applyFont="1" applyFill="1" applyBorder="1" applyAlignment="1" applyProtection="1">
      <alignment horizontal="center" vertical="center" wrapText="1"/>
      <protection locked="0"/>
    </xf>
    <xf numFmtId="164" fontId="6" fillId="4" borderId="11" xfId="2" applyFont="1" applyFill="1" applyBorder="1" applyAlignment="1" applyProtection="1">
      <alignment horizontal="center" vertical="center" wrapText="1"/>
      <protection locked="0"/>
    </xf>
    <xf numFmtId="166" fontId="6" fillId="11" borderId="10" xfId="1" applyNumberFormat="1" applyFont="1" applyFill="1" applyBorder="1" applyAlignment="1" applyProtection="1">
      <alignment horizontal="left" vertical="center"/>
    </xf>
    <xf numFmtId="1" fontId="6" fillId="5" borderId="10" xfId="2" applyNumberFormat="1" applyFont="1" applyFill="1" applyBorder="1" applyAlignment="1" applyProtection="1">
      <alignment horizontal="center" vertical="center"/>
      <protection locked="0"/>
    </xf>
    <xf numFmtId="166" fontId="7" fillId="11" borderId="11" xfId="1" applyNumberFormat="1" applyFont="1" applyFill="1" applyBorder="1" applyAlignment="1" applyProtection="1">
      <alignment horizontal="left" vertical="center"/>
    </xf>
    <xf numFmtId="166" fontId="7" fillId="11" borderId="10" xfId="1" applyNumberFormat="1" applyFont="1" applyFill="1" applyBorder="1" applyAlignment="1" applyProtection="1">
      <alignment horizontal="left" vertical="center"/>
    </xf>
    <xf numFmtId="164" fontId="6" fillId="5" borderId="2" xfId="2" applyFont="1" applyFill="1" applyBorder="1" applyAlignment="1" applyProtection="1">
      <alignment horizontal="right" vertical="center"/>
      <protection locked="0"/>
    </xf>
    <xf numFmtId="164" fontId="6" fillId="0" borderId="0" xfId="2" applyFont="1" applyFill="1" applyBorder="1" applyAlignment="1" applyProtection="1">
      <alignment horizontal="left" vertical="center"/>
      <protection locked="0"/>
    </xf>
    <xf numFmtId="164" fontId="6" fillId="4" borderId="1" xfId="2" applyFont="1" applyFill="1" applyBorder="1" applyAlignment="1" applyProtection="1">
      <alignment horizontal="left" vertical="center"/>
      <protection locked="0"/>
    </xf>
    <xf numFmtId="164" fontId="7" fillId="4" borderId="2" xfId="2" applyFont="1" applyFill="1" applyBorder="1" applyAlignment="1" applyProtection="1">
      <alignment horizontal="right" vertical="center"/>
      <protection locked="0"/>
    </xf>
    <xf numFmtId="166" fontId="7" fillId="4" borderId="10" xfId="1" applyNumberFormat="1" applyFont="1" applyFill="1" applyBorder="1" applyAlignment="1" applyProtection="1">
      <alignment horizontal="left" vertical="center"/>
    </xf>
    <xf numFmtId="0" fontId="11" fillId="10" borderId="0" xfId="0" applyFont="1" applyFill="1" applyAlignment="1" applyProtection="1">
      <alignment horizontal="center" vertical="center"/>
      <protection locked="0"/>
    </xf>
    <xf numFmtId="0" fontId="14" fillId="10" borderId="0" xfId="0" applyFont="1" applyFill="1" applyAlignment="1" applyProtection="1">
      <alignment horizontal="center" vertical="center"/>
      <protection locked="0"/>
    </xf>
    <xf numFmtId="164" fontId="6" fillId="10" borderId="0" xfId="2" applyFont="1" applyFill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9" fillId="12" borderId="0" xfId="0" applyFont="1" applyFill="1" applyAlignment="1" applyProtection="1">
      <alignment horizontal="center" vertical="center"/>
      <protection locked="0"/>
    </xf>
    <xf numFmtId="0" fontId="9" fillId="12" borderId="0" xfId="0" applyFont="1" applyFill="1" applyAlignment="1" applyProtection="1">
      <alignment horizontal="right" vertical="center"/>
      <protection locked="0"/>
    </xf>
    <xf numFmtId="166" fontId="7" fillId="5" borderId="1" xfId="1" applyNumberFormat="1" applyFont="1" applyFill="1" applyBorder="1" applyAlignment="1" applyProtection="1">
      <alignment horizontal="center" vertical="center"/>
    </xf>
    <xf numFmtId="164" fontId="7" fillId="5" borderId="2" xfId="2" applyFont="1" applyFill="1" applyBorder="1" applyAlignment="1" applyProtection="1">
      <alignment horizontal="center" vertical="center"/>
      <protection locked="0"/>
    </xf>
    <xf numFmtId="166" fontId="6" fillId="0" borderId="0" xfId="1" applyNumberFormat="1" applyFont="1" applyAlignment="1" applyProtection="1">
      <alignment horizontal="left" vertical="center"/>
    </xf>
    <xf numFmtId="168" fontId="6" fillId="0" borderId="0" xfId="0" applyNumberFormat="1" applyFont="1" applyAlignment="1" applyProtection="1">
      <alignment vertical="center"/>
      <protection locked="0"/>
    </xf>
    <xf numFmtId="0" fontId="11" fillId="13" borderId="0" xfId="0" applyFont="1" applyFill="1" applyAlignment="1" applyProtection="1">
      <alignment horizontal="center" vertical="center"/>
      <protection locked="0"/>
    </xf>
    <xf numFmtId="0" fontId="11" fillId="13" borderId="0" xfId="0" applyFont="1" applyFill="1" applyAlignment="1" applyProtection="1">
      <alignment horizontal="right" vertical="center"/>
      <protection locked="0"/>
    </xf>
    <xf numFmtId="166" fontId="6" fillId="4" borderId="1" xfId="1" applyNumberFormat="1" applyFont="1" applyFill="1" applyBorder="1" applyAlignment="1" applyProtection="1">
      <alignment horizontal="center" vertical="center"/>
    </xf>
    <xf numFmtId="164" fontId="6" fillId="4" borderId="2" xfId="2" applyFont="1" applyFill="1" applyBorder="1" applyAlignment="1" applyProtection="1">
      <alignment horizontal="center" vertical="center"/>
      <protection locked="0"/>
    </xf>
    <xf numFmtId="166" fontId="6" fillId="0" borderId="0" xfId="1" applyNumberFormat="1" applyFont="1" applyFill="1" applyBorder="1" applyAlignment="1" applyProtection="1">
      <alignment horizontal="left" vertical="center"/>
    </xf>
    <xf numFmtId="0" fontId="9" fillId="7" borderId="0" xfId="0" applyFont="1" applyFill="1" applyAlignment="1" applyProtection="1">
      <alignment horizontal="center" vertical="center"/>
      <protection locked="0"/>
    </xf>
    <xf numFmtId="0" fontId="9" fillId="7" borderId="0" xfId="0" applyFont="1" applyFill="1" applyAlignment="1" applyProtection="1">
      <alignment horizontal="right" vertical="center"/>
      <protection locked="0"/>
    </xf>
    <xf numFmtId="166" fontId="7" fillId="4" borderId="1" xfId="1" applyNumberFormat="1" applyFont="1" applyFill="1" applyBorder="1" applyAlignment="1" applyProtection="1">
      <alignment horizontal="center" vertical="center"/>
    </xf>
    <xf numFmtId="167" fontId="12" fillId="4" borderId="2" xfId="2" applyNumberFormat="1" applyFont="1" applyFill="1" applyBorder="1" applyAlignment="1" applyProtection="1">
      <alignment vertical="center"/>
      <protection locked="0"/>
    </xf>
    <xf numFmtId="167" fontId="9" fillId="0" borderId="2" xfId="2" applyNumberFormat="1" applyFont="1" applyFill="1" applyBorder="1" applyAlignment="1" applyProtection="1">
      <alignment horizontal="center" vertical="center"/>
      <protection locked="0"/>
    </xf>
    <xf numFmtId="166" fontId="6" fillId="13" borderId="1" xfId="1" applyNumberFormat="1" applyFont="1" applyFill="1" applyBorder="1" applyAlignment="1" applyProtection="1">
      <alignment vertical="center"/>
    </xf>
    <xf numFmtId="164" fontId="6" fillId="4" borderId="2" xfId="2" applyFont="1" applyFill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8" fontId="6" fillId="0" borderId="0" xfId="0" applyNumberFormat="1" applyFont="1" applyAlignment="1" applyProtection="1">
      <alignment vertical="center" wrapText="1"/>
      <protection locked="0"/>
    </xf>
    <xf numFmtId="164" fontId="0" fillId="0" borderId="0" xfId="2" applyFon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4" fontId="0" fillId="0" borderId="0" xfId="2" applyFont="1" applyAlignment="1" applyProtection="1">
      <alignment horizontal="left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2" applyFont="1" applyBorder="1" applyAlignment="1">
      <alignment horizontal="left" vertical="center"/>
    </xf>
    <xf numFmtId="164" fontId="1" fillId="0" borderId="0" xfId="2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2" applyFont="1" applyBorder="1" applyAlignment="1">
      <alignment horizontal="left" vertical="center"/>
    </xf>
    <xf numFmtId="164" fontId="0" fillId="0" borderId="0" xfId="2" applyFont="1" applyAlignment="1">
      <alignment horizontal="left" vertical="center"/>
    </xf>
    <xf numFmtId="164" fontId="0" fillId="0" borderId="20" xfId="2" applyFont="1" applyBorder="1" applyAlignment="1">
      <alignment horizontal="left" vertical="center"/>
    </xf>
    <xf numFmtId="166" fontId="6" fillId="0" borderId="4" xfId="1" applyNumberFormat="1" applyFont="1" applyBorder="1" applyAlignment="1" applyProtection="1">
      <alignment horizontal="left" vertical="center"/>
      <protection locked="0"/>
    </xf>
    <xf numFmtId="164" fontId="6" fillId="0" borderId="13" xfId="2" applyFont="1" applyFill="1" applyBorder="1" applyAlignment="1" applyProtection="1">
      <alignment horizontal="right" vertical="center"/>
      <protection locked="0"/>
    </xf>
    <xf numFmtId="164" fontId="6" fillId="0" borderId="12" xfId="2" applyFont="1" applyFill="1" applyBorder="1" applyAlignment="1" applyProtection="1">
      <alignment horizontal="right" vertical="center"/>
      <protection locked="0"/>
    </xf>
    <xf numFmtId="166" fontId="6" fillId="0" borderId="12" xfId="1" applyNumberFormat="1" applyFont="1" applyFill="1" applyBorder="1" applyAlignment="1" applyProtection="1">
      <alignment horizontal="left" vertical="center"/>
    </xf>
    <xf numFmtId="166" fontId="6" fillId="0" borderId="12" xfId="1" applyNumberFormat="1" applyFont="1" applyFill="1" applyBorder="1" applyAlignment="1" applyProtection="1">
      <alignment horizontal="center" vertical="center"/>
    </xf>
    <xf numFmtId="166" fontId="6" fillId="0" borderId="0" xfId="1" applyNumberFormat="1" applyFont="1" applyAlignment="1" applyProtection="1">
      <alignment horizontal="center" vertical="center"/>
      <protection locked="0"/>
    </xf>
    <xf numFmtId="166" fontId="7" fillId="2" borderId="10" xfId="1" applyNumberFormat="1" applyFont="1" applyFill="1" applyBorder="1" applyAlignment="1" applyProtection="1">
      <alignment horizontal="center" vertical="center"/>
    </xf>
    <xf numFmtId="167" fontId="6" fillId="0" borderId="0" xfId="2" applyNumberFormat="1" applyFont="1" applyAlignment="1" applyProtection="1">
      <alignment horizontal="center" vertical="center"/>
      <protection locked="0"/>
    </xf>
    <xf numFmtId="164" fontId="6" fillId="3" borderId="0" xfId="2" applyFont="1" applyFill="1" applyAlignment="1" applyProtection="1">
      <alignment horizontal="center" vertical="center"/>
      <protection locked="0"/>
    </xf>
    <xf numFmtId="166" fontId="11" fillId="4" borderId="11" xfId="1" applyNumberFormat="1" applyFont="1" applyFill="1" applyBorder="1" applyAlignment="1" applyProtection="1">
      <alignment horizontal="center" vertical="center"/>
      <protection locked="0"/>
    </xf>
    <xf numFmtId="166" fontId="11" fillId="5" borderId="11" xfId="1" applyNumberFormat="1" applyFont="1" applyFill="1" applyBorder="1" applyAlignment="1" applyProtection="1">
      <alignment horizontal="center" vertical="center"/>
      <protection locked="0"/>
    </xf>
    <xf numFmtId="166" fontId="11" fillId="9" borderId="11" xfId="1" applyNumberFormat="1" applyFont="1" applyFill="1" applyBorder="1" applyAlignment="1" applyProtection="1">
      <alignment horizontal="center" vertical="center"/>
    </xf>
    <xf numFmtId="166" fontId="7" fillId="5" borderId="11" xfId="1" applyNumberFormat="1" applyFont="1" applyFill="1" applyBorder="1" applyAlignment="1" applyProtection="1">
      <alignment horizontal="center" vertical="center"/>
      <protection locked="0"/>
    </xf>
    <xf numFmtId="166" fontId="9" fillId="10" borderId="10" xfId="1" applyNumberFormat="1" applyFont="1" applyFill="1" applyBorder="1" applyAlignment="1" applyProtection="1">
      <alignment horizontal="center" vertical="center"/>
    </xf>
    <xf numFmtId="164" fontId="6" fillId="0" borderId="0" xfId="2" applyFont="1" applyAlignment="1" applyProtection="1">
      <alignment horizontal="center" vertical="center"/>
      <protection locked="0"/>
    </xf>
    <xf numFmtId="166" fontId="7" fillId="11" borderId="10" xfId="1" applyNumberFormat="1" applyFont="1" applyFill="1" applyBorder="1" applyAlignment="1" applyProtection="1">
      <alignment horizontal="center" vertical="center"/>
    </xf>
    <xf numFmtId="166" fontId="7" fillId="4" borderId="10" xfId="1" applyNumberFormat="1" applyFont="1" applyFill="1" applyBorder="1" applyAlignment="1" applyProtection="1">
      <alignment horizontal="center" vertical="center"/>
    </xf>
    <xf numFmtId="164" fontId="0" fillId="0" borderId="0" xfId="2" applyFont="1" applyAlignment="1" applyProtection="1">
      <alignment horizontal="center" vertical="center"/>
      <protection locked="0"/>
    </xf>
    <xf numFmtId="164" fontId="1" fillId="0" borderId="0" xfId="2" applyFont="1" applyAlignment="1">
      <alignment horizontal="center" vertical="center"/>
    </xf>
    <xf numFmtId="164" fontId="0" fillId="0" borderId="0" xfId="2" applyFont="1" applyAlignment="1">
      <alignment horizontal="center" vertical="center"/>
    </xf>
    <xf numFmtId="164" fontId="0" fillId="0" borderId="0" xfId="2" applyFont="1" applyBorder="1" applyAlignment="1">
      <alignment horizontal="center" vertical="center"/>
    </xf>
    <xf numFmtId="164" fontId="6" fillId="2" borderId="10" xfId="2" applyFont="1" applyFill="1" applyBorder="1" applyAlignment="1" applyProtection="1">
      <alignment horizontal="center" wrapText="1"/>
      <protection locked="0"/>
    </xf>
    <xf numFmtId="0" fontId="6" fillId="5" borderId="10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6" fontId="6" fillId="0" borderId="10" xfId="1" applyNumberFormat="1" applyFont="1" applyFill="1" applyBorder="1" applyAlignment="1" applyProtection="1">
      <alignment horizontal="left" vertical="center"/>
      <protection locked="0"/>
    </xf>
    <xf numFmtId="166" fontId="6" fillId="0" borderId="3" xfId="1" applyNumberFormat="1" applyFont="1" applyFill="1" applyBorder="1" applyAlignment="1" applyProtection="1">
      <alignment horizontal="left" vertical="center"/>
      <protection locked="0"/>
    </xf>
    <xf numFmtId="166" fontId="6" fillId="0" borderId="11" xfId="1" applyNumberFormat="1" applyFont="1" applyFill="1" applyBorder="1" applyAlignment="1" applyProtection="1">
      <alignment horizontal="left" vertical="center"/>
      <protection locked="0"/>
    </xf>
    <xf numFmtId="0" fontId="16" fillId="5" borderId="1" xfId="0" applyFont="1" applyFill="1" applyBorder="1" applyAlignment="1" applyProtection="1">
      <alignment horizontal="center" vertical="center"/>
      <protection locked="0"/>
    </xf>
    <xf numFmtId="166" fontId="16" fillId="5" borderId="10" xfId="1" applyNumberFormat="1" applyFont="1" applyFill="1" applyBorder="1" applyAlignment="1" applyProtection="1">
      <alignment horizontal="left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164" fontId="6" fillId="0" borderId="0" xfId="2" applyFont="1" applyFill="1" applyBorder="1" applyAlignment="1" applyProtection="1">
      <alignment horizontal="center" vertical="center"/>
      <protection locked="0"/>
    </xf>
    <xf numFmtId="164" fontId="13" fillId="4" borderId="13" xfId="2" applyFont="1" applyFill="1" applyBorder="1" applyAlignment="1" applyProtection="1">
      <alignment horizontal="center" vertical="center" textRotation="90" wrapText="1"/>
      <protection locked="0"/>
    </xf>
    <xf numFmtId="164" fontId="13" fillId="4" borderId="7" xfId="2" applyFont="1" applyFill="1" applyBorder="1" applyAlignment="1" applyProtection="1">
      <alignment horizontal="center" vertical="center" textRotation="90" wrapText="1"/>
      <protection locked="0"/>
    </xf>
    <xf numFmtId="164" fontId="13" fillId="4" borderId="14" xfId="2" applyFont="1" applyFill="1" applyBorder="1" applyAlignment="1" applyProtection="1">
      <alignment horizontal="center" vertical="center" textRotation="90" wrapText="1"/>
      <protection locked="0"/>
    </xf>
    <xf numFmtId="164" fontId="13" fillId="4" borderId="15" xfId="2" applyFont="1" applyFill="1" applyBorder="1" applyAlignment="1" applyProtection="1">
      <alignment horizontal="center" vertical="center" textRotation="90" wrapText="1"/>
      <protection locked="0"/>
    </xf>
    <xf numFmtId="164" fontId="13" fillId="4" borderId="16" xfId="2" applyFont="1" applyFill="1" applyBorder="1" applyAlignment="1" applyProtection="1">
      <alignment horizontal="center" vertical="center" textRotation="90" wrapText="1"/>
      <protection locked="0"/>
    </xf>
    <xf numFmtId="164" fontId="13" fillId="4" borderId="9" xfId="2" applyFont="1" applyFill="1" applyBorder="1" applyAlignment="1" applyProtection="1">
      <alignment horizontal="center" vertical="center" textRotation="90" wrapText="1"/>
      <protection locked="0"/>
    </xf>
    <xf numFmtId="164" fontId="13" fillId="4" borderId="17" xfId="2" applyFont="1" applyFill="1" applyBorder="1" applyAlignment="1" applyProtection="1">
      <alignment horizontal="center" vertical="center" textRotation="90" wrapText="1"/>
      <protection locked="0"/>
    </xf>
    <xf numFmtId="164" fontId="13" fillId="4" borderId="12" xfId="2" applyFont="1" applyFill="1" applyBorder="1" applyAlignment="1" applyProtection="1">
      <alignment horizontal="center" vertical="center" textRotation="90" wrapText="1"/>
      <protection locked="0"/>
    </xf>
    <xf numFmtId="164" fontId="13" fillId="4" borderId="18" xfId="2" applyFont="1" applyFill="1" applyBorder="1" applyAlignment="1" applyProtection="1">
      <alignment horizontal="center" vertical="center" textRotation="90" wrapText="1"/>
      <protection locked="0"/>
    </xf>
    <xf numFmtId="164" fontId="13" fillId="4" borderId="0" xfId="2" applyFont="1" applyFill="1" applyBorder="1" applyAlignment="1" applyProtection="1">
      <alignment horizontal="center" vertical="center" textRotation="90" wrapText="1"/>
      <protection locked="0"/>
    </xf>
    <xf numFmtId="164" fontId="13" fillId="4" borderId="19" xfId="2" applyFont="1" applyFill="1" applyBorder="1" applyAlignment="1" applyProtection="1">
      <alignment horizontal="center" vertical="center" textRotation="90" wrapText="1"/>
      <protection locked="0"/>
    </xf>
    <xf numFmtId="164" fontId="13" fillId="4" borderId="4" xfId="2" applyFont="1" applyFill="1" applyBorder="1" applyAlignment="1" applyProtection="1">
      <alignment horizontal="center" vertical="center" textRotation="90" wrapText="1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68" fontId="6" fillId="0" borderId="10" xfId="0" applyNumberFormat="1" applyFont="1" applyBorder="1" applyAlignment="1" applyProtection="1">
      <alignment horizontal="center" vertical="center" wrapText="1"/>
      <protection locked="0"/>
    </xf>
    <xf numFmtId="0" fontId="6" fillId="5" borderId="21" xfId="0" applyFont="1" applyFill="1" applyBorder="1" applyAlignment="1" applyProtection="1">
      <alignment horizontal="center" vertical="center"/>
      <protection locked="0"/>
    </xf>
    <xf numFmtId="0" fontId="6" fillId="5" borderId="3" xfId="0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64" fontId="5" fillId="4" borderId="13" xfId="2" applyFont="1" applyFill="1" applyBorder="1" applyAlignment="1" applyProtection="1">
      <alignment horizontal="center" vertical="center" textRotation="90" wrapText="1"/>
      <protection locked="0"/>
    </xf>
    <xf numFmtId="164" fontId="5" fillId="4" borderId="7" xfId="2" applyFont="1" applyFill="1" applyBorder="1" applyAlignment="1" applyProtection="1">
      <alignment horizontal="center" vertical="center" textRotation="90" wrapText="1"/>
      <protection locked="0"/>
    </xf>
    <xf numFmtId="164" fontId="5" fillId="4" borderId="14" xfId="2" applyFont="1" applyFill="1" applyBorder="1" applyAlignment="1" applyProtection="1">
      <alignment horizontal="center" vertical="center" textRotation="90" wrapText="1"/>
      <protection locked="0"/>
    </xf>
    <xf numFmtId="164" fontId="5" fillId="4" borderId="15" xfId="2" applyFont="1" applyFill="1" applyBorder="1" applyAlignment="1" applyProtection="1">
      <alignment horizontal="center" vertical="center" textRotation="90" wrapText="1"/>
      <protection locked="0"/>
    </xf>
    <xf numFmtId="164" fontId="5" fillId="4" borderId="16" xfId="2" applyFont="1" applyFill="1" applyBorder="1" applyAlignment="1" applyProtection="1">
      <alignment horizontal="center" vertical="center" textRotation="90" wrapText="1"/>
      <protection locked="0"/>
    </xf>
    <xf numFmtId="164" fontId="5" fillId="4" borderId="9" xfId="2" applyFont="1" applyFill="1" applyBorder="1" applyAlignment="1" applyProtection="1">
      <alignment horizontal="center" vertical="center" textRotation="90" wrapText="1"/>
      <protection locked="0"/>
    </xf>
    <xf numFmtId="164" fontId="5" fillId="4" borderId="12" xfId="2" applyFont="1" applyFill="1" applyBorder="1" applyAlignment="1" applyProtection="1">
      <alignment horizontal="center" vertical="center" textRotation="90" wrapText="1"/>
      <protection locked="0"/>
    </xf>
    <xf numFmtId="164" fontId="5" fillId="4" borderId="0" xfId="2" applyFont="1" applyFill="1" applyBorder="1" applyAlignment="1" applyProtection="1">
      <alignment horizontal="center" vertical="center" textRotation="90" wrapText="1"/>
      <protection locked="0"/>
    </xf>
    <xf numFmtId="164" fontId="9" fillId="7" borderId="1" xfId="2" applyFont="1" applyFill="1" applyBorder="1" applyAlignment="1" applyProtection="1">
      <alignment horizontal="center" vertical="center"/>
      <protection locked="0"/>
    </xf>
    <xf numFmtId="164" fontId="9" fillId="7" borderId="3" xfId="2" applyFont="1" applyFill="1" applyBorder="1" applyAlignment="1" applyProtection="1">
      <alignment horizontal="center" vertical="center"/>
      <protection locked="0"/>
    </xf>
    <xf numFmtId="164" fontId="9" fillId="7" borderId="5" xfId="2" applyFont="1" applyFill="1" applyBorder="1" applyAlignment="1" applyProtection="1">
      <alignment horizontal="center" vertical="center"/>
      <protection locked="0"/>
    </xf>
    <xf numFmtId="164" fontId="6" fillId="8" borderId="1" xfId="2" applyFont="1" applyFill="1" applyBorder="1" applyAlignment="1" applyProtection="1">
      <alignment horizontal="left" vertical="center" wrapText="1"/>
      <protection locked="0"/>
    </xf>
    <xf numFmtId="164" fontId="6" fillId="8" borderId="2" xfId="2" applyFont="1" applyFill="1" applyBorder="1" applyAlignment="1" applyProtection="1">
      <alignment horizontal="left" vertical="center" wrapText="1"/>
      <protection locked="0"/>
    </xf>
    <xf numFmtId="164" fontId="9" fillId="7" borderId="1" xfId="2" applyFont="1" applyFill="1" applyBorder="1" applyAlignment="1" applyProtection="1">
      <alignment horizontal="center" vertical="center" wrapText="1"/>
      <protection locked="0"/>
    </xf>
    <xf numFmtId="164" fontId="9" fillId="7" borderId="3" xfId="2" applyFont="1" applyFill="1" applyBorder="1" applyAlignment="1" applyProtection="1">
      <alignment horizontal="center" vertical="center" wrapText="1"/>
      <protection locked="0"/>
    </xf>
    <xf numFmtId="164" fontId="9" fillId="7" borderId="5" xfId="2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14" fontId="3" fillId="5" borderId="1" xfId="0" applyNumberFormat="1" applyFont="1" applyFill="1" applyBorder="1" applyAlignment="1" applyProtection="1">
      <alignment horizontal="center" vertical="center"/>
      <protection locked="0"/>
    </xf>
    <xf numFmtId="14" fontId="3" fillId="5" borderId="3" xfId="0" applyNumberFormat="1" applyFont="1" applyFill="1" applyBorder="1" applyAlignment="1" applyProtection="1">
      <alignment horizontal="center" vertical="center"/>
      <protection locked="0"/>
    </xf>
    <xf numFmtId="14" fontId="3" fillId="5" borderId="2" xfId="0" applyNumberFormat="1" applyFont="1" applyFill="1" applyBorder="1" applyAlignment="1" applyProtection="1">
      <alignment horizontal="center" vertical="center"/>
      <protection locked="0"/>
    </xf>
    <xf numFmtId="49" fontId="3" fillId="0" borderId="1" xfId="2" applyNumberFormat="1" applyFont="1" applyBorder="1" applyAlignment="1" applyProtection="1">
      <alignment horizontal="center" vertical="center"/>
      <protection locked="0"/>
    </xf>
    <xf numFmtId="49" fontId="3" fillId="0" borderId="3" xfId="2" applyNumberFormat="1" applyFont="1" applyBorder="1" applyAlignment="1" applyProtection="1">
      <alignment horizontal="center" vertical="center"/>
      <protection locked="0"/>
    </xf>
    <xf numFmtId="49" fontId="3" fillId="0" borderId="2" xfId="2" applyNumberFormat="1" applyFont="1" applyBorder="1" applyAlignment="1" applyProtection="1">
      <alignment horizontal="center" vertical="center"/>
      <protection locked="0"/>
    </xf>
    <xf numFmtId="164" fontId="4" fillId="3" borderId="3" xfId="2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164" fontId="6" fillId="2" borderId="1" xfId="2" applyFont="1" applyFill="1" applyBorder="1" applyAlignment="1" applyProtection="1">
      <alignment horizontal="center" vertical="center" wrapText="1"/>
      <protection locked="0"/>
    </xf>
    <xf numFmtId="164" fontId="6" fillId="2" borderId="3" xfId="2" applyFont="1" applyFill="1" applyBorder="1" applyAlignment="1" applyProtection="1">
      <alignment horizontal="center" vertical="center" wrapText="1"/>
      <protection locked="0"/>
    </xf>
    <xf numFmtId="164" fontId="6" fillId="2" borderId="5" xfId="2" applyFont="1" applyFill="1" applyBorder="1" applyAlignment="1" applyProtection="1">
      <alignment horizontal="center" vertical="center" wrapText="1"/>
      <protection locked="0"/>
    </xf>
    <xf numFmtId="0" fontId="6" fillId="2" borderId="17" xfId="0" applyFont="1" applyFill="1" applyBorder="1" applyAlignment="1" applyProtection="1">
      <alignment horizontal="center" vertical="center" wrapText="1"/>
      <protection locked="0"/>
    </xf>
    <xf numFmtId="0" fontId="6" fillId="2" borderId="12" xfId="0" applyFont="1" applyFill="1" applyBorder="1" applyAlignment="1" applyProtection="1">
      <alignment horizontal="center" vertical="center" wrapText="1"/>
      <protection locked="0"/>
    </xf>
    <xf numFmtId="0" fontId="6" fillId="2" borderId="7" xfId="0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6" fillId="5" borderId="21" xfId="0" applyFont="1" applyFill="1" applyBorder="1" applyAlignment="1" applyProtection="1">
      <alignment horizontal="left" vertical="center"/>
      <protection locked="0"/>
    </xf>
    <xf numFmtId="0" fontId="6" fillId="5" borderId="3" xfId="0" applyFont="1" applyFill="1" applyBorder="1" applyAlignment="1" applyProtection="1">
      <alignment horizontal="left" vertical="center"/>
      <protection locked="0"/>
    </xf>
    <xf numFmtId="0" fontId="6" fillId="5" borderId="2" xfId="0" applyFont="1" applyFill="1" applyBorder="1" applyAlignment="1" applyProtection="1">
      <alignment horizontal="left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7" fillId="5" borderId="21" xfId="0" applyFont="1" applyFill="1" applyBorder="1" applyAlignment="1" applyProtection="1">
      <alignment horizontal="center" vertical="center"/>
      <protection locked="0"/>
    </xf>
    <xf numFmtId="0" fontId="7" fillId="5" borderId="3" xfId="0" applyFont="1" applyFill="1" applyBorder="1" applyAlignment="1" applyProtection="1">
      <alignment horizontal="center" vertical="center"/>
      <protection locked="0"/>
    </xf>
    <xf numFmtId="0" fontId="7" fillId="5" borderId="2" xfId="0" applyFont="1" applyFill="1" applyBorder="1" applyAlignment="1" applyProtection="1">
      <alignment horizontal="center" vertical="center"/>
      <protection locked="0"/>
    </xf>
    <xf numFmtId="0" fontId="6" fillId="5" borderId="10" xfId="0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15" fillId="2" borderId="3" xfId="0" applyFont="1" applyFill="1" applyBorder="1" applyAlignment="1" applyProtection="1">
      <alignment horizontal="center" vertical="center"/>
      <protection locked="0"/>
    </xf>
    <xf numFmtId="0" fontId="15" fillId="2" borderId="2" xfId="0" applyFont="1" applyFill="1" applyBorder="1" applyAlignment="1" applyProtection="1">
      <alignment horizontal="center" vertical="center"/>
      <protection locked="0"/>
    </xf>
    <xf numFmtId="164" fontId="6" fillId="2" borderId="10" xfId="2" applyFont="1" applyFill="1" applyBorder="1" applyAlignment="1" applyProtection="1">
      <alignment horizontal="center" vertical="center" wrapText="1"/>
      <protection locked="0"/>
    </xf>
  </cellXfs>
  <cellStyles count="3">
    <cellStyle name="Moneda" xfId="1" builtinId="4"/>
    <cellStyle name="Moneda [0]" xfId="2" builtinId="7"/>
    <cellStyle name="Normal" xfId="0" builtinId="0"/>
  </cellStyles>
  <dxfs count="5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401A-6001-49F8-B8FE-116B2D91884B}">
  <sheetPr>
    <tabColor theme="2"/>
    <pageSetUpPr fitToPage="1"/>
  </sheetPr>
  <dimension ref="A1:K88"/>
  <sheetViews>
    <sheetView showWhiteSpace="0" view="pageLayout" zoomScale="80" zoomScaleNormal="80" zoomScalePageLayoutView="80" workbookViewId="0">
      <selection activeCell="H2" sqref="H2"/>
    </sheetView>
  </sheetViews>
  <sheetFormatPr defaultColWidth="20.7109375" defaultRowHeight="15"/>
  <cols>
    <col min="1" max="1" width="13.5703125" style="100" customWidth="1"/>
    <col min="2" max="3" width="13.7109375" style="102" customWidth="1"/>
    <col min="4" max="4" width="13.7109375" style="103" customWidth="1"/>
    <col min="5" max="5" width="14.7109375" style="104" customWidth="1"/>
    <col min="6" max="7" width="13.7109375" style="101" customWidth="1"/>
    <col min="8" max="10" width="13.7109375" style="103" customWidth="1"/>
    <col min="11" max="11" width="28.140625" style="103" customWidth="1"/>
    <col min="12" max="14" width="6.7109375" customWidth="1"/>
    <col min="15" max="17" width="10.7109375" customWidth="1"/>
    <col min="18" max="18" width="17.42578125" customWidth="1"/>
    <col min="19" max="19" width="10.7109375" customWidth="1"/>
    <col min="20" max="23" width="6.7109375" customWidth="1"/>
    <col min="24" max="26" width="10.7109375" customWidth="1"/>
    <col min="27" max="27" width="17.42578125" customWidth="1"/>
    <col min="28" max="28" width="10.7109375" customWidth="1"/>
    <col min="29" max="32" width="6.7109375" customWidth="1"/>
    <col min="33" max="35" width="10.7109375" customWidth="1"/>
    <col min="36" max="36" width="17.42578125" customWidth="1"/>
    <col min="37" max="37" width="10.7109375" customWidth="1"/>
    <col min="38" max="41" width="6.7109375" customWidth="1"/>
    <col min="42" max="44" width="10.7109375" customWidth="1"/>
    <col min="45" max="45" width="17.42578125" customWidth="1"/>
    <col min="46" max="46" width="10.7109375" customWidth="1"/>
    <col min="47" max="50" width="6.7109375" customWidth="1"/>
    <col min="51" max="53" width="10.7109375" customWidth="1"/>
    <col min="54" max="54" width="17.42578125" customWidth="1"/>
    <col min="55" max="55" width="10.7109375" customWidth="1"/>
    <col min="56" max="59" width="6.7109375" customWidth="1"/>
    <col min="60" max="62" width="10.7109375" customWidth="1"/>
    <col min="63" max="63" width="17.42578125" customWidth="1"/>
    <col min="64" max="64" width="10.7109375" customWidth="1"/>
    <col min="65" max="68" width="6.7109375" customWidth="1"/>
    <col min="69" max="71" width="10.7109375" customWidth="1"/>
    <col min="72" max="72" width="17.42578125" customWidth="1"/>
    <col min="73" max="73" width="10.7109375" customWidth="1"/>
    <col min="74" max="77" width="6.7109375" customWidth="1"/>
    <col min="78" max="80" width="10.7109375" customWidth="1"/>
    <col min="81" max="81" width="17.42578125" customWidth="1"/>
    <col min="82" max="82" width="10.7109375" customWidth="1"/>
    <col min="83" max="86" width="6.7109375" customWidth="1"/>
    <col min="87" max="89" width="10.7109375" customWidth="1"/>
    <col min="90" max="90" width="17.42578125" customWidth="1"/>
    <col min="91" max="91" width="10.7109375" customWidth="1"/>
    <col min="92" max="95" width="6.7109375" customWidth="1"/>
    <col min="96" max="98" width="10.7109375" customWidth="1"/>
    <col min="99" max="99" width="17.42578125" customWidth="1"/>
    <col min="100" max="100" width="10.7109375" customWidth="1"/>
    <col min="101" max="104" width="6.7109375" customWidth="1"/>
    <col min="105" max="107" width="10.7109375" customWidth="1"/>
    <col min="108" max="108" width="17.42578125" customWidth="1"/>
    <col min="109" max="109" width="10.7109375" customWidth="1"/>
    <col min="110" max="113" width="6.7109375" customWidth="1"/>
    <col min="114" max="116" width="10.7109375" customWidth="1"/>
    <col min="117" max="117" width="17.42578125" customWidth="1"/>
    <col min="118" max="118" width="10.7109375" customWidth="1"/>
    <col min="119" max="122" width="6.7109375" customWidth="1"/>
    <col min="123" max="125" width="10.7109375" customWidth="1"/>
    <col min="126" max="126" width="17.42578125" customWidth="1"/>
    <col min="127" max="127" width="10.7109375" customWidth="1"/>
    <col min="128" max="131" width="6.7109375" customWidth="1"/>
    <col min="132" max="134" width="10.7109375" customWidth="1"/>
    <col min="135" max="135" width="17.42578125" customWidth="1"/>
    <col min="136" max="136" width="10.7109375" customWidth="1"/>
    <col min="137" max="140" width="6.7109375" customWidth="1"/>
    <col min="141" max="143" width="10.7109375" customWidth="1"/>
    <col min="144" max="144" width="17.42578125" customWidth="1"/>
    <col min="145" max="145" width="10.7109375" customWidth="1"/>
    <col min="146" max="149" width="6.7109375" customWidth="1"/>
    <col min="150" max="152" width="10.7109375" customWidth="1"/>
    <col min="153" max="153" width="17.42578125" customWidth="1"/>
    <col min="154" max="154" width="10.7109375" customWidth="1"/>
    <col min="155" max="158" width="6.7109375" customWidth="1"/>
    <col min="159" max="161" width="10.7109375" customWidth="1"/>
    <col min="162" max="162" width="17.42578125" customWidth="1"/>
    <col min="163" max="163" width="10.7109375" customWidth="1"/>
    <col min="164" max="167" width="6.7109375" customWidth="1"/>
    <col min="168" max="170" width="10.7109375" customWidth="1"/>
    <col min="171" max="171" width="17.42578125" customWidth="1"/>
    <col min="172" max="172" width="10.7109375" customWidth="1"/>
    <col min="173" max="176" width="6.7109375" customWidth="1"/>
    <col min="177" max="179" width="10.7109375" customWidth="1"/>
    <col min="180" max="180" width="17.42578125" customWidth="1"/>
    <col min="181" max="181" width="10.7109375" customWidth="1"/>
    <col min="182" max="185" width="6.7109375" customWidth="1"/>
    <col min="186" max="188" width="10.7109375" customWidth="1"/>
    <col min="189" max="189" width="17.42578125" customWidth="1"/>
    <col min="190" max="190" width="10.7109375" customWidth="1"/>
    <col min="191" max="194" width="6.7109375" customWidth="1"/>
    <col min="195" max="197" width="10.7109375" customWidth="1"/>
    <col min="198" max="198" width="17.42578125" customWidth="1"/>
    <col min="199" max="199" width="10.7109375" customWidth="1"/>
    <col min="200" max="203" width="6.7109375" customWidth="1"/>
    <col min="204" max="206" width="10.7109375" customWidth="1"/>
    <col min="207" max="207" width="17.42578125" customWidth="1"/>
    <col min="208" max="208" width="10.7109375" customWidth="1"/>
    <col min="209" max="212" width="6.7109375" customWidth="1"/>
    <col min="213" max="215" width="10.7109375" customWidth="1"/>
    <col min="216" max="216" width="17.42578125" customWidth="1"/>
    <col min="217" max="217" width="10.7109375" customWidth="1"/>
    <col min="218" max="221" width="6.7109375" customWidth="1"/>
    <col min="222" max="224" width="10.7109375" customWidth="1"/>
    <col min="225" max="225" width="17.42578125" customWidth="1"/>
    <col min="226" max="226" width="10.7109375" customWidth="1"/>
    <col min="227" max="230" width="6.7109375" customWidth="1"/>
    <col min="231" max="233" width="10.7109375" customWidth="1"/>
    <col min="234" max="234" width="17.42578125" customWidth="1"/>
    <col min="235" max="235" width="10.7109375" customWidth="1"/>
    <col min="236" max="239" width="6.7109375" customWidth="1"/>
    <col min="240" max="242" width="10.7109375" customWidth="1"/>
    <col min="243" max="243" width="17.42578125" customWidth="1"/>
    <col min="244" max="244" width="10.7109375" customWidth="1"/>
    <col min="245" max="248" width="6.7109375" customWidth="1"/>
    <col min="249" max="251" width="10.7109375" customWidth="1"/>
    <col min="252" max="252" width="17.42578125" customWidth="1"/>
    <col min="253" max="253" width="10.7109375" customWidth="1"/>
    <col min="254" max="257" width="6.7109375" customWidth="1"/>
    <col min="258" max="260" width="10.7109375" customWidth="1"/>
    <col min="261" max="261" width="17.42578125" customWidth="1"/>
    <col min="262" max="262" width="10.7109375" customWidth="1"/>
    <col min="263" max="266" width="6.7109375" customWidth="1"/>
    <col min="267" max="269" width="10.7109375" customWidth="1"/>
    <col min="270" max="270" width="17.42578125" customWidth="1"/>
    <col min="271" max="271" width="10.7109375" customWidth="1"/>
    <col min="272" max="275" width="6.7109375" customWidth="1"/>
    <col min="276" max="278" width="10.7109375" customWidth="1"/>
    <col min="279" max="279" width="17.42578125" customWidth="1"/>
    <col min="280" max="280" width="10.7109375" customWidth="1"/>
    <col min="281" max="284" width="6.7109375" customWidth="1"/>
    <col min="285" max="287" width="10.7109375" customWidth="1"/>
    <col min="288" max="288" width="17.42578125" customWidth="1"/>
    <col min="289" max="289" width="10.7109375" customWidth="1"/>
    <col min="290" max="293" width="6.7109375" customWidth="1"/>
    <col min="294" max="296" width="10.7109375" customWidth="1"/>
    <col min="297" max="297" width="17.42578125" customWidth="1"/>
    <col min="298" max="298" width="10.7109375" customWidth="1"/>
    <col min="299" max="302" width="6.7109375" customWidth="1"/>
    <col min="303" max="305" width="10.7109375" customWidth="1"/>
    <col min="306" max="306" width="17.42578125" customWidth="1"/>
    <col min="307" max="307" width="10.7109375" customWidth="1"/>
    <col min="308" max="311" width="6.7109375" customWidth="1"/>
    <col min="312" max="314" width="10.7109375" customWidth="1"/>
    <col min="315" max="315" width="17.42578125" customWidth="1"/>
    <col min="316" max="316" width="10.7109375" customWidth="1"/>
    <col min="317" max="320" width="6.7109375" customWidth="1"/>
    <col min="321" max="323" width="10.7109375" customWidth="1"/>
    <col min="324" max="324" width="17.42578125" customWidth="1"/>
    <col min="325" max="325" width="10.7109375" customWidth="1"/>
    <col min="326" max="329" width="6.7109375" customWidth="1"/>
    <col min="330" max="332" width="10.7109375" customWidth="1"/>
    <col min="333" max="333" width="17.42578125" customWidth="1"/>
    <col min="334" max="334" width="10.7109375" customWidth="1"/>
    <col min="335" max="338" width="6.7109375" customWidth="1"/>
    <col min="339" max="341" width="10.7109375" customWidth="1"/>
    <col min="342" max="342" width="17.42578125" customWidth="1"/>
    <col min="343" max="343" width="10.7109375" customWidth="1"/>
    <col min="344" max="347" width="6.7109375" customWidth="1"/>
    <col min="348" max="350" width="10.7109375" customWidth="1"/>
    <col min="351" max="351" width="17.42578125" customWidth="1"/>
    <col min="352" max="352" width="10.7109375" customWidth="1"/>
    <col min="353" max="356" width="6.7109375" customWidth="1"/>
    <col min="357" max="359" width="10.7109375" customWidth="1"/>
    <col min="360" max="360" width="17.42578125" customWidth="1"/>
    <col min="361" max="361" width="10.7109375" customWidth="1"/>
    <col min="362" max="365" width="6.7109375" customWidth="1"/>
    <col min="366" max="368" width="10.7109375" customWidth="1"/>
    <col min="369" max="369" width="17.42578125" customWidth="1"/>
    <col min="370" max="370" width="10.7109375" customWidth="1"/>
    <col min="371" max="374" width="6.7109375" customWidth="1"/>
    <col min="375" max="377" width="10.7109375" customWidth="1"/>
    <col min="378" max="378" width="17.42578125" customWidth="1"/>
    <col min="379" max="379" width="10.7109375" customWidth="1"/>
    <col min="380" max="383" width="6.7109375" customWidth="1"/>
    <col min="384" max="386" width="10.7109375" customWidth="1"/>
    <col min="387" max="387" width="17.42578125" customWidth="1"/>
    <col min="388" max="388" width="10.7109375" customWidth="1"/>
    <col min="389" max="392" width="6.7109375" customWidth="1"/>
    <col min="393" max="395" width="10.7109375" customWidth="1"/>
    <col min="396" max="396" width="17.42578125" customWidth="1"/>
    <col min="397" max="397" width="10.7109375" customWidth="1"/>
    <col min="398" max="401" width="6.7109375" customWidth="1"/>
    <col min="402" max="404" width="10.7109375" customWidth="1"/>
    <col min="405" max="405" width="17.42578125" customWidth="1"/>
    <col min="406" max="406" width="10.7109375" customWidth="1"/>
    <col min="407" max="410" width="6.7109375" customWidth="1"/>
    <col min="411" max="413" width="10.7109375" customWidth="1"/>
    <col min="414" max="414" width="17.42578125" customWidth="1"/>
    <col min="415" max="415" width="10.7109375" customWidth="1"/>
    <col min="416" max="419" width="6.7109375" customWidth="1"/>
    <col min="420" max="422" width="10.7109375" customWidth="1"/>
    <col min="423" max="423" width="17.42578125" customWidth="1"/>
    <col min="424" max="424" width="10.7109375" customWidth="1"/>
    <col min="425" max="428" width="6.7109375" customWidth="1"/>
    <col min="429" max="431" width="10.7109375" customWidth="1"/>
    <col min="432" max="432" width="17.42578125" customWidth="1"/>
    <col min="433" max="433" width="10.7109375" customWidth="1"/>
    <col min="434" max="437" width="6.7109375" customWidth="1"/>
    <col min="438" max="440" width="10.7109375" customWidth="1"/>
    <col min="441" max="441" width="17.42578125" customWidth="1"/>
    <col min="442" max="442" width="10.7109375" customWidth="1"/>
    <col min="443" max="446" width="6.7109375" customWidth="1"/>
    <col min="447" max="449" width="10.7109375" customWidth="1"/>
    <col min="450" max="450" width="17.42578125" customWidth="1"/>
    <col min="451" max="451" width="10.7109375" customWidth="1"/>
    <col min="452" max="455" width="6.7109375" customWidth="1"/>
    <col min="456" max="458" width="10.7109375" customWidth="1"/>
    <col min="459" max="459" width="17.42578125" customWidth="1"/>
    <col min="460" max="460" width="10.7109375" customWidth="1"/>
    <col min="461" max="464" width="6.7109375" customWidth="1"/>
    <col min="465" max="467" width="10.7109375" customWidth="1"/>
    <col min="468" max="468" width="17.42578125" customWidth="1"/>
    <col min="469" max="469" width="10.7109375" customWidth="1"/>
    <col min="470" max="473" width="6.7109375" customWidth="1"/>
    <col min="474" max="476" width="10.7109375" customWidth="1"/>
    <col min="477" max="477" width="17.42578125" customWidth="1"/>
    <col min="478" max="478" width="10.7109375" customWidth="1"/>
    <col min="479" max="482" width="6.7109375" customWidth="1"/>
    <col min="483" max="485" width="10.7109375" customWidth="1"/>
    <col min="486" max="486" width="17.42578125" customWidth="1"/>
    <col min="487" max="487" width="10.7109375" customWidth="1"/>
    <col min="488" max="491" width="6.7109375" customWidth="1"/>
    <col min="492" max="494" width="10.7109375" customWidth="1"/>
    <col min="495" max="495" width="17.42578125" customWidth="1"/>
    <col min="496" max="496" width="10.7109375" customWidth="1"/>
    <col min="497" max="500" width="6.7109375" customWidth="1"/>
    <col min="501" max="503" width="10.7109375" customWidth="1"/>
    <col min="504" max="504" width="17.42578125" customWidth="1"/>
    <col min="505" max="505" width="10.7109375" customWidth="1"/>
    <col min="506" max="509" width="6.7109375" customWidth="1"/>
    <col min="510" max="512" width="10.7109375" customWidth="1"/>
    <col min="513" max="513" width="17.42578125" customWidth="1"/>
    <col min="514" max="514" width="10.7109375" customWidth="1"/>
    <col min="515" max="518" width="6.7109375" customWidth="1"/>
    <col min="519" max="521" width="10.7109375" customWidth="1"/>
    <col min="522" max="522" width="17.42578125" customWidth="1"/>
    <col min="523" max="523" width="10.7109375" customWidth="1"/>
    <col min="524" max="527" width="6.7109375" customWidth="1"/>
    <col min="528" max="530" width="10.7109375" customWidth="1"/>
    <col min="531" max="531" width="17.42578125" customWidth="1"/>
    <col min="532" max="532" width="10.7109375" customWidth="1"/>
    <col min="533" max="536" width="6.7109375" customWidth="1"/>
    <col min="537" max="539" width="10.7109375" customWidth="1"/>
    <col min="540" max="540" width="17.42578125" customWidth="1"/>
    <col min="541" max="541" width="10.7109375" customWidth="1"/>
    <col min="542" max="545" width="6.7109375" customWidth="1"/>
    <col min="546" max="548" width="10.7109375" customWidth="1"/>
    <col min="549" max="549" width="17.42578125" customWidth="1"/>
    <col min="550" max="550" width="10.7109375" customWidth="1"/>
    <col min="551" max="554" width="6.7109375" customWidth="1"/>
    <col min="555" max="557" width="10.7109375" customWidth="1"/>
    <col min="558" max="558" width="17.42578125" customWidth="1"/>
    <col min="559" max="559" width="10.7109375" customWidth="1"/>
    <col min="560" max="563" width="6.7109375" customWidth="1"/>
    <col min="564" max="566" width="10.7109375" customWidth="1"/>
    <col min="567" max="567" width="17.42578125" customWidth="1"/>
    <col min="568" max="568" width="10.7109375" customWidth="1"/>
    <col min="569" max="572" width="6.7109375" customWidth="1"/>
    <col min="573" max="575" width="10.7109375" customWidth="1"/>
    <col min="576" max="576" width="17.42578125" customWidth="1"/>
    <col min="577" max="577" width="10.7109375" customWidth="1"/>
    <col min="578" max="581" width="6.7109375" customWidth="1"/>
    <col min="582" max="584" width="10.7109375" customWidth="1"/>
    <col min="585" max="585" width="17.42578125" customWidth="1"/>
    <col min="586" max="586" width="10.7109375" customWidth="1"/>
    <col min="587" max="590" width="6.7109375" customWidth="1"/>
    <col min="591" max="593" width="10.7109375" customWidth="1"/>
    <col min="594" max="594" width="17.42578125" customWidth="1"/>
    <col min="595" max="595" width="10.7109375" customWidth="1"/>
    <col min="596" max="599" width="6.7109375" customWidth="1"/>
    <col min="600" max="602" width="10.7109375" customWidth="1"/>
    <col min="603" max="603" width="17.42578125" customWidth="1"/>
    <col min="604" max="604" width="10.7109375" customWidth="1"/>
    <col min="605" max="608" width="6.7109375" customWidth="1"/>
    <col min="609" max="611" width="10.7109375" customWidth="1"/>
    <col min="612" max="612" width="17.42578125" customWidth="1"/>
    <col min="613" max="613" width="10.7109375" customWidth="1"/>
    <col min="614" max="617" width="6.7109375" customWidth="1"/>
    <col min="618" max="620" width="10.7109375" customWidth="1"/>
    <col min="621" max="621" width="17.42578125" customWidth="1"/>
    <col min="622" max="622" width="10.7109375" customWidth="1"/>
    <col min="623" max="626" width="6.7109375" customWidth="1"/>
    <col min="627" max="629" width="10.7109375" customWidth="1"/>
    <col min="630" max="630" width="17.42578125" customWidth="1"/>
    <col min="631" max="631" width="10.7109375" customWidth="1"/>
    <col min="632" max="635" width="6.7109375" customWidth="1"/>
    <col min="636" max="638" width="10.7109375" customWidth="1"/>
    <col min="639" max="639" width="17.42578125" customWidth="1"/>
    <col min="640" max="640" width="10.7109375" customWidth="1"/>
    <col min="641" max="644" width="6.7109375" customWidth="1"/>
    <col min="645" max="647" width="10.7109375" customWidth="1"/>
    <col min="648" max="648" width="17.42578125" customWidth="1"/>
    <col min="649" max="649" width="10.7109375" customWidth="1"/>
    <col min="650" max="653" width="6.7109375" customWidth="1"/>
    <col min="654" max="656" width="10.7109375" customWidth="1"/>
    <col min="657" max="657" width="17.42578125" customWidth="1"/>
    <col min="658" max="658" width="10.7109375" customWidth="1"/>
    <col min="659" max="662" width="6.7109375" customWidth="1"/>
    <col min="663" max="665" width="10.7109375" customWidth="1"/>
    <col min="666" max="666" width="17.42578125" customWidth="1"/>
    <col min="667" max="667" width="10.7109375" customWidth="1"/>
    <col min="668" max="671" width="6.7109375" customWidth="1"/>
    <col min="672" max="674" width="10.7109375" customWidth="1"/>
    <col min="675" max="675" width="17.42578125" customWidth="1"/>
    <col min="676" max="676" width="10.7109375" customWidth="1"/>
    <col min="677" max="680" width="6.7109375" customWidth="1"/>
    <col min="681" max="683" width="10.7109375" customWidth="1"/>
    <col min="684" max="684" width="17.42578125" customWidth="1"/>
    <col min="685" max="685" width="10.7109375" customWidth="1"/>
    <col min="686" max="689" width="6.7109375" customWidth="1"/>
    <col min="690" max="692" width="10.7109375" customWidth="1"/>
    <col min="693" max="693" width="17.42578125" customWidth="1"/>
    <col min="694" max="694" width="10.7109375" customWidth="1"/>
    <col min="695" max="698" width="6.7109375" customWidth="1"/>
    <col min="699" max="701" width="10.7109375" customWidth="1"/>
    <col min="702" max="702" width="17.42578125" customWidth="1"/>
  </cols>
  <sheetData>
    <row r="1" spans="1:11" ht="20.45" customHeight="1">
      <c r="A1" s="174" t="s">
        <v>0</v>
      </c>
      <c r="B1" s="175"/>
      <c r="C1" s="176"/>
      <c r="D1" s="177"/>
      <c r="E1" s="178"/>
      <c r="F1" s="174" t="s">
        <v>1</v>
      </c>
      <c r="G1" s="175"/>
      <c r="H1" s="179"/>
      <c r="I1" s="180"/>
      <c r="J1" s="180"/>
      <c r="K1" s="181"/>
    </row>
    <row r="2" spans="1:11" ht="11.25" customHeight="1">
      <c r="A2" s="1"/>
      <c r="B2" s="2"/>
      <c r="C2" s="2"/>
      <c r="D2" s="2"/>
      <c r="E2" s="3"/>
      <c r="F2" s="3"/>
      <c r="G2" s="3"/>
      <c r="H2" s="2"/>
      <c r="I2" s="2"/>
      <c r="J2" s="2"/>
      <c r="K2" s="2"/>
    </row>
    <row r="3" spans="1:11" ht="27" customHeight="1">
      <c r="A3" s="182" t="s">
        <v>2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20.45" customHeight="1">
      <c r="A4" s="183" t="s">
        <v>3</v>
      </c>
      <c r="B4" s="184"/>
      <c r="C4" s="184"/>
      <c r="D4" s="184"/>
      <c r="E4" s="184"/>
      <c r="F4" s="184"/>
      <c r="G4" s="184"/>
      <c r="H4" s="184"/>
      <c r="I4" s="184"/>
      <c r="J4" s="184"/>
      <c r="K4" s="185"/>
    </row>
    <row r="5" spans="1:11" s="5" customFormat="1" ht="26.25" customHeight="1">
      <c r="A5" s="186" t="s">
        <v>4</v>
      </c>
      <c r="B5" s="188" t="s">
        <v>5</v>
      </c>
      <c r="C5" s="189"/>
      <c r="D5" s="189"/>
      <c r="E5" s="190"/>
      <c r="F5" s="191" t="s">
        <v>6</v>
      </c>
      <c r="G5" s="192"/>
      <c r="H5" s="192"/>
      <c r="I5" s="192"/>
      <c r="J5" s="192"/>
      <c r="K5" s="193"/>
    </row>
    <row r="6" spans="1:11" ht="20.25" customHeight="1">
      <c r="A6" s="187"/>
      <c r="B6" s="6" t="s">
        <v>7</v>
      </c>
      <c r="C6" s="6" t="s">
        <v>8</v>
      </c>
      <c r="D6" s="4" t="s">
        <v>9</v>
      </c>
      <c r="E6" s="7" t="s">
        <v>10</v>
      </c>
      <c r="F6" s="194"/>
      <c r="G6" s="195"/>
      <c r="H6" s="195"/>
      <c r="I6" s="195"/>
      <c r="J6" s="195"/>
      <c r="K6" s="196"/>
    </row>
    <row r="7" spans="1:11" ht="20.45" customHeight="1">
      <c r="A7" s="8"/>
      <c r="B7" s="9"/>
      <c r="C7" s="9"/>
      <c r="D7" s="10"/>
      <c r="E7" s="11"/>
      <c r="F7" s="155"/>
      <c r="G7" s="156"/>
      <c r="H7" s="156"/>
      <c r="I7" s="156"/>
      <c r="J7" s="156"/>
      <c r="K7" s="157"/>
    </row>
    <row r="8" spans="1:11" ht="20.45" customHeight="1">
      <c r="A8" s="8"/>
      <c r="B8" s="9"/>
      <c r="C8" s="9"/>
      <c r="D8" s="10"/>
      <c r="E8" s="11"/>
      <c r="F8" s="155"/>
      <c r="G8" s="156"/>
      <c r="H8" s="156"/>
      <c r="I8" s="156"/>
      <c r="J8" s="156"/>
      <c r="K8" s="157"/>
    </row>
    <row r="9" spans="1:11" ht="20.45" customHeight="1">
      <c r="A9" s="8"/>
      <c r="B9" s="9"/>
      <c r="C9" s="9"/>
      <c r="D9" s="10"/>
      <c r="E9" s="11"/>
      <c r="F9" s="155"/>
      <c r="G9" s="156"/>
      <c r="H9" s="156"/>
      <c r="I9" s="156"/>
      <c r="J9" s="156"/>
      <c r="K9" s="157"/>
    </row>
    <row r="10" spans="1:11" ht="20.45" customHeight="1">
      <c r="A10" s="8"/>
      <c r="B10" s="9"/>
      <c r="C10" s="9"/>
      <c r="D10" s="10"/>
      <c r="E10" s="11"/>
      <c r="F10" s="155"/>
      <c r="G10" s="156"/>
      <c r="H10" s="156"/>
      <c r="I10" s="156"/>
      <c r="J10" s="156"/>
      <c r="K10" s="157"/>
    </row>
    <row r="11" spans="1:11" ht="20.45" customHeight="1">
      <c r="A11" s="8"/>
      <c r="B11" s="9"/>
      <c r="C11" s="9"/>
      <c r="D11" s="10"/>
      <c r="E11" s="11"/>
      <c r="F11" s="155"/>
      <c r="G11" s="156"/>
      <c r="H11" s="156"/>
      <c r="I11" s="156"/>
      <c r="J11" s="156"/>
      <c r="K11" s="157"/>
    </row>
    <row r="12" spans="1:11" ht="20.45" customHeight="1">
      <c r="A12" s="8"/>
      <c r="B12" s="9"/>
      <c r="C12" s="9"/>
      <c r="D12" s="10"/>
      <c r="E12" s="11"/>
      <c r="F12" s="155"/>
      <c r="G12" s="156"/>
      <c r="H12" s="156"/>
      <c r="I12" s="156"/>
      <c r="J12" s="156"/>
      <c r="K12" s="157"/>
    </row>
    <row r="13" spans="1:11" ht="20.45" customHeight="1">
      <c r="A13" s="8"/>
      <c r="B13" s="9"/>
      <c r="C13" s="9"/>
      <c r="D13" s="10"/>
      <c r="E13" s="11"/>
      <c r="F13" s="155"/>
      <c r="G13" s="156"/>
      <c r="H13" s="156"/>
      <c r="I13" s="156"/>
      <c r="J13" s="156"/>
      <c r="K13" s="157"/>
    </row>
    <row r="14" spans="1:11" ht="20.45" customHeight="1">
      <c r="A14" s="8"/>
      <c r="B14" s="9"/>
      <c r="C14" s="9"/>
      <c r="D14" s="10"/>
      <c r="E14" s="11"/>
      <c r="F14" s="155"/>
      <c r="G14" s="156"/>
      <c r="H14" s="156"/>
      <c r="I14" s="156"/>
      <c r="J14" s="156"/>
      <c r="K14" s="157"/>
    </row>
    <row r="15" spans="1:11" ht="20.45" customHeight="1">
      <c r="A15" s="8"/>
      <c r="B15" s="9"/>
      <c r="C15" s="9"/>
      <c r="D15" s="10"/>
      <c r="E15" s="11"/>
      <c r="F15" s="155"/>
      <c r="G15" s="156"/>
      <c r="H15" s="156"/>
      <c r="I15" s="156"/>
      <c r="J15" s="156"/>
      <c r="K15" s="157"/>
    </row>
    <row r="16" spans="1:11" ht="20.45" customHeight="1">
      <c r="A16" s="8"/>
      <c r="B16" s="9"/>
      <c r="C16" s="9"/>
      <c r="D16" s="10"/>
      <c r="E16" s="11"/>
      <c r="F16" s="155"/>
      <c r="G16" s="156"/>
      <c r="H16" s="156"/>
      <c r="I16" s="156"/>
      <c r="J16" s="156"/>
      <c r="K16" s="157"/>
    </row>
    <row r="17" spans="1:11" ht="20.45" customHeight="1">
      <c r="A17" s="8"/>
      <c r="B17" s="9"/>
      <c r="C17" s="9"/>
      <c r="D17" s="10"/>
      <c r="E17" s="11"/>
      <c r="F17" s="155"/>
      <c r="G17" s="156"/>
      <c r="H17" s="156"/>
      <c r="I17" s="156"/>
      <c r="J17" s="156"/>
      <c r="K17" s="157"/>
    </row>
    <row r="18" spans="1:11" s="12" customFormat="1" ht="20.45" customHeight="1">
      <c r="A18" s="8"/>
      <c r="B18" s="9"/>
      <c r="C18" s="9"/>
      <c r="D18" s="10"/>
      <c r="E18" s="11"/>
      <c r="F18" s="155"/>
      <c r="G18" s="156"/>
      <c r="H18" s="156"/>
      <c r="I18" s="156"/>
      <c r="J18" s="156"/>
      <c r="K18" s="157"/>
    </row>
    <row r="19" spans="1:11" ht="20.45" customHeight="1">
      <c r="A19" s="8"/>
      <c r="B19" s="9"/>
      <c r="C19" s="9"/>
      <c r="D19" s="10"/>
      <c r="E19" s="11"/>
      <c r="F19" s="155"/>
      <c r="G19" s="156"/>
      <c r="H19" s="156"/>
      <c r="I19" s="156"/>
      <c r="J19" s="156"/>
      <c r="K19" s="157"/>
    </row>
    <row r="20" spans="1:11" s="12" customFormat="1" ht="20.45" customHeight="1">
      <c r="A20" s="8"/>
      <c r="B20" s="9"/>
      <c r="C20" s="9"/>
      <c r="D20" s="10"/>
      <c r="E20" s="11"/>
      <c r="F20" s="155"/>
      <c r="G20" s="156"/>
      <c r="H20" s="156"/>
      <c r="I20" s="156"/>
      <c r="J20" s="156"/>
      <c r="K20" s="157"/>
    </row>
    <row r="21" spans="1:11" ht="20.45" customHeight="1">
      <c r="A21" s="8"/>
      <c r="B21" s="9"/>
      <c r="C21" s="9"/>
      <c r="D21" s="10"/>
      <c r="E21" s="11"/>
      <c r="F21" s="155"/>
      <c r="G21" s="156"/>
      <c r="H21" s="156"/>
      <c r="I21" s="156"/>
      <c r="J21" s="156"/>
      <c r="K21" s="157"/>
    </row>
    <row r="22" spans="1:11" ht="20.45" customHeight="1">
      <c r="A22" s="8"/>
      <c r="B22" s="9"/>
      <c r="C22" s="9"/>
      <c r="D22" s="10"/>
      <c r="E22" s="11"/>
      <c r="F22" s="155"/>
      <c r="G22" s="156"/>
      <c r="H22" s="156"/>
      <c r="I22" s="156"/>
      <c r="J22" s="156"/>
      <c r="K22" s="157"/>
    </row>
    <row r="23" spans="1:11" ht="20.45" customHeight="1">
      <c r="A23" s="8"/>
      <c r="B23" s="9"/>
      <c r="C23" s="9"/>
      <c r="D23" s="10"/>
      <c r="E23" s="11"/>
      <c r="F23" s="155"/>
      <c r="G23" s="156"/>
      <c r="H23" s="156"/>
      <c r="I23" s="156"/>
      <c r="J23" s="156"/>
      <c r="K23" s="157"/>
    </row>
    <row r="24" spans="1:11" ht="20.25" customHeight="1">
      <c r="A24" s="14" t="s">
        <v>11</v>
      </c>
      <c r="B24" s="15">
        <f>SUM($B7:$B23)</f>
        <v>0</v>
      </c>
      <c r="C24" s="15">
        <f>SUM($C7:$C23)</f>
        <v>0</v>
      </c>
      <c r="D24" s="15">
        <f>SUM($D7:$D23)</f>
        <v>0</v>
      </c>
      <c r="E24" s="15">
        <f>SUM($E7:$E23)</f>
        <v>0</v>
      </c>
      <c r="F24" s="106"/>
      <c r="G24" s="107"/>
      <c r="H24" s="108"/>
      <c r="I24" s="108"/>
      <c r="J24" s="108"/>
      <c r="K24" s="108"/>
    </row>
    <row r="25" spans="1:11" ht="3.75" customHeight="1">
      <c r="A25" s="13"/>
      <c r="B25" s="17"/>
      <c r="C25" s="17"/>
      <c r="D25" s="17"/>
      <c r="E25" s="18"/>
      <c r="F25" s="16"/>
      <c r="G25" s="16"/>
      <c r="H25" s="19"/>
      <c r="I25" s="19"/>
      <c r="J25" s="105"/>
      <c r="K25" s="19"/>
    </row>
    <row r="26" spans="1:11" ht="21.75" customHeight="1">
      <c r="A26" s="13"/>
      <c r="B26" s="17"/>
      <c r="C26" s="17"/>
      <c r="D26" s="17"/>
      <c r="E26" s="18"/>
      <c r="F26" s="16"/>
      <c r="G26" s="16"/>
      <c r="H26" s="19"/>
      <c r="I26" s="20"/>
      <c r="J26" s="21" t="s">
        <v>12</v>
      </c>
      <c r="K26" s="22">
        <f>$B$24+$C$24+$D$24+$E$24</f>
        <v>0</v>
      </c>
    </row>
    <row r="27" spans="1:11" ht="12" customHeight="1">
      <c r="A27" s="13"/>
      <c r="B27" s="17"/>
      <c r="C27" s="17"/>
      <c r="D27" s="17"/>
      <c r="E27" s="18"/>
      <c r="F27" s="23"/>
      <c r="G27" s="23"/>
      <c r="H27" s="17"/>
      <c r="I27" s="17"/>
      <c r="J27" s="17"/>
      <c r="K27" s="24"/>
    </row>
    <row r="28" spans="1:11" ht="26.25" customHeight="1">
      <c r="A28" s="25"/>
      <c r="B28" s="27"/>
      <c r="C28" s="27"/>
      <c r="D28" s="27"/>
      <c r="E28" s="28"/>
      <c r="F28" s="26"/>
      <c r="G28" s="28" t="s">
        <v>13</v>
      </c>
      <c r="H28" s="27"/>
      <c r="I28" s="27"/>
      <c r="J28" s="27"/>
      <c r="K28" s="27"/>
    </row>
    <row r="29" spans="1:11" ht="19.5" customHeight="1">
      <c r="A29" s="158" t="s">
        <v>14</v>
      </c>
      <c r="B29" s="159"/>
      <c r="C29" s="29"/>
      <c r="D29" s="30" t="s">
        <v>15</v>
      </c>
      <c r="E29" s="31"/>
      <c r="F29" s="164" t="s">
        <v>16</v>
      </c>
      <c r="G29" s="164"/>
      <c r="H29" s="159"/>
      <c r="I29" s="166" t="s">
        <v>17</v>
      </c>
      <c r="J29" s="167"/>
      <c r="K29" s="168"/>
    </row>
    <row r="30" spans="1:11" ht="18.75" customHeight="1">
      <c r="A30" s="160"/>
      <c r="B30" s="161"/>
      <c r="C30" s="169" t="s">
        <v>18</v>
      </c>
      <c r="D30" s="170"/>
      <c r="E30" s="32" t="s">
        <v>19</v>
      </c>
      <c r="F30" s="165"/>
      <c r="G30" s="165"/>
      <c r="H30" s="161"/>
      <c r="I30" s="169" t="s">
        <v>18</v>
      </c>
      <c r="J30" s="170"/>
      <c r="K30" s="32" t="s">
        <v>19</v>
      </c>
    </row>
    <row r="31" spans="1:11" ht="15.75" customHeight="1">
      <c r="A31" s="160"/>
      <c r="B31" s="161"/>
      <c r="C31" s="33" t="s">
        <v>20</v>
      </c>
      <c r="D31" s="34"/>
      <c r="E31" s="35">
        <f>B24</f>
        <v>0</v>
      </c>
      <c r="F31" s="165"/>
      <c r="G31" s="165"/>
      <c r="H31" s="161"/>
      <c r="I31" s="33" t="s">
        <v>7</v>
      </c>
      <c r="J31" s="34"/>
      <c r="K31" s="36"/>
    </row>
    <row r="32" spans="1:11" ht="15.75" customHeight="1">
      <c r="A32" s="160"/>
      <c r="B32" s="161"/>
      <c r="C32" s="33" t="s">
        <v>21</v>
      </c>
      <c r="D32" s="37"/>
      <c r="E32" s="35">
        <f>C24</f>
        <v>0</v>
      </c>
      <c r="F32" s="165"/>
      <c r="G32" s="165"/>
      <c r="H32" s="161"/>
      <c r="I32" s="38" t="s">
        <v>22</v>
      </c>
      <c r="J32" s="39"/>
      <c r="K32" s="40"/>
    </row>
    <row r="33" spans="1:11" ht="15.75" customHeight="1">
      <c r="A33" s="160"/>
      <c r="B33" s="161"/>
      <c r="C33" s="33" t="s">
        <v>23</v>
      </c>
      <c r="D33" s="37"/>
      <c r="E33" s="35">
        <f>D24</f>
        <v>0</v>
      </c>
      <c r="F33" s="165"/>
      <c r="G33" s="165"/>
      <c r="H33" s="161"/>
      <c r="I33" s="38" t="s">
        <v>24</v>
      </c>
      <c r="J33" s="39"/>
      <c r="K33" s="40"/>
    </row>
    <row r="34" spans="1:11" ht="15.75" customHeight="1">
      <c r="A34" s="160"/>
      <c r="B34" s="161"/>
      <c r="C34" s="33" t="s">
        <v>25</v>
      </c>
      <c r="D34" s="37"/>
      <c r="E34" s="35">
        <f>E24</f>
        <v>0</v>
      </c>
      <c r="F34" s="165"/>
      <c r="G34" s="165"/>
      <c r="H34" s="161"/>
      <c r="I34" s="38"/>
      <c r="J34" s="39"/>
      <c r="K34" s="40"/>
    </row>
    <row r="35" spans="1:11" ht="15.75" customHeight="1">
      <c r="A35" s="160"/>
      <c r="B35" s="161"/>
      <c r="C35" s="41" t="s">
        <v>12</v>
      </c>
      <c r="D35" s="42"/>
      <c r="E35" s="43">
        <f>SUM(E31:E34)</f>
        <v>0</v>
      </c>
      <c r="F35" s="165"/>
      <c r="G35" s="165"/>
      <c r="H35" s="161"/>
      <c r="I35" s="38"/>
      <c r="J35" s="39"/>
      <c r="K35" s="40"/>
    </row>
    <row r="36" spans="1:11" ht="15.75" customHeight="1">
      <c r="A36" s="160"/>
      <c r="B36" s="161"/>
      <c r="C36" s="171" t="s">
        <v>26</v>
      </c>
      <c r="D36" s="172"/>
      <c r="E36" s="173"/>
      <c r="F36" s="165"/>
      <c r="G36" s="165"/>
      <c r="H36" s="161"/>
      <c r="I36" s="38"/>
      <c r="J36" s="39"/>
      <c r="K36" s="40"/>
    </row>
    <row r="37" spans="1:11" ht="15.75" customHeight="1">
      <c r="A37" s="160"/>
      <c r="B37" s="161"/>
      <c r="C37" s="169" t="s">
        <v>18</v>
      </c>
      <c r="D37" s="170"/>
      <c r="E37" s="32" t="s">
        <v>19</v>
      </c>
      <c r="F37" s="165"/>
      <c r="G37" s="165"/>
      <c r="H37" s="161"/>
      <c r="I37" s="38"/>
      <c r="J37" s="39"/>
      <c r="K37" s="40"/>
    </row>
    <row r="38" spans="1:11" ht="15.75" customHeight="1">
      <c r="A38" s="160"/>
      <c r="B38" s="161"/>
      <c r="C38" s="44" t="s">
        <v>7</v>
      </c>
      <c r="D38" s="45"/>
      <c r="E38" s="46"/>
      <c r="F38" s="165"/>
      <c r="G38" s="165"/>
      <c r="H38" s="161"/>
      <c r="I38" s="41" t="s">
        <v>27</v>
      </c>
      <c r="J38" s="42"/>
      <c r="K38" s="43">
        <f>SUM(K31:K37)</f>
        <v>0</v>
      </c>
    </row>
    <row r="39" spans="1:11" ht="15.75" customHeight="1">
      <c r="A39" s="160"/>
      <c r="B39" s="161"/>
      <c r="C39" s="47" t="s">
        <v>24</v>
      </c>
      <c r="D39" s="48"/>
      <c r="E39" s="49"/>
      <c r="F39" s="165"/>
      <c r="G39" s="165"/>
      <c r="H39" s="161"/>
      <c r="I39" s="166" t="s">
        <v>28</v>
      </c>
      <c r="J39" s="167"/>
      <c r="K39" s="168"/>
    </row>
    <row r="40" spans="1:11" ht="18.75" customHeight="1">
      <c r="A40" s="162"/>
      <c r="B40" s="163"/>
      <c r="C40" s="41" t="s">
        <v>29</v>
      </c>
      <c r="D40" s="42"/>
      <c r="E40" s="43">
        <f>SUM(E38:E39)</f>
        <v>0</v>
      </c>
      <c r="F40" s="165"/>
      <c r="G40" s="165"/>
      <c r="H40" s="161"/>
      <c r="I40" s="38" t="s">
        <v>30</v>
      </c>
      <c r="J40" s="48"/>
      <c r="K40" s="49"/>
    </row>
    <row r="41" spans="1:11" ht="15.75" customHeight="1">
      <c r="A41" s="13"/>
      <c r="B41" s="50"/>
      <c r="C41" s="51"/>
      <c r="D41" s="52" t="s">
        <v>31</v>
      </c>
      <c r="E41" s="53">
        <f>E35+E40</f>
        <v>0</v>
      </c>
      <c r="F41" s="54"/>
      <c r="G41" s="54"/>
      <c r="H41" s="55"/>
      <c r="I41" s="51"/>
      <c r="J41" s="52" t="s">
        <v>32</v>
      </c>
      <c r="K41" s="53">
        <f>K38+K40</f>
        <v>0</v>
      </c>
    </row>
    <row r="42" spans="1:11" ht="11.25" customHeight="1">
      <c r="A42" s="13"/>
      <c r="B42" s="18"/>
      <c r="C42" s="18"/>
      <c r="D42" s="18"/>
      <c r="E42" s="18"/>
      <c r="F42" s="57"/>
      <c r="G42" s="57"/>
      <c r="H42" s="135"/>
      <c r="I42" s="135"/>
      <c r="J42" s="17"/>
      <c r="K42" s="17"/>
    </row>
    <row r="43" spans="1:11" ht="28.5">
      <c r="A43" s="25"/>
      <c r="B43" s="27"/>
      <c r="C43" s="27"/>
      <c r="D43" s="27"/>
      <c r="E43" s="28"/>
      <c r="F43" s="26"/>
      <c r="G43" s="28" t="s">
        <v>33</v>
      </c>
      <c r="H43" s="27"/>
      <c r="I43" s="27"/>
      <c r="J43" s="27"/>
      <c r="K43" s="27"/>
    </row>
    <row r="44" spans="1:11" ht="17.100000000000001" customHeight="1">
      <c r="A44" s="136" t="s">
        <v>34</v>
      </c>
      <c r="B44" s="137"/>
      <c r="C44" s="58" t="s">
        <v>35</v>
      </c>
      <c r="D44" s="58" t="s">
        <v>36</v>
      </c>
      <c r="E44" s="59" t="s">
        <v>19</v>
      </c>
      <c r="F44" s="142" t="s">
        <v>37</v>
      </c>
      <c r="G44" s="143"/>
      <c r="H44" s="137"/>
      <c r="I44" s="58" t="s">
        <v>35</v>
      </c>
      <c r="J44" s="58" t="s">
        <v>36</v>
      </c>
      <c r="K44" s="58" t="s">
        <v>19</v>
      </c>
    </row>
    <row r="45" spans="1:11" ht="17.100000000000001" customHeight="1">
      <c r="A45" s="138"/>
      <c r="B45" s="139"/>
      <c r="C45" s="60">
        <v>20000</v>
      </c>
      <c r="D45" s="61"/>
      <c r="E45" s="62">
        <f>C45*D45</f>
        <v>0</v>
      </c>
      <c r="F45" s="144"/>
      <c r="G45" s="145"/>
      <c r="H45" s="139"/>
      <c r="I45" s="60">
        <v>500</v>
      </c>
      <c r="J45" s="61"/>
      <c r="K45" s="63">
        <f>I45*J45</f>
        <v>0</v>
      </c>
    </row>
    <row r="46" spans="1:11" ht="17.100000000000001" customHeight="1">
      <c r="A46" s="138"/>
      <c r="B46" s="139"/>
      <c r="C46" s="60">
        <v>10000</v>
      </c>
      <c r="D46" s="61"/>
      <c r="E46" s="62">
        <f>C46*D46</f>
        <v>0</v>
      </c>
      <c r="F46" s="144"/>
      <c r="G46" s="145"/>
      <c r="H46" s="139"/>
      <c r="I46" s="60">
        <v>100</v>
      </c>
      <c r="J46" s="61"/>
      <c r="K46" s="63">
        <f>I46*J46</f>
        <v>0</v>
      </c>
    </row>
    <row r="47" spans="1:11" ht="17.100000000000001" customHeight="1">
      <c r="A47" s="138"/>
      <c r="B47" s="139"/>
      <c r="C47" s="60">
        <v>5000</v>
      </c>
      <c r="D47" s="61"/>
      <c r="E47" s="62">
        <f>C47*D47</f>
        <v>0</v>
      </c>
      <c r="F47" s="144"/>
      <c r="G47" s="145"/>
      <c r="H47" s="139"/>
      <c r="I47" s="60">
        <v>50</v>
      </c>
      <c r="J47" s="61"/>
      <c r="K47" s="63">
        <f>I47*J47</f>
        <v>0</v>
      </c>
    </row>
    <row r="48" spans="1:11" ht="17.100000000000001" customHeight="1">
      <c r="A48" s="138"/>
      <c r="B48" s="139"/>
      <c r="C48" s="60">
        <v>2000</v>
      </c>
      <c r="D48" s="61"/>
      <c r="E48" s="62">
        <f>C48*D48</f>
        <v>0</v>
      </c>
      <c r="F48" s="144"/>
      <c r="G48" s="145"/>
      <c r="H48" s="139"/>
      <c r="I48" s="60">
        <v>10</v>
      </c>
      <c r="J48" s="61"/>
      <c r="K48" s="63">
        <f>I48*J48</f>
        <v>0</v>
      </c>
    </row>
    <row r="49" spans="1:11" ht="17.100000000000001" customHeight="1">
      <c r="A49" s="140"/>
      <c r="B49" s="141"/>
      <c r="C49" s="60">
        <v>1000</v>
      </c>
      <c r="D49" s="61"/>
      <c r="E49" s="62">
        <f>C49*D49</f>
        <v>0</v>
      </c>
      <c r="F49" s="146"/>
      <c r="G49" s="147"/>
      <c r="H49" s="141"/>
      <c r="I49" s="60"/>
      <c r="J49" s="64"/>
      <c r="K49" s="63"/>
    </row>
    <row r="50" spans="1:11" ht="18.75">
      <c r="A50" s="13"/>
      <c r="B50" s="65"/>
      <c r="C50" s="66"/>
      <c r="D50" s="67" t="s">
        <v>38</v>
      </c>
      <c r="E50" s="68">
        <f>SUM(E45:E49)</f>
        <v>0</v>
      </c>
      <c r="F50" s="54"/>
      <c r="G50" s="54"/>
      <c r="H50" s="55"/>
      <c r="I50" s="66"/>
      <c r="J50" s="67" t="s">
        <v>39</v>
      </c>
      <c r="K50" s="68">
        <f>SUM(K45:K49)</f>
        <v>0</v>
      </c>
    </row>
    <row r="51" spans="1:11" ht="18.75">
      <c r="A51" s="13"/>
      <c r="B51" s="18"/>
      <c r="C51" s="18"/>
      <c r="D51" s="18"/>
      <c r="E51" s="18"/>
      <c r="F51" s="16"/>
      <c r="G51" s="16"/>
      <c r="H51" s="65"/>
      <c r="I51" s="65"/>
      <c r="J51" s="17"/>
      <c r="K51" s="17"/>
    </row>
    <row r="52" spans="1:11" ht="18" customHeight="1">
      <c r="A52" s="13"/>
      <c r="B52" s="18"/>
      <c r="C52" s="18"/>
      <c r="D52" s="18"/>
      <c r="E52" s="18"/>
      <c r="F52" s="69"/>
      <c r="G52" s="69"/>
      <c r="H52" s="70" t="s">
        <v>40</v>
      </c>
      <c r="I52" s="71"/>
      <c r="J52" s="69"/>
      <c r="K52" s="17"/>
    </row>
    <row r="53" spans="1:11" ht="4.5" customHeight="1">
      <c r="A53" s="13"/>
      <c r="B53" s="18"/>
      <c r="C53" s="18"/>
      <c r="D53" s="18"/>
      <c r="E53" s="18"/>
      <c r="F53" s="16"/>
      <c r="G53" s="16"/>
      <c r="H53" s="17"/>
      <c r="I53" s="17"/>
      <c r="J53" s="17"/>
      <c r="K53" s="17"/>
    </row>
    <row r="54" spans="1:11" ht="15" customHeight="1">
      <c r="A54" s="72"/>
      <c r="B54" s="148" t="s">
        <v>41</v>
      </c>
      <c r="C54" s="149"/>
      <c r="D54" s="150"/>
      <c r="E54" s="18"/>
      <c r="F54" s="73"/>
      <c r="G54" s="73"/>
      <c r="H54" s="74" t="s">
        <v>42</v>
      </c>
      <c r="I54" s="75">
        <v>0</v>
      </c>
      <c r="J54" s="76"/>
      <c r="K54" s="17"/>
    </row>
    <row r="55" spans="1:11" ht="4.5" customHeight="1">
      <c r="A55" s="72"/>
      <c r="B55" s="151"/>
      <c r="C55" s="152"/>
      <c r="D55" s="153"/>
      <c r="E55" s="18"/>
      <c r="F55" s="16"/>
      <c r="G55" s="16"/>
      <c r="H55" s="17"/>
      <c r="I55" s="77"/>
      <c r="J55" s="17"/>
      <c r="K55" s="17"/>
    </row>
    <row r="56" spans="1:11" ht="18.75" customHeight="1">
      <c r="A56" s="78"/>
      <c r="B56" s="154"/>
      <c r="C56" s="154"/>
      <c r="D56" s="154"/>
      <c r="E56" s="18"/>
      <c r="F56" s="79"/>
      <c r="G56" s="79"/>
      <c r="H56" s="80" t="s">
        <v>43</v>
      </c>
      <c r="I56" s="81">
        <f>E50+K50</f>
        <v>0</v>
      </c>
      <c r="J56" s="82"/>
      <c r="K56" s="17"/>
    </row>
    <row r="57" spans="1:11" ht="4.5" customHeight="1">
      <c r="A57" s="78"/>
      <c r="B57" s="154"/>
      <c r="C57" s="154"/>
      <c r="D57" s="154"/>
      <c r="E57" s="18"/>
      <c r="F57" s="56"/>
      <c r="G57" s="56"/>
      <c r="H57" s="57"/>
      <c r="I57" s="83"/>
      <c r="J57" s="65"/>
      <c r="K57" s="17"/>
    </row>
    <row r="58" spans="1:11" ht="18.75">
      <c r="A58" s="78"/>
      <c r="B58" s="154"/>
      <c r="C58" s="154"/>
      <c r="D58" s="154"/>
      <c r="E58" s="18"/>
      <c r="F58" s="79"/>
      <c r="G58" s="79"/>
      <c r="H58" s="80" t="s">
        <v>12</v>
      </c>
      <c r="I58" s="81">
        <f>K26</f>
        <v>0</v>
      </c>
      <c r="J58" s="82"/>
      <c r="K58" s="24"/>
    </row>
    <row r="59" spans="1:11" ht="4.5" customHeight="1">
      <c r="A59" s="78"/>
      <c r="B59" s="154"/>
      <c r="C59" s="154"/>
      <c r="D59" s="154"/>
      <c r="E59" s="18"/>
      <c r="F59" s="56"/>
      <c r="G59" s="56"/>
      <c r="H59" s="57"/>
      <c r="I59" s="83"/>
      <c r="J59" s="18"/>
      <c r="K59" s="17"/>
    </row>
    <row r="60" spans="1:11" ht="18.75">
      <c r="A60" s="78"/>
      <c r="B60" s="154"/>
      <c r="C60" s="154"/>
      <c r="D60" s="154"/>
      <c r="E60" s="18"/>
      <c r="F60" s="84"/>
      <c r="G60" s="84"/>
      <c r="H60" s="85" t="s">
        <v>26</v>
      </c>
      <c r="I60" s="86">
        <f>E38</f>
        <v>0</v>
      </c>
      <c r="J60" s="82"/>
      <c r="K60" s="17"/>
    </row>
    <row r="61" spans="1:11" ht="4.5" customHeight="1">
      <c r="A61" s="78"/>
      <c r="B61" s="154"/>
      <c r="C61" s="154"/>
      <c r="D61" s="154"/>
      <c r="E61" s="18"/>
      <c r="F61" s="13"/>
      <c r="G61" s="13"/>
      <c r="H61" s="16"/>
      <c r="I61" s="77"/>
      <c r="J61" s="17"/>
      <c r="K61" s="17"/>
    </row>
    <row r="62" spans="1:11" ht="18.75">
      <c r="A62" s="78"/>
      <c r="B62" s="154"/>
      <c r="C62" s="154"/>
      <c r="D62" s="154"/>
      <c r="E62" s="18"/>
      <c r="F62" s="84"/>
      <c r="G62" s="84"/>
      <c r="H62" s="85" t="s">
        <v>17</v>
      </c>
      <c r="I62" s="86">
        <f>K31+K40</f>
        <v>0</v>
      </c>
      <c r="J62" s="82"/>
      <c r="K62" s="17"/>
    </row>
    <row r="63" spans="1:11" ht="4.5" customHeight="1">
      <c r="A63" s="78"/>
      <c r="B63" s="154"/>
      <c r="C63" s="154"/>
      <c r="D63" s="154"/>
      <c r="E63" s="18"/>
      <c r="F63" s="13"/>
      <c r="G63" s="13"/>
      <c r="H63" s="16"/>
      <c r="I63" s="77"/>
      <c r="J63" s="17"/>
      <c r="K63" s="17"/>
    </row>
    <row r="64" spans="1:11" ht="18.75">
      <c r="A64" s="78"/>
      <c r="B64" s="154"/>
      <c r="C64" s="154"/>
      <c r="D64" s="154"/>
      <c r="E64" s="18"/>
      <c r="F64" s="84"/>
      <c r="G64" s="84"/>
      <c r="H64" s="85" t="s">
        <v>44</v>
      </c>
      <c r="I64" s="86">
        <f>I54+I58+I60-I62</f>
        <v>0</v>
      </c>
      <c r="J64" s="87"/>
      <c r="K64" s="17"/>
    </row>
    <row r="65" spans="1:11" ht="4.5" customHeight="1">
      <c r="A65" s="13"/>
      <c r="B65" s="154"/>
      <c r="C65" s="154"/>
      <c r="D65" s="154"/>
      <c r="E65" s="18"/>
      <c r="F65" s="16"/>
      <c r="G65" s="16"/>
      <c r="H65" s="18"/>
      <c r="I65" s="77"/>
      <c r="J65" s="17"/>
      <c r="K65" s="17"/>
    </row>
    <row r="66" spans="1:11" ht="18.75">
      <c r="A66" s="13"/>
      <c r="B66" s="154"/>
      <c r="C66" s="154"/>
      <c r="D66" s="154"/>
      <c r="E66" s="18"/>
      <c r="F66" s="73"/>
      <c r="G66" s="73"/>
      <c r="H66" s="74" t="s">
        <v>45</v>
      </c>
      <c r="I66" s="86">
        <f>I64-I54</f>
        <v>0</v>
      </c>
      <c r="J66" s="88"/>
      <c r="K66" s="17"/>
    </row>
    <row r="67" spans="1:11" ht="4.5" customHeight="1">
      <c r="A67" s="78"/>
      <c r="B67" s="154"/>
      <c r="C67" s="154"/>
      <c r="D67" s="154"/>
      <c r="E67" s="18"/>
      <c r="F67" s="16"/>
      <c r="G67" s="16"/>
      <c r="H67" s="16"/>
      <c r="I67" s="77"/>
      <c r="J67" s="17"/>
      <c r="K67" s="17"/>
    </row>
    <row r="68" spans="1:11" ht="18.75">
      <c r="A68" s="13"/>
      <c r="B68" s="154"/>
      <c r="C68" s="154"/>
      <c r="D68" s="154"/>
      <c r="E68" s="18"/>
      <c r="F68" s="79"/>
      <c r="G68" s="79"/>
      <c r="H68" s="80" t="s">
        <v>46</v>
      </c>
      <c r="I68" s="86">
        <f>I54+E31+(E38-(K31+K40))</f>
        <v>0</v>
      </c>
      <c r="J68" s="88"/>
      <c r="K68" s="17"/>
    </row>
    <row r="69" spans="1:11" ht="4.5" customHeight="1">
      <c r="A69" s="78"/>
      <c r="B69" s="154"/>
      <c r="C69" s="154"/>
      <c r="D69" s="154"/>
      <c r="E69" s="18"/>
      <c r="F69" s="16"/>
      <c r="G69" s="16"/>
      <c r="H69" s="16"/>
      <c r="I69" s="77"/>
      <c r="J69" s="17"/>
      <c r="K69" s="17"/>
    </row>
    <row r="70" spans="1:11" ht="18.75" customHeight="1">
      <c r="A70" s="78"/>
      <c r="B70" s="154"/>
      <c r="C70" s="154"/>
      <c r="D70" s="154"/>
      <c r="E70" s="18"/>
      <c r="F70" s="79"/>
      <c r="G70" s="79"/>
      <c r="H70" s="80" t="s">
        <v>47</v>
      </c>
      <c r="I70" s="89">
        <f>I56-I68</f>
        <v>0</v>
      </c>
      <c r="J70" s="90"/>
      <c r="K70" s="17"/>
    </row>
    <row r="71" spans="1:11" ht="15" customHeight="1">
      <c r="A71" s="91"/>
      <c r="B71" s="92"/>
      <c r="C71" s="92"/>
      <c r="D71" s="92"/>
      <c r="E71" s="93"/>
      <c r="F71" s="94"/>
      <c r="G71" s="94"/>
      <c r="H71" s="95"/>
      <c r="I71" s="95"/>
      <c r="J71" s="95"/>
      <c r="K71" s="95"/>
    </row>
    <row r="72" spans="1:11" ht="15" customHeight="1">
      <c r="A72" s="91"/>
      <c r="B72" s="92"/>
      <c r="C72" s="92"/>
      <c r="D72" s="92"/>
      <c r="E72" s="93"/>
      <c r="F72" s="94"/>
      <c r="G72" s="94"/>
      <c r="H72" s="95"/>
      <c r="I72" s="95"/>
      <c r="J72" s="95"/>
      <c r="K72" s="95"/>
    </row>
    <row r="73" spans="1:11" ht="15" customHeight="1">
      <c r="A73" s="91"/>
      <c r="B73" s="92"/>
      <c r="C73" s="92"/>
      <c r="D73" s="92"/>
      <c r="E73" s="93"/>
      <c r="F73" s="94"/>
      <c r="G73" s="94"/>
      <c r="H73" s="95"/>
      <c r="I73" s="95"/>
      <c r="J73" s="95"/>
      <c r="K73" s="95"/>
    </row>
    <row r="74" spans="1:11" ht="15" customHeight="1">
      <c r="A74" s="91"/>
      <c r="B74" s="92"/>
      <c r="C74" s="92"/>
      <c r="D74" s="92"/>
      <c r="E74" s="93"/>
      <c r="F74" s="94"/>
      <c r="G74" s="94"/>
      <c r="H74" s="95"/>
      <c r="I74" s="95"/>
      <c r="J74" s="95"/>
      <c r="K74" s="95"/>
    </row>
    <row r="75" spans="1:11" ht="15.75" customHeight="1">
      <c r="A75" s="91"/>
      <c r="B75" s="92"/>
      <c r="C75" s="92"/>
      <c r="D75" s="92"/>
      <c r="E75" s="93"/>
      <c r="F75" s="94"/>
      <c r="G75" s="94"/>
      <c r="H75" s="95"/>
      <c r="I75" s="95"/>
      <c r="J75" s="95"/>
      <c r="K75" s="95"/>
    </row>
    <row r="76" spans="1:11" ht="14.25" customHeight="1">
      <c r="A76" s="91"/>
      <c r="B76" s="92"/>
      <c r="C76" s="92"/>
      <c r="D76" s="92"/>
      <c r="E76" s="93"/>
      <c r="F76" s="94"/>
      <c r="G76" s="94"/>
      <c r="H76" s="95"/>
      <c r="I76" s="95"/>
      <c r="J76" s="95"/>
      <c r="K76" s="95"/>
    </row>
    <row r="77" spans="1:11">
      <c r="A77" s="96"/>
      <c r="B77" s="98"/>
      <c r="C77" s="98"/>
      <c r="D77" s="98"/>
      <c r="E77" s="98"/>
      <c r="F77" s="97"/>
      <c r="G77" s="97"/>
      <c r="H77" s="99"/>
      <c r="I77" s="99"/>
      <c r="J77" s="99"/>
      <c r="K77" s="99"/>
    </row>
    <row r="78" spans="1:11">
      <c r="D78" s="102"/>
      <c r="E78" s="102"/>
    </row>
    <row r="79" spans="1:11">
      <c r="D79" s="102"/>
      <c r="E79" s="102"/>
      <c r="H79" s="102"/>
    </row>
    <row r="80" spans="1:11">
      <c r="D80" s="102"/>
      <c r="E80" s="102"/>
      <c r="H80" s="102"/>
    </row>
    <row r="81" spans="4:11">
      <c r="D81" s="102"/>
      <c r="E81" s="102"/>
      <c r="H81" s="102"/>
      <c r="I81" s="102"/>
      <c r="J81" s="102"/>
      <c r="K81" s="102"/>
    </row>
    <row r="82" spans="4:11">
      <c r="D82" s="102"/>
      <c r="E82" s="102"/>
      <c r="H82" s="102"/>
      <c r="I82" s="102"/>
      <c r="J82" s="102"/>
      <c r="K82" s="102"/>
    </row>
    <row r="83" spans="4:11">
      <c r="D83" s="102"/>
      <c r="E83" s="102"/>
      <c r="H83" s="102"/>
      <c r="I83" s="102"/>
      <c r="J83" s="102"/>
      <c r="K83" s="102"/>
    </row>
    <row r="84" spans="4:11">
      <c r="D84" s="102"/>
      <c r="E84" s="102"/>
      <c r="H84" s="102"/>
      <c r="I84" s="102"/>
      <c r="J84" s="102"/>
      <c r="K84" s="102"/>
    </row>
    <row r="85" spans="4:11">
      <c r="D85" s="102"/>
      <c r="E85" s="102"/>
      <c r="H85" s="102"/>
      <c r="I85" s="102"/>
      <c r="J85" s="102"/>
      <c r="K85" s="102"/>
    </row>
    <row r="86" spans="4:11">
      <c r="D86" s="102"/>
      <c r="E86" s="102"/>
      <c r="H86" s="102"/>
      <c r="I86" s="102"/>
      <c r="J86" s="102"/>
      <c r="K86" s="102"/>
    </row>
    <row r="87" spans="4:11">
      <c r="D87" s="102"/>
      <c r="E87" s="102"/>
      <c r="H87" s="102"/>
      <c r="I87" s="102"/>
      <c r="J87" s="102"/>
      <c r="K87" s="102"/>
    </row>
    <row r="88" spans="4:11">
      <c r="D88" s="102"/>
      <c r="E88" s="102"/>
      <c r="H88" s="102"/>
      <c r="I88" s="102"/>
      <c r="J88" s="102"/>
      <c r="K88" s="102"/>
    </row>
  </sheetData>
  <mergeCells count="39">
    <mergeCell ref="F9:K9"/>
    <mergeCell ref="A1:B1"/>
    <mergeCell ref="C1:E1"/>
    <mergeCell ref="F1:G1"/>
    <mergeCell ref="H1:K1"/>
    <mergeCell ref="A3:K3"/>
    <mergeCell ref="A4:K4"/>
    <mergeCell ref="A5:A6"/>
    <mergeCell ref="B5:E5"/>
    <mergeCell ref="F5:K6"/>
    <mergeCell ref="F7:K7"/>
    <mergeCell ref="F8:K8"/>
    <mergeCell ref="F21:K21"/>
    <mergeCell ref="F10:K10"/>
    <mergeCell ref="F11:K11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22:K22"/>
    <mergeCell ref="F23:K23"/>
    <mergeCell ref="A29:B40"/>
    <mergeCell ref="F29:H40"/>
    <mergeCell ref="I29:K29"/>
    <mergeCell ref="C30:D30"/>
    <mergeCell ref="I30:J30"/>
    <mergeCell ref="C36:E36"/>
    <mergeCell ref="C37:D37"/>
    <mergeCell ref="I39:K39"/>
    <mergeCell ref="H42:I42"/>
    <mergeCell ref="A44:B49"/>
    <mergeCell ref="F44:H49"/>
    <mergeCell ref="B54:D55"/>
    <mergeCell ref="B56:D70"/>
  </mergeCells>
  <conditionalFormatting sqref="I70">
    <cfRule type="expression" dxfId="53" priority="1">
      <formula>$I70=0</formula>
    </cfRule>
    <cfRule type="expression" dxfId="52" priority="2">
      <formula>$I70&gt;=1</formula>
    </cfRule>
    <cfRule type="expression" dxfId="51" priority="3">
      <formula>$I70&lt;=-1</formula>
    </cfRule>
  </conditionalFormatting>
  <pageMargins left="0.25" right="0.25" top="0.75" bottom="0.75" header="0.3" footer="0.3"/>
  <pageSetup paperSize="9" scale="53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DB03-4D55-4FE7-BF01-94E0443C8745}">
  <sheetPr>
    <tabColor theme="7"/>
    <pageSetUpPr fitToPage="1"/>
  </sheetPr>
  <dimension ref="A1:K88"/>
  <sheetViews>
    <sheetView tabSelected="1" showWhiteSpace="0" view="pageLayout" topLeftCell="A29" zoomScale="80" zoomScaleNormal="80" zoomScalePageLayoutView="80" workbookViewId="0">
      <selection activeCell="G72" sqref="G72"/>
    </sheetView>
  </sheetViews>
  <sheetFormatPr defaultColWidth="20.7109375" defaultRowHeight="15"/>
  <cols>
    <col min="1" max="1" width="13.5703125" style="100" customWidth="1"/>
    <col min="2" max="3" width="13.7109375" style="102" customWidth="1"/>
    <col min="4" max="4" width="13.7109375" style="103" customWidth="1"/>
    <col min="5" max="5" width="14.7109375" style="104" customWidth="1"/>
    <col min="6" max="7" width="13.7109375" style="101" customWidth="1"/>
    <col min="8" max="10" width="13.7109375" style="103" customWidth="1"/>
    <col min="11" max="11" width="28.140625" style="103" customWidth="1"/>
    <col min="12" max="14" width="6.7109375" customWidth="1"/>
    <col min="15" max="17" width="10.7109375" customWidth="1"/>
    <col min="18" max="18" width="17.42578125" customWidth="1"/>
    <col min="19" max="19" width="10.7109375" customWidth="1"/>
    <col min="20" max="23" width="6.7109375" customWidth="1"/>
    <col min="24" max="26" width="10.7109375" customWidth="1"/>
    <col min="27" max="27" width="17.42578125" customWidth="1"/>
    <col min="28" max="28" width="10.7109375" customWidth="1"/>
    <col min="29" max="32" width="6.7109375" customWidth="1"/>
    <col min="33" max="35" width="10.7109375" customWidth="1"/>
    <col min="36" max="36" width="17.42578125" customWidth="1"/>
    <col min="37" max="37" width="10.7109375" customWidth="1"/>
    <col min="38" max="41" width="6.7109375" customWidth="1"/>
    <col min="42" max="44" width="10.7109375" customWidth="1"/>
    <col min="45" max="45" width="17.42578125" customWidth="1"/>
    <col min="46" max="46" width="10.7109375" customWidth="1"/>
    <col min="47" max="50" width="6.7109375" customWidth="1"/>
    <col min="51" max="53" width="10.7109375" customWidth="1"/>
    <col min="54" max="54" width="17.42578125" customWidth="1"/>
    <col min="55" max="55" width="10.7109375" customWidth="1"/>
    <col min="56" max="59" width="6.7109375" customWidth="1"/>
    <col min="60" max="62" width="10.7109375" customWidth="1"/>
    <col min="63" max="63" width="17.42578125" customWidth="1"/>
    <col min="64" max="64" width="10.7109375" customWidth="1"/>
    <col min="65" max="68" width="6.7109375" customWidth="1"/>
    <col min="69" max="71" width="10.7109375" customWidth="1"/>
    <col min="72" max="72" width="17.42578125" customWidth="1"/>
    <col min="73" max="73" width="10.7109375" customWidth="1"/>
    <col min="74" max="77" width="6.7109375" customWidth="1"/>
    <col min="78" max="80" width="10.7109375" customWidth="1"/>
    <col min="81" max="81" width="17.42578125" customWidth="1"/>
    <col min="82" max="82" width="10.7109375" customWidth="1"/>
    <col min="83" max="86" width="6.7109375" customWidth="1"/>
    <col min="87" max="89" width="10.7109375" customWidth="1"/>
    <col min="90" max="90" width="17.42578125" customWidth="1"/>
    <col min="91" max="91" width="10.7109375" customWidth="1"/>
    <col min="92" max="95" width="6.7109375" customWidth="1"/>
    <col min="96" max="98" width="10.7109375" customWidth="1"/>
    <col min="99" max="99" width="17.42578125" customWidth="1"/>
    <col min="100" max="100" width="10.7109375" customWidth="1"/>
    <col min="101" max="104" width="6.7109375" customWidth="1"/>
    <col min="105" max="107" width="10.7109375" customWidth="1"/>
    <col min="108" max="108" width="17.42578125" customWidth="1"/>
    <col min="109" max="109" width="10.7109375" customWidth="1"/>
    <col min="110" max="113" width="6.7109375" customWidth="1"/>
    <col min="114" max="116" width="10.7109375" customWidth="1"/>
    <col min="117" max="117" width="17.42578125" customWidth="1"/>
    <col min="118" max="118" width="10.7109375" customWidth="1"/>
    <col min="119" max="122" width="6.7109375" customWidth="1"/>
    <col min="123" max="125" width="10.7109375" customWidth="1"/>
    <col min="126" max="126" width="17.42578125" customWidth="1"/>
    <col min="127" max="127" width="10.7109375" customWidth="1"/>
    <col min="128" max="131" width="6.7109375" customWidth="1"/>
    <col min="132" max="134" width="10.7109375" customWidth="1"/>
    <col min="135" max="135" width="17.42578125" customWidth="1"/>
    <col min="136" max="136" width="10.7109375" customWidth="1"/>
    <col min="137" max="140" width="6.7109375" customWidth="1"/>
    <col min="141" max="143" width="10.7109375" customWidth="1"/>
    <col min="144" max="144" width="17.42578125" customWidth="1"/>
    <col min="145" max="145" width="10.7109375" customWidth="1"/>
    <col min="146" max="149" width="6.7109375" customWidth="1"/>
    <col min="150" max="152" width="10.7109375" customWidth="1"/>
    <col min="153" max="153" width="17.42578125" customWidth="1"/>
    <col min="154" max="154" width="10.7109375" customWidth="1"/>
    <col min="155" max="158" width="6.7109375" customWidth="1"/>
    <col min="159" max="161" width="10.7109375" customWidth="1"/>
    <col min="162" max="162" width="17.42578125" customWidth="1"/>
    <col min="163" max="163" width="10.7109375" customWidth="1"/>
    <col min="164" max="167" width="6.7109375" customWidth="1"/>
    <col min="168" max="170" width="10.7109375" customWidth="1"/>
    <col min="171" max="171" width="17.42578125" customWidth="1"/>
    <col min="172" max="172" width="10.7109375" customWidth="1"/>
    <col min="173" max="176" width="6.7109375" customWidth="1"/>
    <col min="177" max="179" width="10.7109375" customWidth="1"/>
    <col min="180" max="180" width="17.42578125" customWidth="1"/>
    <col min="181" max="181" width="10.7109375" customWidth="1"/>
    <col min="182" max="185" width="6.7109375" customWidth="1"/>
    <col min="186" max="188" width="10.7109375" customWidth="1"/>
    <col min="189" max="189" width="17.42578125" customWidth="1"/>
    <col min="190" max="190" width="10.7109375" customWidth="1"/>
    <col min="191" max="194" width="6.7109375" customWidth="1"/>
    <col min="195" max="197" width="10.7109375" customWidth="1"/>
    <col min="198" max="198" width="17.42578125" customWidth="1"/>
    <col min="199" max="199" width="10.7109375" customWidth="1"/>
    <col min="200" max="203" width="6.7109375" customWidth="1"/>
    <col min="204" max="206" width="10.7109375" customWidth="1"/>
    <col min="207" max="207" width="17.42578125" customWidth="1"/>
    <col min="208" max="208" width="10.7109375" customWidth="1"/>
    <col min="209" max="212" width="6.7109375" customWidth="1"/>
    <col min="213" max="215" width="10.7109375" customWidth="1"/>
    <col min="216" max="216" width="17.42578125" customWidth="1"/>
    <col min="217" max="217" width="10.7109375" customWidth="1"/>
    <col min="218" max="221" width="6.7109375" customWidth="1"/>
    <col min="222" max="224" width="10.7109375" customWidth="1"/>
    <col min="225" max="225" width="17.42578125" customWidth="1"/>
    <col min="226" max="226" width="10.7109375" customWidth="1"/>
    <col min="227" max="230" width="6.7109375" customWidth="1"/>
    <col min="231" max="233" width="10.7109375" customWidth="1"/>
    <col min="234" max="234" width="17.42578125" customWidth="1"/>
    <col min="235" max="235" width="10.7109375" customWidth="1"/>
    <col min="236" max="239" width="6.7109375" customWidth="1"/>
    <col min="240" max="242" width="10.7109375" customWidth="1"/>
    <col min="243" max="243" width="17.42578125" customWidth="1"/>
    <col min="244" max="244" width="10.7109375" customWidth="1"/>
    <col min="245" max="248" width="6.7109375" customWidth="1"/>
    <col min="249" max="251" width="10.7109375" customWidth="1"/>
    <col min="252" max="252" width="17.42578125" customWidth="1"/>
    <col min="253" max="253" width="10.7109375" customWidth="1"/>
    <col min="254" max="257" width="6.7109375" customWidth="1"/>
    <col min="258" max="260" width="10.7109375" customWidth="1"/>
    <col min="261" max="261" width="17.42578125" customWidth="1"/>
    <col min="262" max="262" width="10.7109375" customWidth="1"/>
    <col min="263" max="266" width="6.7109375" customWidth="1"/>
    <col min="267" max="269" width="10.7109375" customWidth="1"/>
    <col min="270" max="270" width="17.42578125" customWidth="1"/>
    <col min="271" max="271" width="10.7109375" customWidth="1"/>
    <col min="272" max="275" width="6.7109375" customWidth="1"/>
    <col min="276" max="278" width="10.7109375" customWidth="1"/>
    <col min="279" max="279" width="17.42578125" customWidth="1"/>
    <col min="280" max="280" width="10.7109375" customWidth="1"/>
    <col min="281" max="284" width="6.7109375" customWidth="1"/>
    <col min="285" max="287" width="10.7109375" customWidth="1"/>
    <col min="288" max="288" width="17.42578125" customWidth="1"/>
    <col min="289" max="289" width="10.7109375" customWidth="1"/>
    <col min="290" max="293" width="6.7109375" customWidth="1"/>
    <col min="294" max="296" width="10.7109375" customWidth="1"/>
    <col min="297" max="297" width="17.42578125" customWidth="1"/>
    <col min="298" max="298" width="10.7109375" customWidth="1"/>
    <col min="299" max="302" width="6.7109375" customWidth="1"/>
    <col min="303" max="305" width="10.7109375" customWidth="1"/>
    <col min="306" max="306" width="17.42578125" customWidth="1"/>
    <col min="307" max="307" width="10.7109375" customWidth="1"/>
    <col min="308" max="311" width="6.7109375" customWidth="1"/>
    <col min="312" max="314" width="10.7109375" customWidth="1"/>
    <col min="315" max="315" width="17.42578125" customWidth="1"/>
    <col min="316" max="316" width="10.7109375" customWidth="1"/>
    <col min="317" max="320" width="6.7109375" customWidth="1"/>
    <col min="321" max="323" width="10.7109375" customWidth="1"/>
    <col min="324" max="324" width="17.42578125" customWidth="1"/>
    <col min="325" max="325" width="10.7109375" customWidth="1"/>
    <col min="326" max="329" width="6.7109375" customWidth="1"/>
    <col min="330" max="332" width="10.7109375" customWidth="1"/>
    <col min="333" max="333" width="17.42578125" customWidth="1"/>
    <col min="334" max="334" width="10.7109375" customWidth="1"/>
    <col min="335" max="338" width="6.7109375" customWidth="1"/>
    <col min="339" max="341" width="10.7109375" customWidth="1"/>
    <col min="342" max="342" width="17.42578125" customWidth="1"/>
    <col min="343" max="343" width="10.7109375" customWidth="1"/>
    <col min="344" max="347" width="6.7109375" customWidth="1"/>
    <col min="348" max="350" width="10.7109375" customWidth="1"/>
    <col min="351" max="351" width="17.42578125" customWidth="1"/>
    <col min="352" max="352" width="10.7109375" customWidth="1"/>
    <col min="353" max="356" width="6.7109375" customWidth="1"/>
    <col min="357" max="359" width="10.7109375" customWidth="1"/>
    <col min="360" max="360" width="17.42578125" customWidth="1"/>
    <col min="361" max="361" width="10.7109375" customWidth="1"/>
    <col min="362" max="365" width="6.7109375" customWidth="1"/>
    <col min="366" max="368" width="10.7109375" customWidth="1"/>
    <col min="369" max="369" width="17.42578125" customWidth="1"/>
    <col min="370" max="370" width="10.7109375" customWidth="1"/>
    <col min="371" max="374" width="6.7109375" customWidth="1"/>
    <col min="375" max="377" width="10.7109375" customWidth="1"/>
    <col min="378" max="378" width="17.42578125" customWidth="1"/>
    <col min="379" max="379" width="10.7109375" customWidth="1"/>
    <col min="380" max="383" width="6.7109375" customWidth="1"/>
    <col min="384" max="386" width="10.7109375" customWidth="1"/>
    <col min="387" max="387" width="17.42578125" customWidth="1"/>
    <col min="388" max="388" width="10.7109375" customWidth="1"/>
    <col min="389" max="392" width="6.7109375" customWidth="1"/>
    <col min="393" max="395" width="10.7109375" customWidth="1"/>
    <col min="396" max="396" width="17.42578125" customWidth="1"/>
    <col min="397" max="397" width="10.7109375" customWidth="1"/>
    <col min="398" max="401" width="6.7109375" customWidth="1"/>
    <col min="402" max="404" width="10.7109375" customWidth="1"/>
    <col min="405" max="405" width="17.42578125" customWidth="1"/>
    <col min="406" max="406" width="10.7109375" customWidth="1"/>
    <col min="407" max="410" width="6.7109375" customWidth="1"/>
    <col min="411" max="413" width="10.7109375" customWidth="1"/>
    <col min="414" max="414" width="17.42578125" customWidth="1"/>
    <col min="415" max="415" width="10.7109375" customWidth="1"/>
    <col min="416" max="419" width="6.7109375" customWidth="1"/>
    <col min="420" max="422" width="10.7109375" customWidth="1"/>
    <col min="423" max="423" width="17.42578125" customWidth="1"/>
    <col min="424" max="424" width="10.7109375" customWidth="1"/>
    <col min="425" max="428" width="6.7109375" customWidth="1"/>
    <col min="429" max="431" width="10.7109375" customWidth="1"/>
    <col min="432" max="432" width="17.42578125" customWidth="1"/>
    <col min="433" max="433" width="10.7109375" customWidth="1"/>
    <col min="434" max="437" width="6.7109375" customWidth="1"/>
    <col min="438" max="440" width="10.7109375" customWidth="1"/>
    <col min="441" max="441" width="17.42578125" customWidth="1"/>
    <col min="442" max="442" width="10.7109375" customWidth="1"/>
    <col min="443" max="446" width="6.7109375" customWidth="1"/>
    <col min="447" max="449" width="10.7109375" customWidth="1"/>
    <col min="450" max="450" width="17.42578125" customWidth="1"/>
    <col min="451" max="451" width="10.7109375" customWidth="1"/>
    <col min="452" max="455" width="6.7109375" customWidth="1"/>
    <col min="456" max="458" width="10.7109375" customWidth="1"/>
    <col min="459" max="459" width="17.42578125" customWidth="1"/>
    <col min="460" max="460" width="10.7109375" customWidth="1"/>
    <col min="461" max="464" width="6.7109375" customWidth="1"/>
    <col min="465" max="467" width="10.7109375" customWidth="1"/>
    <col min="468" max="468" width="17.42578125" customWidth="1"/>
    <col min="469" max="469" width="10.7109375" customWidth="1"/>
    <col min="470" max="473" width="6.7109375" customWidth="1"/>
    <col min="474" max="476" width="10.7109375" customWidth="1"/>
    <col min="477" max="477" width="17.42578125" customWidth="1"/>
    <col min="478" max="478" width="10.7109375" customWidth="1"/>
    <col min="479" max="482" width="6.7109375" customWidth="1"/>
    <col min="483" max="485" width="10.7109375" customWidth="1"/>
    <col min="486" max="486" width="17.42578125" customWidth="1"/>
    <col min="487" max="487" width="10.7109375" customWidth="1"/>
    <col min="488" max="491" width="6.7109375" customWidth="1"/>
    <col min="492" max="494" width="10.7109375" customWidth="1"/>
    <col min="495" max="495" width="17.42578125" customWidth="1"/>
    <col min="496" max="496" width="10.7109375" customWidth="1"/>
    <col min="497" max="500" width="6.7109375" customWidth="1"/>
    <col min="501" max="503" width="10.7109375" customWidth="1"/>
    <col min="504" max="504" width="17.42578125" customWidth="1"/>
    <col min="505" max="505" width="10.7109375" customWidth="1"/>
    <col min="506" max="509" width="6.7109375" customWidth="1"/>
    <col min="510" max="512" width="10.7109375" customWidth="1"/>
    <col min="513" max="513" width="17.42578125" customWidth="1"/>
    <col min="514" max="514" width="10.7109375" customWidth="1"/>
    <col min="515" max="518" width="6.7109375" customWidth="1"/>
    <col min="519" max="521" width="10.7109375" customWidth="1"/>
    <col min="522" max="522" width="17.42578125" customWidth="1"/>
    <col min="523" max="523" width="10.7109375" customWidth="1"/>
    <col min="524" max="527" width="6.7109375" customWidth="1"/>
    <col min="528" max="530" width="10.7109375" customWidth="1"/>
    <col min="531" max="531" width="17.42578125" customWidth="1"/>
    <col min="532" max="532" width="10.7109375" customWidth="1"/>
    <col min="533" max="536" width="6.7109375" customWidth="1"/>
    <col min="537" max="539" width="10.7109375" customWidth="1"/>
    <col min="540" max="540" width="17.42578125" customWidth="1"/>
    <col min="541" max="541" width="10.7109375" customWidth="1"/>
    <col min="542" max="545" width="6.7109375" customWidth="1"/>
    <col min="546" max="548" width="10.7109375" customWidth="1"/>
    <col min="549" max="549" width="17.42578125" customWidth="1"/>
    <col min="550" max="550" width="10.7109375" customWidth="1"/>
    <col min="551" max="554" width="6.7109375" customWidth="1"/>
    <col min="555" max="557" width="10.7109375" customWidth="1"/>
    <col min="558" max="558" width="17.42578125" customWidth="1"/>
    <col min="559" max="559" width="10.7109375" customWidth="1"/>
    <col min="560" max="563" width="6.7109375" customWidth="1"/>
    <col min="564" max="566" width="10.7109375" customWidth="1"/>
    <col min="567" max="567" width="17.42578125" customWidth="1"/>
    <col min="568" max="568" width="10.7109375" customWidth="1"/>
    <col min="569" max="572" width="6.7109375" customWidth="1"/>
    <col min="573" max="575" width="10.7109375" customWidth="1"/>
    <col min="576" max="576" width="17.42578125" customWidth="1"/>
    <col min="577" max="577" width="10.7109375" customWidth="1"/>
    <col min="578" max="581" width="6.7109375" customWidth="1"/>
    <col min="582" max="584" width="10.7109375" customWidth="1"/>
    <col min="585" max="585" width="17.42578125" customWidth="1"/>
    <col min="586" max="586" width="10.7109375" customWidth="1"/>
    <col min="587" max="590" width="6.7109375" customWidth="1"/>
    <col min="591" max="593" width="10.7109375" customWidth="1"/>
    <col min="594" max="594" width="17.42578125" customWidth="1"/>
    <col min="595" max="595" width="10.7109375" customWidth="1"/>
    <col min="596" max="599" width="6.7109375" customWidth="1"/>
    <col min="600" max="602" width="10.7109375" customWidth="1"/>
    <col min="603" max="603" width="17.42578125" customWidth="1"/>
    <col min="604" max="604" width="10.7109375" customWidth="1"/>
    <col min="605" max="608" width="6.7109375" customWidth="1"/>
    <col min="609" max="611" width="10.7109375" customWidth="1"/>
    <col min="612" max="612" width="17.42578125" customWidth="1"/>
    <col min="613" max="613" width="10.7109375" customWidth="1"/>
    <col min="614" max="617" width="6.7109375" customWidth="1"/>
    <col min="618" max="620" width="10.7109375" customWidth="1"/>
    <col min="621" max="621" width="17.42578125" customWidth="1"/>
    <col min="622" max="622" width="10.7109375" customWidth="1"/>
    <col min="623" max="626" width="6.7109375" customWidth="1"/>
    <col min="627" max="629" width="10.7109375" customWidth="1"/>
    <col min="630" max="630" width="17.42578125" customWidth="1"/>
    <col min="631" max="631" width="10.7109375" customWidth="1"/>
    <col min="632" max="635" width="6.7109375" customWidth="1"/>
    <col min="636" max="638" width="10.7109375" customWidth="1"/>
    <col min="639" max="639" width="17.42578125" customWidth="1"/>
    <col min="640" max="640" width="10.7109375" customWidth="1"/>
    <col min="641" max="644" width="6.7109375" customWidth="1"/>
    <col min="645" max="647" width="10.7109375" customWidth="1"/>
    <col min="648" max="648" width="17.42578125" customWidth="1"/>
    <col min="649" max="649" width="10.7109375" customWidth="1"/>
    <col min="650" max="653" width="6.7109375" customWidth="1"/>
    <col min="654" max="656" width="10.7109375" customWidth="1"/>
    <col min="657" max="657" width="17.42578125" customWidth="1"/>
    <col min="658" max="658" width="10.7109375" customWidth="1"/>
    <col min="659" max="662" width="6.7109375" customWidth="1"/>
    <col min="663" max="665" width="10.7109375" customWidth="1"/>
    <col min="666" max="666" width="17.42578125" customWidth="1"/>
    <col min="667" max="667" width="10.7109375" customWidth="1"/>
    <col min="668" max="671" width="6.7109375" customWidth="1"/>
    <col min="672" max="674" width="10.7109375" customWidth="1"/>
    <col min="675" max="675" width="17.42578125" customWidth="1"/>
    <col min="676" max="676" width="10.7109375" customWidth="1"/>
    <col min="677" max="680" width="6.7109375" customWidth="1"/>
    <col min="681" max="683" width="10.7109375" customWidth="1"/>
    <col min="684" max="684" width="17.42578125" customWidth="1"/>
    <col min="685" max="685" width="10.7109375" customWidth="1"/>
    <col min="686" max="689" width="6.7109375" customWidth="1"/>
    <col min="690" max="692" width="10.7109375" customWidth="1"/>
    <col min="693" max="693" width="17.42578125" customWidth="1"/>
    <col min="694" max="694" width="10.7109375" customWidth="1"/>
    <col min="695" max="698" width="6.7109375" customWidth="1"/>
    <col min="699" max="701" width="10.7109375" customWidth="1"/>
    <col min="702" max="702" width="17.42578125" customWidth="1"/>
  </cols>
  <sheetData>
    <row r="1" spans="1:11" ht="20.45" customHeight="1">
      <c r="A1" s="174" t="s">
        <v>0</v>
      </c>
      <c r="B1" s="175"/>
      <c r="C1" s="176">
        <v>45500</v>
      </c>
      <c r="D1" s="177"/>
      <c r="E1" s="178"/>
      <c r="F1" s="174" t="s">
        <v>1</v>
      </c>
      <c r="G1" s="175"/>
      <c r="H1" s="179" t="s">
        <v>48</v>
      </c>
      <c r="I1" s="180"/>
      <c r="J1" s="180"/>
      <c r="K1" s="181"/>
    </row>
    <row r="2" spans="1:11" ht="11.25" customHeight="1">
      <c r="A2" s="1"/>
      <c r="B2" s="2"/>
      <c r="C2" s="2"/>
      <c r="D2" s="2"/>
      <c r="E2" s="3"/>
      <c r="F2" s="3"/>
      <c r="G2" s="3"/>
      <c r="H2" s="2"/>
      <c r="I2" s="2"/>
      <c r="J2" s="2"/>
      <c r="K2" s="2"/>
    </row>
    <row r="3" spans="1:11" ht="27" customHeight="1">
      <c r="A3" s="182" t="s">
        <v>2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20.45" customHeight="1">
      <c r="A4" s="183" t="s">
        <v>3</v>
      </c>
      <c r="B4" s="184"/>
      <c r="C4" s="184"/>
      <c r="D4" s="184"/>
      <c r="E4" s="184"/>
      <c r="F4" s="184"/>
      <c r="G4" s="184"/>
      <c r="H4" s="184"/>
      <c r="I4" s="184"/>
      <c r="J4" s="184"/>
      <c r="K4" s="185"/>
    </row>
    <row r="5" spans="1:11" s="5" customFormat="1" ht="26.25" customHeight="1">
      <c r="A5" s="186" t="s">
        <v>4</v>
      </c>
      <c r="B5" s="188" t="s">
        <v>5</v>
      </c>
      <c r="C5" s="189"/>
      <c r="D5" s="189"/>
      <c r="E5" s="190"/>
      <c r="F5" s="191" t="s">
        <v>6</v>
      </c>
      <c r="G5" s="192"/>
      <c r="H5" s="192"/>
      <c r="I5" s="192"/>
      <c r="J5" s="192"/>
      <c r="K5" s="193"/>
    </row>
    <row r="6" spans="1:11" ht="20.25" customHeight="1">
      <c r="A6" s="187"/>
      <c r="B6" s="6" t="s">
        <v>7</v>
      </c>
      <c r="C6" s="6" t="s">
        <v>8</v>
      </c>
      <c r="D6" s="4" t="s">
        <v>9</v>
      </c>
      <c r="E6" s="7" t="s">
        <v>10</v>
      </c>
      <c r="F6" s="194"/>
      <c r="G6" s="195"/>
      <c r="H6" s="195"/>
      <c r="I6" s="195"/>
      <c r="J6" s="195"/>
      <c r="K6" s="196"/>
    </row>
    <row r="7" spans="1:11" ht="20.45" customHeight="1">
      <c r="A7" s="8">
        <v>104</v>
      </c>
      <c r="B7" s="9"/>
      <c r="C7" s="9">
        <v>35000</v>
      </c>
      <c r="D7" s="10"/>
      <c r="E7" s="11"/>
      <c r="F7" s="155" t="s">
        <v>49</v>
      </c>
      <c r="G7" s="156"/>
      <c r="H7" s="156"/>
      <c r="I7" s="156"/>
      <c r="J7" s="156"/>
      <c r="K7" s="157"/>
    </row>
    <row r="8" spans="1:11" ht="20.45" customHeight="1">
      <c r="A8" s="8">
        <v>105</v>
      </c>
      <c r="B8" s="9"/>
      <c r="C8" s="9">
        <v>143500</v>
      </c>
      <c r="D8" s="10"/>
      <c r="E8" s="11"/>
      <c r="F8" s="155" t="s">
        <v>50</v>
      </c>
      <c r="G8" s="156"/>
      <c r="H8" s="156"/>
      <c r="I8" s="156"/>
      <c r="J8" s="156"/>
      <c r="K8" s="157"/>
    </row>
    <row r="9" spans="1:11" ht="20.45" customHeight="1">
      <c r="A9" s="8">
        <v>106</v>
      </c>
      <c r="B9" s="9"/>
      <c r="C9" s="9">
        <v>80000</v>
      </c>
      <c r="D9" s="10"/>
      <c r="E9" s="11"/>
      <c r="F9" s="155" t="s">
        <v>51</v>
      </c>
      <c r="G9" s="156"/>
      <c r="H9" s="156"/>
      <c r="I9" s="156"/>
      <c r="J9" s="156"/>
      <c r="K9" s="157"/>
    </row>
    <row r="10" spans="1:11" ht="20.45" customHeight="1">
      <c r="A10" s="8">
        <v>96</v>
      </c>
      <c r="B10" s="9"/>
      <c r="C10" s="9">
        <v>16700</v>
      </c>
      <c r="D10" s="10"/>
      <c r="E10" s="11"/>
      <c r="F10" s="155" t="s">
        <v>52</v>
      </c>
      <c r="G10" s="156"/>
      <c r="H10" s="156"/>
      <c r="I10" s="156"/>
      <c r="J10" s="156"/>
      <c r="K10" s="157"/>
    </row>
    <row r="11" spans="1:11" ht="20.45" customHeight="1">
      <c r="A11" s="8">
        <v>107</v>
      </c>
      <c r="B11" s="9"/>
      <c r="C11" s="9"/>
      <c r="D11" s="10">
        <v>24990</v>
      </c>
      <c r="E11" s="11"/>
      <c r="F11" s="155" t="s">
        <v>53</v>
      </c>
      <c r="G11" s="156"/>
      <c r="H11" s="156"/>
      <c r="I11" s="156"/>
      <c r="J11" s="156"/>
      <c r="K11" s="157"/>
    </row>
    <row r="12" spans="1:11" ht="20.45" customHeight="1">
      <c r="A12" s="8">
        <v>108</v>
      </c>
      <c r="B12" s="9"/>
      <c r="C12" s="9">
        <v>20990</v>
      </c>
      <c r="D12" s="10"/>
      <c r="E12" s="11"/>
      <c r="F12" s="155" t="s">
        <v>54</v>
      </c>
      <c r="G12" s="156"/>
      <c r="H12" s="156"/>
      <c r="I12" s="156"/>
      <c r="J12" s="156"/>
      <c r="K12" s="157"/>
    </row>
    <row r="13" spans="1:11" ht="20.45" customHeight="1">
      <c r="A13" s="8">
        <v>109</v>
      </c>
      <c r="B13" s="9"/>
      <c r="C13" s="9">
        <v>24990</v>
      </c>
      <c r="D13" s="10"/>
      <c r="E13" s="11"/>
      <c r="F13" s="155" t="s">
        <v>55</v>
      </c>
      <c r="G13" s="156"/>
      <c r="H13" s="156"/>
      <c r="I13" s="156"/>
      <c r="J13" s="156"/>
      <c r="K13" s="157"/>
    </row>
    <row r="14" spans="1:11" ht="20.45" customHeight="1">
      <c r="A14" s="8">
        <v>110</v>
      </c>
      <c r="B14" s="9"/>
      <c r="C14" s="9">
        <v>25000</v>
      </c>
      <c r="D14" s="10"/>
      <c r="E14" s="11"/>
      <c r="F14" s="155" t="s">
        <v>56</v>
      </c>
      <c r="G14" s="156"/>
      <c r="H14" s="156"/>
      <c r="I14" s="156"/>
      <c r="J14" s="156"/>
      <c r="K14" s="157"/>
    </row>
    <row r="15" spans="1:11" ht="20.45" customHeight="1">
      <c r="A15" s="8">
        <v>111</v>
      </c>
      <c r="B15" s="9"/>
      <c r="C15" s="9">
        <v>20000</v>
      </c>
      <c r="D15" s="10"/>
      <c r="E15" s="11"/>
      <c r="F15" s="155" t="s">
        <v>57</v>
      </c>
      <c r="G15" s="156"/>
      <c r="H15" s="156"/>
      <c r="I15" s="156"/>
      <c r="J15" s="156"/>
      <c r="K15" s="157"/>
    </row>
    <row r="16" spans="1:11" ht="20.45" customHeight="1">
      <c r="A16" s="8">
        <v>97</v>
      </c>
      <c r="B16" s="9"/>
      <c r="C16" s="9">
        <v>25200</v>
      </c>
      <c r="D16" s="10"/>
      <c r="E16" s="11"/>
      <c r="F16" s="155" t="s">
        <v>58</v>
      </c>
      <c r="G16" s="156"/>
      <c r="H16" s="156"/>
      <c r="I16" s="156"/>
      <c r="J16" s="156"/>
      <c r="K16" s="157"/>
    </row>
    <row r="17" spans="1:11" ht="20.45" customHeight="1">
      <c r="A17" s="134">
        <v>112</v>
      </c>
      <c r="B17" s="9"/>
      <c r="C17" s="9">
        <v>38480</v>
      </c>
      <c r="D17" s="10"/>
      <c r="E17" s="11"/>
      <c r="F17" s="155" t="s">
        <v>59</v>
      </c>
      <c r="G17" s="156"/>
      <c r="H17" s="156"/>
      <c r="I17" s="156"/>
      <c r="J17" s="156"/>
      <c r="K17" s="157"/>
    </row>
    <row r="18" spans="1:11" s="12" customFormat="1" ht="20.45" customHeight="1">
      <c r="A18" s="8">
        <v>113</v>
      </c>
      <c r="B18" s="9"/>
      <c r="C18" s="9">
        <v>372000</v>
      </c>
      <c r="D18" s="10"/>
      <c r="E18" s="11"/>
      <c r="F18" s="197" t="s">
        <v>60</v>
      </c>
      <c r="G18" s="198"/>
      <c r="H18" s="198"/>
      <c r="I18" s="198"/>
      <c r="J18" s="198"/>
      <c r="K18" s="199"/>
    </row>
    <row r="19" spans="1:11" ht="20.45" customHeight="1">
      <c r="A19" s="8">
        <v>114</v>
      </c>
      <c r="B19" s="9"/>
      <c r="C19" s="9"/>
      <c r="D19" s="10">
        <v>100000</v>
      </c>
      <c r="E19" s="11"/>
      <c r="F19" s="197" t="s">
        <v>61</v>
      </c>
      <c r="G19" s="198"/>
      <c r="H19" s="198"/>
      <c r="I19" s="198"/>
      <c r="J19" s="198"/>
      <c r="K19" s="199"/>
    </row>
    <row r="20" spans="1:11" s="12" customFormat="1" ht="20.45" customHeight="1">
      <c r="A20" s="8"/>
      <c r="B20" s="9">
        <v>10000</v>
      </c>
      <c r="C20" s="9"/>
      <c r="D20" s="10"/>
      <c r="E20" s="11"/>
      <c r="F20" s="155" t="s">
        <v>62</v>
      </c>
      <c r="G20" s="156"/>
      <c r="H20" s="156"/>
      <c r="I20" s="156"/>
      <c r="J20" s="156"/>
      <c r="K20" s="157"/>
    </row>
    <row r="21" spans="1:11" ht="20.45" customHeight="1">
      <c r="A21" s="8">
        <v>115</v>
      </c>
      <c r="B21" s="9"/>
      <c r="C21" s="9">
        <v>7500</v>
      </c>
      <c r="D21" s="10"/>
      <c r="E21" s="11"/>
      <c r="F21" s="155" t="s">
        <v>63</v>
      </c>
      <c r="G21" s="156"/>
      <c r="H21" s="156"/>
      <c r="I21" s="156"/>
      <c r="J21" s="156"/>
      <c r="K21" s="157"/>
    </row>
    <row r="22" spans="1:11" ht="20.45" customHeight="1">
      <c r="A22" s="8">
        <v>98</v>
      </c>
      <c r="B22" s="9"/>
      <c r="C22" s="9">
        <v>12400</v>
      </c>
      <c r="D22" s="10"/>
      <c r="E22" s="11"/>
      <c r="F22" s="155" t="s">
        <v>64</v>
      </c>
      <c r="G22" s="156"/>
      <c r="H22" s="156"/>
      <c r="I22" s="156"/>
      <c r="J22" s="156"/>
      <c r="K22" s="157"/>
    </row>
    <row r="23" spans="1:11" ht="20.45" customHeight="1">
      <c r="A23" s="8"/>
      <c r="B23" s="9"/>
      <c r="C23" s="9"/>
      <c r="D23" s="10"/>
      <c r="E23" s="11"/>
      <c r="F23" s="155"/>
      <c r="G23" s="156"/>
      <c r="H23" s="156"/>
      <c r="I23" s="156"/>
      <c r="J23" s="156"/>
      <c r="K23" s="157"/>
    </row>
    <row r="24" spans="1:11" ht="20.25" customHeight="1">
      <c r="A24" s="14" t="s">
        <v>11</v>
      </c>
      <c r="B24" s="15">
        <f>SUM($B7:$B23)</f>
        <v>10000</v>
      </c>
      <c r="C24" s="15">
        <f>SUM($C7:$C23)</f>
        <v>821760</v>
      </c>
      <c r="D24" s="15">
        <f>SUM($D7:$D23)</f>
        <v>124990</v>
      </c>
      <c r="E24" s="15">
        <f>SUM($E7:$E23)</f>
        <v>0</v>
      </c>
      <c r="F24" s="106"/>
      <c r="G24" s="107"/>
      <c r="H24" s="108"/>
      <c r="I24" s="108"/>
      <c r="J24" s="108"/>
      <c r="K24" s="108"/>
    </row>
    <row r="25" spans="1:11" ht="3.75" customHeight="1">
      <c r="A25" s="13"/>
      <c r="B25" s="17"/>
      <c r="C25" s="17"/>
      <c r="D25" s="17"/>
      <c r="E25" s="18"/>
      <c r="F25" s="16"/>
      <c r="G25" s="16"/>
      <c r="H25" s="19"/>
      <c r="I25" s="19"/>
      <c r="J25" s="105"/>
      <c r="K25" s="19"/>
    </row>
    <row r="26" spans="1:11" ht="21.75" customHeight="1">
      <c r="A26" s="13"/>
      <c r="B26" s="17"/>
      <c r="C26" s="17"/>
      <c r="D26" s="17"/>
      <c r="E26" s="18"/>
      <c r="F26" s="16"/>
      <c r="G26" s="16"/>
      <c r="H26" s="19"/>
      <c r="I26" s="20"/>
      <c r="J26" s="21" t="s">
        <v>12</v>
      </c>
      <c r="K26" s="22">
        <f>$B$24+$C$24+$D$24+$E$24</f>
        <v>956750</v>
      </c>
    </row>
    <row r="27" spans="1:11" ht="12" customHeight="1">
      <c r="A27" s="13"/>
      <c r="B27" s="17"/>
      <c r="C27" s="17"/>
      <c r="D27" s="17"/>
      <c r="E27" s="18"/>
      <c r="F27" s="23"/>
      <c r="G27" s="23"/>
      <c r="H27" s="17"/>
      <c r="I27" s="17"/>
      <c r="J27" s="17"/>
      <c r="K27" s="24"/>
    </row>
    <row r="28" spans="1:11" ht="26.25" customHeight="1">
      <c r="A28" s="25"/>
      <c r="B28" s="27"/>
      <c r="C28" s="27"/>
      <c r="D28" s="27"/>
      <c r="E28" s="28"/>
      <c r="F28" s="26"/>
      <c r="G28" s="28" t="s">
        <v>13</v>
      </c>
      <c r="H28" s="27"/>
      <c r="I28" s="27"/>
      <c r="J28" s="27"/>
      <c r="K28" s="27"/>
    </row>
    <row r="29" spans="1:11" ht="19.5" customHeight="1">
      <c r="A29" s="158" t="s">
        <v>14</v>
      </c>
      <c r="B29" s="159"/>
      <c r="C29" s="29"/>
      <c r="D29" s="30" t="s">
        <v>15</v>
      </c>
      <c r="E29" s="31"/>
      <c r="F29" s="164" t="s">
        <v>16</v>
      </c>
      <c r="G29" s="164"/>
      <c r="H29" s="159"/>
      <c r="I29" s="166" t="s">
        <v>17</v>
      </c>
      <c r="J29" s="167"/>
      <c r="K29" s="168"/>
    </row>
    <row r="30" spans="1:11" ht="18.75" customHeight="1">
      <c r="A30" s="160"/>
      <c r="B30" s="161"/>
      <c r="C30" s="169" t="s">
        <v>18</v>
      </c>
      <c r="D30" s="170"/>
      <c r="E30" s="32" t="s">
        <v>19</v>
      </c>
      <c r="F30" s="165"/>
      <c r="G30" s="165"/>
      <c r="H30" s="161"/>
      <c r="I30" s="169" t="s">
        <v>18</v>
      </c>
      <c r="J30" s="170"/>
      <c r="K30" s="32" t="s">
        <v>19</v>
      </c>
    </row>
    <row r="31" spans="1:11" ht="15.75" customHeight="1">
      <c r="A31" s="160"/>
      <c r="B31" s="161"/>
      <c r="C31" s="33" t="s">
        <v>20</v>
      </c>
      <c r="D31" s="34"/>
      <c r="E31" s="35">
        <f>B24</f>
        <v>10000</v>
      </c>
      <c r="F31" s="165"/>
      <c r="G31" s="165"/>
      <c r="H31" s="161"/>
      <c r="I31" s="33" t="s">
        <v>7</v>
      </c>
      <c r="J31" s="34"/>
      <c r="K31" s="36">
        <v>20000</v>
      </c>
    </row>
    <row r="32" spans="1:11" ht="15.75" customHeight="1">
      <c r="A32" s="160"/>
      <c r="B32" s="161"/>
      <c r="C32" s="33" t="s">
        <v>21</v>
      </c>
      <c r="D32" s="37"/>
      <c r="E32" s="35">
        <f>C24</f>
        <v>821760</v>
      </c>
      <c r="F32" s="165"/>
      <c r="G32" s="165"/>
      <c r="H32" s="161"/>
      <c r="I32" s="38" t="s">
        <v>22</v>
      </c>
      <c r="J32" s="39"/>
      <c r="K32" s="40"/>
    </row>
    <row r="33" spans="1:11" ht="15.75" customHeight="1">
      <c r="A33" s="160"/>
      <c r="B33" s="161"/>
      <c r="C33" s="33" t="s">
        <v>23</v>
      </c>
      <c r="D33" s="37"/>
      <c r="E33" s="35">
        <f>D24</f>
        <v>124990</v>
      </c>
      <c r="F33" s="165"/>
      <c r="G33" s="165"/>
      <c r="H33" s="161"/>
      <c r="I33" s="38" t="s">
        <v>24</v>
      </c>
      <c r="J33" s="39"/>
      <c r="K33" s="40"/>
    </row>
    <row r="34" spans="1:11" ht="15.75" customHeight="1">
      <c r="A34" s="160"/>
      <c r="B34" s="161"/>
      <c r="C34" s="33" t="s">
        <v>25</v>
      </c>
      <c r="D34" s="37"/>
      <c r="E34" s="35">
        <f>E24</f>
        <v>0</v>
      </c>
      <c r="F34" s="165"/>
      <c r="G34" s="165"/>
      <c r="H34" s="161"/>
      <c r="I34" s="38"/>
      <c r="J34" s="39"/>
      <c r="K34" s="40"/>
    </row>
    <row r="35" spans="1:11" ht="15.75" customHeight="1">
      <c r="A35" s="160"/>
      <c r="B35" s="161"/>
      <c r="C35" s="41" t="s">
        <v>12</v>
      </c>
      <c r="D35" s="42"/>
      <c r="E35" s="43">
        <f>SUM(E31:E34)</f>
        <v>956750</v>
      </c>
      <c r="F35" s="165"/>
      <c r="G35" s="165"/>
      <c r="H35" s="161"/>
      <c r="I35" s="38"/>
      <c r="J35" s="39"/>
      <c r="K35" s="40"/>
    </row>
    <row r="36" spans="1:11" ht="15.75" customHeight="1">
      <c r="A36" s="160"/>
      <c r="B36" s="161"/>
      <c r="C36" s="171" t="s">
        <v>26</v>
      </c>
      <c r="D36" s="172"/>
      <c r="E36" s="173"/>
      <c r="F36" s="165"/>
      <c r="G36" s="165"/>
      <c r="H36" s="161"/>
      <c r="I36" s="38"/>
      <c r="J36" s="39"/>
      <c r="K36" s="40"/>
    </row>
    <row r="37" spans="1:11" ht="15.75" customHeight="1">
      <c r="A37" s="160"/>
      <c r="B37" s="161"/>
      <c r="C37" s="169" t="s">
        <v>18</v>
      </c>
      <c r="D37" s="170"/>
      <c r="E37" s="32" t="s">
        <v>19</v>
      </c>
      <c r="F37" s="165"/>
      <c r="G37" s="165"/>
      <c r="H37" s="161"/>
      <c r="I37" s="38"/>
      <c r="J37" s="39"/>
      <c r="K37" s="40"/>
    </row>
    <row r="38" spans="1:11" ht="15.75" customHeight="1">
      <c r="A38" s="160"/>
      <c r="B38" s="161"/>
      <c r="C38" s="44" t="s">
        <v>7</v>
      </c>
      <c r="D38" s="45"/>
      <c r="E38" s="46"/>
      <c r="F38" s="165"/>
      <c r="G38" s="165"/>
      <c r="H38" s="161"/>
      <c r="I38" s="41" t="s">
        <v>27</v>
      </c>
      <c r="J38" s="42"/>
      <c r="K38" s="43">
        <f>SUM(K31:K37)</f>
        <v>20000</v>
      </c>
    </row>
    <row r="39" spans="1:11" ht="15.75" customHeight="1">
      <c r="A39" s="160"/>
      <c r="B39" s="161"/>
      <c r="C39" s="47" t="s">
        <v>24</v>
      </c>
      <c r="D39" s="48"/>
      <c r="E39" s="49"/>
      <c r="F39" s="165"/>
      <c r="G39" s="165"/>
      <c r="H39" s="161"/>
      <c r="I39" s="166" t="s">
        <v>28</v>
      </c>
      <c r="J39" s="167"/>
      <c r="K39" s="168"/>
    </row>
    <row r="40" spans="1:11" ht="18.75" customHeight="1">
      <c r="A40" s="162"/>
      <c r="B40" s="163"/>
      <c r="C40" s="41" t="s">
        <v>29</v>
      </c>
      <c r="D40" s="42"/>
      <c r="E40" s="43">
        <f>SUM(E38:E39)</f>
        <v>0</v>
      </c>
      <c r="F40" s="165"/>
      <c r="G40" s="165"/>
      <c r="H40" s="161"/>
      <c r="I40" s="38" t="s">
        <v>30</v>
      </c>
      <c r="J40" s="48"/>
      <c r="K40" s="49"/>
    </row>
    <row r="41" spans="1:11" ht="15.75" customHeight="1">
      <c r="A41" s="13"/>
      <c r="B41" s="50"/>
      <c r="C41" s="51"/>
      <c r="D41" s="52" t="s">
        <v>31</v>
      </c>
      <c r="E41" s="53">
        <f>E35+E40</f>
        <v>956750</v>
      </c>
      <c r="F41" s="54"/>
      <c r="G41" s="54"/>
      <c r="H41" s="55"/>
      <c r="I41" s="51"/>
      <c r="J41" s="52" t="s">
        <v>32</v>
      </c>
      <c r="K41" s="53">
        <f>K38+K40</f>
        <v>20000</v>
      </c>
    </row>
    <row r="42" spans="1:11" ht="11.25" customHeight="1">
      <c r="A42" s="13"/>
      <c r="B42" s="18"/>
      <c r="C42" s="18"/>
      <c r="D42" s="18"/>
      <c r="E42" s="18"/>
      <c r="F42" s="57"/>
      <c r="G42" s="57"/>
      <c r="H42" s="135"/>
      <c r="I42" s="135"/>
      <c r="J42" s="17"/>
      <c r="K42" s="17"/>
    </row>
    <row r="43" spans="1:11" ht="28.5">
      <c r="A43" s="25"/>
      <c r="B43" s="27"/>
      <c r="C43" s="27"/>
      <c r="D43" s="27"/>
      <c r="E43" s="28"/>
      <c r="F43" s="26"/>
      <c r="G43" s="28" t="s">
        <v>33</v>
      </c>
      <c r="H43" s="27"/>
      <c r="I43" s="27"/>
      <c r="J43" s="27"/>
      <c r="K43" s="27"/>
    </row>
    <row r="44" spans="1:11" ht="17.100000000000001" customHeight="1">
      <c r="A44" s="136" t="s">
        <v>34</v>
      </c>
      <c r="B44" s="137"/>
      <c r="C44" s="58" t="s">
        <v>35</v>
      </c>
      <c r="D44" s="58" t="s">
        <v>36</v>
      </c>
      <c r="E44" s="59" t="s">
        <v>19</v>
      </c>
      <c r="F44" s="142" t="s">
        <v>37</v>
      </c>
      <c r="G44" s="143"/>
      <c r="H44" s="137"/>
      <c r="I44" s="58" t="s">
        <v>35</v>
      </c>
      <c r="J44" s="58" t="s">
        <v>36</v>
      </c>
      <c r="K44" s="58" t="s">
        <v>19</v>
      </c>
    </row>
    <row r="45" spans="1:11" ht="17.100000000000001" customHeight="1">
      <c r="A45" s="138"/>
      <c r="B45" s="139"/>
      <c r="C45" s="60">
        <v>20000</v>
      </c>
      <c r="D45" s="61"/>
      <c r="E45" s="62">
        <f>C45*D45</f>
        <v>0</v>
      </c>
      <c r="F45" s="144"/>
      <c r="G45" s="145"/>
      <c r="H45" s="139"/>
      <c r="I45" s="60">
        <v>500</v>
      </c>
      <c r="J45" s="61">
        <v>2</v>
      </c>
      <c r="K45" s="63">
        <f>I45*J45</f>
        <v>1000</v>
      </c>
    </row>
    <row r="46" spans="1:11" ht="17.100000000000001" customHeight="1">
      <c r="A46" s="138"/>
      <c r="B46" s="139"/>
      <c r="C46" s="60">
        <v>10000</v>
      </c>
      <c r="D46" s="61">
        <v>1</v>
      </c>
      <c r="E46" s="62">
        <f>C46*D46</f>
        <v>10000</v>
      </c>
      <c r="F46" s="144"/>
      <c r="G46" s="145"/>
      <c r="H46" s="139"/>
      <c r="I46" s="60">
        <v>100</v>
      </c>
      <c r="J46" s="61">
        <v>31</v>
      </c>
      <c r="K46" s="63">
        <f>I46*J46</f>
        <v>3100</v>
      </c>
    </row>
    <row r="47" spans="1:11" ht="17.100000000000001" customHeight="1">
      <c r="A47" s="138"/>
      <c r="B47" s="139"/>
      <c r="C47" s="60">
        <v>5000</v>
      </c>
      <c r="D47" s="61"/>
      <c r="E47" s="62">
        <f>C47*D47</f>
        <v>0</v>
      </c>
      <c r="F47" s="144"/>
      <c r="G47" s="145"/>
      <c r="H47" s="139"/>
      <c r="I47" s="60">
        <v>50</v>
      </c>
      <c r="J47" s="61">
        <v>8</v>
      </c>
      <c r="K47" s="63">
        <f>I47*J47</f>
        <v>400</v>
      </c>
    </row>
    <row r="48" spans="1:11" ht="17.100000000000001" customHeight="1">
      <c r="A48" s="138"/>
      <c r="B48" s="139"/>
      <c r="C48" s="60">
        <v>2000</v>
      </c>
      <c r="D48" s="61"/>
      <c r="E48" s="62">
        <f>C48*D48</f>
        <v>0</v>
      </c>
      <c r="F48" s="144"/>
      <c r="G48" s="145"/>
      <c r="H48" s="139"/>
      <c r="I48" s="60">
        <v>10</v>
      </c>
      <c r="J48" s="61">
        <v>13</v>
      </c>
      <c r="K48" s="63">
        <f>I48*J48</f>
        <v>130</v>
      </c>
    </row>
    <row r="49" spans="1:11" ht="17.100000000000001" customHeight="1">
      <c r="A49" s="140"/>
      <c r="B49" s="141"/>
      <c r="C49" s="60">
        <v>1000</v>
      </c>
      <c r="D49" s="61"/>
      <c r="E49" s="62">
        <f>C49*D49</f>
        <v>0</v>
      </c>
      <c r="F49" s="146"/>
      <c r="G49" s="147"/>
      <c r="H49" s="141"/>
      <c r="I49" s="60"/>
      <c r="J49" s="64"/>
      <c r="K49" s="63"/>
    </row>
    <row r="50" spans="1:11" ht="18.75">
      <c r="A50" s="13"/>
      <c r="B50" s="65"/>
      <c r="C50" s="66"/>
      <c r="D50" s="67" t="s">
        <v>38</v>
      </c>
      <c r="E50" s="68">
        <f>SUM(E45:E49)</f>
        <v>10000</v>
      </c>
      <c r="F50" s="54"/>
      <c r="G50" s="54"/>
      <c r="H50" s="55"/>
      <c r="I50" s="66"/>
      <c r="J50" s="67" t="s">
        <v>39</v>
      </c>
      <c r="K50" s="68">
        <f>SUM(K45:K49)</f>
        <v>4630</v>
      </c>
    </row>
    <row r="51" spans="1:11" ht="18.75">
      <c r="A51" s="13"/>
      <c r="B51" s="18"/>
      <c r="C51" s="18"/>
      <c r="D51" s="18"/>
      <c r="E51" s="18"/>
      <c r="F51" s="16"/>
      <c r="G51" s="16"/>
      <c r="H51" s="65"/>
      <c r="I51" s="65"/>
      <c r="J51" s="17"/>
      <c r="K51" s="17"/>
    </row>
    <row r="52" spans="1:11" ht="18" customHeight="1">
      <c r="A52" s="13"/>
      <c r="B52" s="18"/>
      <c r="C52" s="18"/>
      <c r="D52" s="18"/>
      <c r="E52" s="18"/>
      <c r="F52" s="69"/>
      <c r="G52" s="69"/>
      <c r="H52" s="70" t="s">
        <v>40</v>
      </c>
      <c r="I52" s="71"/>
      <c r="J52" s="69"/>
      <c r="K52" s="17"/>
    </row>
    <row r="53" spans="1:11" ht="4.5" customHeight="1">
      <c r="A53" s="13"/>
      <c r="B53" s="18"/>
      <c r="C53" s="18"/>
      <c r="D53" s="18"/>
      <c r="E53" s="18"/>
      <c r="F53" s="16"/>
      <c r="G53" s="16"/>
      <c r="H53" s="17"/>
      <c r="I53" s="17"/>
      <c r="J53" s="17"/>
      <c r="K53" s="17"/>
    </row>
    <row r="54" spans="1:11" ht="15" customHeight="1">
      <c r="A54" s="72"/>
      <c r="B54" s="148" t="s">
        <v>41</v>
      </c>
      <c r="C54" s="149"/>
      <c r="D54" s="150"/>
      <c r="E54" s="18"/>
      <c r="F54" s="73"/>
      <c r="G54" s="73"/>
      <c r="H54" s="74" t="s">
        <v>42</v>
      </c>
      <c r="I54" s="75">
        <v>24630</v>
      </c>
      <c r="J54" s="76"/>
      <c r="K54" s="17"/>
    </row>
    <row r="55" spans="1:11" ht="4.5" customHeight="1">
      <c r="A55" s="72"/>
      <c r="B55" s="151"/>
      <c r="C55" s="152"/>
      <c r="D55" s="153"/>
      <c r="E55" s="18"/>
      <c r="F55" s="16"/>
      <c r="G55" s="16"/>
      <c r="H55" s="17"/>
      <c r="I55" s="77"/>
      <c r="J55" s="17"/>
      <c r="K55" s="17"/>
    </row>
    <row r="56" spans="1:11" ht="18.75" customHeight="1">
      <c r="A56" s="78"/>
      <c r="B56" s="154" t="s">
        <v>65</v>
      </c>
      <c r="C56" s="154"/>
      <c r="D56" s="154"/>
      <c r="E56" s="18"/>
      <c r="F56" s="79"/>
      <c r="G56" s="79"/>
      <c r="H56" s="80" t="s">
        <v>43</v>
      </c>
      <c r="I56" s="81">
        <f>E50+K50</f>
        <v>14630</v>
      </c>
      <c r="J56" s="82"/>
      <c r="K56" s="17"/>
    </row>
    <row r="57" spans="1:11" ht="4.5" customHeight="1">
      <c r="A57" s="78"/>
      <c r="B57" s="154"/>
      <c r="C57" s="154"/>
      <c r="D57" s="154"/>
      <c r="E57" s="18"/>
      <c r="F57" s="56"/>
      <c r="G57" s="56"/>
      <c r="H57" s="57"/>
      <c r="I57" s="83"/>
      <c r="J57" s="65"/>
      <c r="K57" s="17"/>
    </row>
    <row r="58" spans="1:11" ht="18.75">
      <c r="A58" s="78"/>
      <c r="B58" s="154"/>
      <c r="C58" s="154"/>
      <c r="D58" s="154"/>
      <c r="E58" s="18"/>
      <c r="F58" s="79"/>
      <c r="G58" s="79"/>
      <c r="H58" s="80" t="s">
        <v>12</v>
      </c>
      <c r="I58" s="81">
        <f>K26</f>
        <v>956750</v>
      </c>
      <c r="J58" s="82"/>
      <c r="K58" s="24"/>
    </row>
    <row r="59" spans="1:11" ht="4.5" customHeight="1">
      <c r="A59" s="78"/>
      <c r="B59" s="154"/>
      <c r="C59" s="154"/>
      <c r="D59" s="154"/>
      <c r="E59" s="18"/>
      <c r="F59" s="56"/>
      <c r="G59" s="56"/>
      <c r="H59" s="57"/>
      <c r="I59" s="83"/>
      <c r="J59" s="18"/>
      <c r="K59" s="17"/>
    </row>
    <row r="60" spans="1:11" ht="18.75">
      <c r="A60" s="78"/>
      <c r="B60" s="154"/>
      <c r="C60" s="154"/>
      <c r="D60" s="154"/>
      <c r="E60" s="18"/>
      <c r="F60" s="84"/>
      <c r="G60" s="84"/>
      <c r="H60" s="85" t="s">
        <v>26</v>
      </c>
      <c r="I60" s="86">
        <f>E38</f>
        <v>0</v>
      </c>
      <c r="J60" s="82"/>
      <c r="K60" s="17"/>
    </row>
    <row r="61" spans="1:11" ht="4.5" customHeight="1">
      <c r="A61" s="78"/>
      <c r="B61" s="154"/>
      <c r="C61" s="154"/>
      <c r="D61" s="154"/>
      <c r="E61" s="18"/>
      <c r="F61" s="13"/>
      <c r="G61" s="13"/>
      <c r="H61" s="16"/>
      <c r="I61" s="77"/>
      <c r="J61" s="17"/>
      <c r="K61" s="17"/>
    </row>
    <row r="62" spans="1:11" ht="18.75">
      <c r="A62" s="78"/>
      <c r="B62" s="154"/>
      <c r="C62" s="154"/>
      <c r="D62" s="154"/>
      <c r="E62" s="18"/>
      <c r="F62" s="84"/>
      <c r="G62" s="84"/>
      <c r="H62" s="85" t="s">
        <v>17</v>
      </c>
      <c r="I62" s="86">
        <f>K31+K40</f>
        <v>20000</v>
      </c>
      <c r="J62" s="82"/>
      <c r="K62" s="17"/>
    </row>
    <row r="63" spans="1:11" ht="4.5" customHeight="1">
      <c r="A63" s="78"/>
      <c r="B63" s="154"/>
      <c r="C63" s="154"/>
      <c r="D63" s="154"/>
      <c r="E63" s="18"/>
      <c r="F63" s="13"/>
      <c r="G63" s="13"/>
      <c r="H63" s="16"/>
      <c r="I63" s="77"/>
      <c r="J63" s="17"/>
      <c r="K63" s="17"/>
    </row>
    <row r="64" spans="1:11" ht="18.75">
      <c r="A64" s="78"/>
      <c r="B64" s="154"/>
      <c r="C64" s="154"/>
      <c r="D64" s="154"/>
      <c r="E64" s="18"/>
      <c r="F64" s="84"/>
      <c r="G64" s="84"/>
      <c r="H64" s="85" t="s">
        <v>44</v>
      </c>
      <c r="I64" s="86">
        <f>I54+I58+I60-I62</f>
        <v>961380</v>
      </c>
      <c r="J64" s="87"/>
      <c r="K64" s="17"/>
    </row>
    <row r="65" spans="1:11" ht="4.5" customHeight="1">
      <c r="A65" s="13"/>
      <c r="B65" s="154"/>
      <c r="C65" s="154"/>
      <c r="D65" s="154"/>
      <c r="E65" s="18"/>
      <c r="F65" s="16"/>
      <c r="G65" s="16"/>
      <c r="H65" s="18"/>
      <c r="I65" s="77"/>
      <c r="J65" s="17"/>
      <c r="K65" s="17"/>
    </row>
    <row r="66" spans="1:11" ht="18.75">
      <c r="A66" s="13"/>
      <c r="B66" s="154"/>
      <c r="C66" s="154"/>
      <c r="D66" s="154"/>
      <c r="E66" s="18"/>
      <c r="F66" s="73"/>
      <c r="G66" s="73"/>
      <c r="H66" s="74" t="s">
        <v>45</v>
      </c>
      <c r="I66" s="86">
        <f>I64-I54</f>
        <v>936750</v>
      </c>
      <c r="J66" s="88"/>
      <c r="K66" s="17"/>
    </row>
    <row r="67" spans="1:11" ht="4.5" customHeight="1">
      <c r="A67" s="78"/>
      <c r="B67" s="154"/>
      <c r="C67" s="154"/>
      <c r="D67" s="154"/>
      <c r="E67" s="18"/>
      <c r="F67" s="16"/>
      <c r="G67" s="16"/>
      <c r="H67" s="16"/>
      <c r="I67" s="77"/>
      <c r="J67" s="17"/>
      <c r="K67" s="17"/>
    </row>
    <row r="68" spans="1:11" ht="18.75">
      <c r="A68" s="13"/>
      <c r="B68" s="154"/>
      <c r="C68" s="154"/>
      <c r="D68" s="154"/>
      <c r="E68" s="18"/>
      <c r="F68" s="79"/>
      <c r="G68" s="79"/>
      <c r="H68" s="80" t="s">
        <v>46</v>
      </c>
      <c r="I68" s="86">
        <f>I54+E31+(E38-(K31+K40))</f>
        <v>14630</v>
      </c>
      <c r="J68" s="88"/>
      <c r="K68" s="17"/>
    </row>
    <row r="69" spans="1:11" ht="4.5" customHeight="1">
      <c r="A69" s="78"/>
      <c r="B69" s="154"/>
      <c r="C69" s="154"/>
      <c r="D69" s="154"/>
      <c r="E69" s="18"/>
      <c r="F69" s="16"/>
      <c r="G69" s="16"/>
      <c r="H69" s="16"/>
      <c r="I69" s="77"/>
      <c r="J69" s="17"/>
      <c r="K69" s="17"/>
    </row>
    <row r="70" spans="1:11" ht="18.75" customHeight="1">
      <c r="A70" s="78"/>
      <c r="B70" s="154"/>
      <c r="C70" s="154"/>
      <c r="D70" s="154"/>
      <c r="E70" s="18"/>
      <c r="F70" s="79"/>
      <c r="G70" s="79"/>
      <c r="H70" s="80" t="s">
        <v>47</v>
      </c>
      <c r="I70" s="89">
        <f>I56-I68</f>
        <v>0</v>
      </c>
      <c r="J70" s="90"/>
      <c r="K70" s="17"/>
    </row>
    <row r="71" spans="1:11" ht="15" customHeight="1">
      <c r="A71" s="91"/>
      <c r="B71" s="92"/>
      <c r="C71" s="92"/>
      <c r="D71" s="92"/>
      <c r="E71" s="93"/>
      <c r="F71" s="94"/>
      <c r="G71" s="94"/>
      <c r="H71" s="95"/>
      <c r="I71" s="95"/>
      <c r="J71" s="95"/>
      <c r="K71" s="95"/>
    </row>
    <row r="72" spans="1:11" ht="15" customHeight="1">
      <c r="A72" s="91"/>
      <c r="B72" s="92"/>
      <c r="C72" s="92"/>
      <c r="D72" s="92"/>
      <c r="E72" s="93"/>
      <c r="F72" s="94"/>
      <c r="G72" s="94"/>
      <c r="H72" s="95"/>
      <c r="I72" s="95"/>
      <c r="J72" s="95"/>
      <c r="K72" s="95"/>
    </row>
    <row r="73" spans="1:11" ht="15" customHeight="1">
      <c r="A73" s="91"/>
      <c r="B73" s="92"/>
      <c r="C73" s="92"/>
      <c r="D73" s="92"/>
      <c r="E73" s="93"/>
      <c r="F73" s="94"/>
      <c r="G73" s="94"/>
      <c r="H73" s="95"/>
      <c r="I73" s="95"/>
      <c r="J73" s="95"/>
      <c r="K73" s="95"/>
    </row>
    <row r="74" spans="1:11" ht="15" customHeight="1">
      <c r="A74" s="91"/>
      <c r="B74" s="92"/>
      <c r="C74" s="92"/>
      <c r="D74" s="92"/>
      <c r="E74" s="93"/>
      <c r="F74" s="94"/>
      <c r="G74" s="94"/>
      <c r="H74" s="95"/>
      <c r="I74" s="95"/>
      <c r="J74" s="95"/>
      <c r="K74" s="95"/>
    </row>
    <row r="75" spans="1:11" ht="15.75" customHeight="1">
      <c r="A75" s="91"/>
      <c r="B75" s="92"/>
      <c r="C75" s="92"/>
      <c r="D75" s="92"/>
      <c r="E75" s="93"/>
      <c r="F75" s="94"/>
      <c r="G75" s="94"/>
      <c r="H75" s="95"/>
      <c r="I75" s="95"/>
      <c r="J75" s="95"/>
      <c r="K75" s="95"/>
    </row>
    <row r="76" spans="1:11" ht="14.25" customHeight="1">
      <c r="A76" s="91"/>
      <c r="B76" s="92"/>
      <c r="C76" s="92"/>
      <c r="D76" s="92"/>
      <c r="E76" s="93"/>
      <c r="F76" s="94"/>
      <c r="G76" s="94"/>
      <c r="H76" s="95"/>
      <c r="I76" s="95"/>
      <c r="J76" s="95"/>
      <c r="K76" s="95"/>
    </row>
    <row r="77" spans="1:11">
      <c r="A77" s="96"/>
      <c r="B77" s="98"/>
      <c r="C77" s="98"/>
      <c r="D77" s="98"/>
      <c r="E77" s="98"/>
      <c r="F77" s="97"/>
      <c r="G77" s="97"/>
      <c r="H77" s="99"/>
      <c r="I77" s="99"/>
      <c r="J77" s="99"/>
      <c r="K77" s="99"/>
    </row>
    <row r="78" spans="1:11">
      <c r="D78" s="102"/>
      <c r="E78" s="102"/>
    </row>
    <row r="79" spans="1:11">
      <c r="D79" s="102"/>
      <c r="E79" s="102"/>
      <c r="H79" s="102"/>
    </row>
    <row r="80" spans="1:11">
      <c r="D80" s="102"/>
      <c r="E80" s="102"/>
      <c r="H80" s="102"/>
    </row>
    <row r="81" spans="4:11">
      <c r="D81" s="102"/>
      <c r="E81" s="102"/>
      <c r="H81" s="102"/>
      <c r="I81" s="102"/>
      <c r="J81" s="102"/>
      <c r="K81" s="102"/>
    </row>
    <row r="82" spans="4:11">
      <c r="D82" s="102"/>
      <c r="E82" s="102"/>
      <c r="H82" s="102"/>
      <c r="I82" s="102"/>
      <c r="J82" s="102"/>
      <c r="K82" s="102"/>
    </row>
    <row r="83" spans="4:11">
      <c r="D83" s="102"/>
      <c r="E83" s="102"/>
      <c r="H83" s="102"/>
      <c r="I83" s="102"/>
      <c r="J83" s="102"/>
      <c r="K83" s="102"/>
    </row>
    <row r="84" spans="4:11">
      <c r="D84" s="102"/>
      <c r="E84" s="102"/>
      <c r="H84" s="102"/>
      <c r="I84" s="102"/>
      <c r="J84" s="102"/>
      <c r="K84" s="102"/>
    </row>
    <row r="85" spans="4:11">
      <c r="D85" s="102"/>
      <c r="E85" s="102"/>
      <c r="H85" s="102"/>
      <c r="I85" s="102"/>
      <c r="J85" s="102"/>
      <c r="K85" s="102"/>
    </row>
    <row r="86" spans="4:11">
      <c r="D86" s="102"/>
      <c r="E86" s="102"/>
      <c r="H86" s="102"/>
      <c r="I86" s="102"/>
      <c r="J86" s="102"/>
      <c r="K86" s="102"/>
    </row>
    <row r="87" spans="4:11">
      <c r="D87" s="102"/>
      <c r="E87" s="102"/>
      <c r="H87" s="102"/>
      <c r="I87" s="102"/>
      <c r="J87" s="102"/>
      <c r="K87" s="102"/>
    </row>
    <row r="88" spans="4:11">
      <c r="D88" s="102"/>
      <c r="E88" s="102"/>
      <c r="H88" s="102"/>
      <c r="I88" s="102"/>
      <c r="J88" s="102"/>
      <c r="K88" s="102"/>
    </row>
  </sheetData>
  <mergeCells count="39">
    <mergeCell ref="F9:K9"/>
    <mergeCell ref="A1:B1"/>
    <mergeCell ref="C1:E1"/>
    <mergeCell ref="F1:G1"/>
    <mergeCell ref="H1:K1"/>
    <mergeCell ref="A3:K3"/>
    <mergeCell ref="A4:K4"/>
    <mergeCell ref="A5:A6"/>
    <mergeCell ref="B5:E5"/>
    <mergeCell ref="F5:K6"/>
    <mergeCell ref="F7:K7"/>
    <mergeCell ref="F8:K8"/>
    <mergeCell ref="F21:K21"/>
    <mergeCell ref="F10:K10"/>
    <mergeCell ref="F11:K11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22:K22"/>
    <mergeCell ref="F23:K23"/>
    <mergeCell ref="A29:B40"/>
    <mergeCell ref="F29:H40"/>
    <mergeCell ref="I29:K29"/>
    <mergeCell ref="C30:D30"/>
    <mergeCell ref="I30:J30"/>
    <mergeCell ref="C36:E36"/>
    <mergeCell ref="C37:D37"/>
    <mergeCell ref="I39:K39"/>
    <mergeCell ref="H42:I42"/>
    <mergeCell ref="A44:B49"/>
    <mergeCell ref="F44:H49"/>
    <mergeCell ref="B54:D55"/>
    <mergeCell ref="B56:D70"/>
  </mergeCells>
  <conditionalFormatting sqref="I70">
    <cfRule type="expression" dxfId="50" priority="1">
      <formula>$I70=0</formula>
    </cfRule>
    <cfRule type="expression" dxfId="49" priority="2">
      <formula>$I70&gt;=1</formula>
    </cfRule>
    <cfRule type="expression" dxfId="48" priority="3">
      <formula>$I70&lt;=-1</formula>
    </cfRule>
  </conditionalFormatting>
  <pageMargins left="0.25" right="0.25" top="0.75" bottom="0.75" header="0.3" footer="0.3"/>
  <pageSetup paperSize="9" scale="6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C8C2-0C65-4043-929B-0224C01D3EB1}">
  <sheetPr>
    <tabColor theme="7"/>
    <pageSetUpPr fitToPage="1"/>
  </sheetPr>
  <dimension ref="A1:K88"/>
  <sheetViews>
    <sheetView showWhiteSpace="0" view="pageLayout" topLeftCell="B48" zoomScale="80" zoomScaleNormal="80" zoomScalePageLayoutView="80" workbookViewId="0">
      <selection activeCell="H51" sqref="H51"/>
    </sheetView>
  </sheetViews>
  <sheetFormatPr defaultColWidth="20.7109375" defaultRowHeight="15"/>
  <cols>
    <col min="1" max="1" width="13.5703125" style="100" customWidth="1"/>
    <col min="2" max="3" width="13.7109375" style="102" customWidth="1"/>
    <col min="4" max="4" width="13.7109375" style="103" customWidth="1"/>
    <col min="5" max="5" width="14.7109375" style="104" customWidth="1"/>
    <col min="6" max="7" width="13.7109375" style="101" customWidth="1"/>
    <col min="8" max="10" width="13.7109375" style="103" customWidth="1"/>
    <col min="11" max="11" width="28.140625" style="103" customWidth="1"/>
    <col min="12" max="14" width="6.7109375" customWidth="1"/>
    <col min="15" max="17" width="10.7109375" customWidth="1"/>
    <col min="18" max="18" width="17.42578125" customWidth="1"/>
    <col min="19" max="19" width="10.7109375" customWidth="1"/>
    <col min="20" max="23" width="6.7109375" customWidth="1"/>
    <col min="24" max="26" width="10.7109375" customWidth="1"/>
    <col min="27" max="27" width="17.42578125" customWidth="1"/>
    <col min="28" max="28" width="10.7109375" customWidth="1"/>
    <col min="29" max="32" width="6.7109375" customWidth="1"/>
    <col min="33" max="35" width="10.7109375" customWidth="1"/>
    <col min="36" max="36" width="17.42578125" customWidth="1"/>
    <col min="37" max="37" width="10.7109375" customWidth="1"/>
    <col min="38" max="41" width="6.7109375" customWidth="1"/>
    <col min="42" max="44" width="10.7109375" customWidth="1"/>
    <col min="45" max="45" width="17.42578125" customWidth="1"/>
    <col min="46" max="46" width="10.7109375" customWidth="1"/>
    <col min="47" max="50" width="6.7109375" customWidth="1"/>
    <col min="51" max="53" width="10.7109375" customWidth="1"/>
    <col min="54" max="54" width="17.42578125" customWidth="1"/>
    <col min="55" max="55" width="10.7109375" customWidth="1"/>
    <col min="56" max="59" width="6.7109375" customWidth="1"/>
    <col min="60" max="62" width="10.7109375" customWidth="1"/>
    <col min="63" max="63" width="17.42578125" customWidth="1"/>
    <col min="64" max="64" width="10.7109375" customWidth="1"/>
    <col min="65" max="68" width="6.7109375" customWidth="1"/>
    <col min="69" max="71" width="10.7109375" customWidth="1"/>
    <col min="72" max="72" width="17.42578125" customWidth="1"/>
    <col min="73" max="73" width="10.7109375" customWidth="1"/>
    <col min="74" max="77" width="6.7109375" customWidth="1"/>
    <col min="78" max="80" width="10.7109375" customWidth="1"/>
    <col min="81" max="81" width="17.42578125" customWidth="1"/>
    <col min="82" max="82" width="10.7109375" customWidth="1"/>
    <col min="83" max="86" width="6.7109375" customWidth="1"/>
    <col min="87" max="89" width="10.7109375" customWidth="1"/>
    <col min="90" max="90" width="17.42578125" customWidth="1"/>
    <col min="91" max="91" width="10.7109375" customWidth="1"/>
    <col min="92" max="95" width="6.7109375" customWidth="1"/>
    <col min="96" max="98" width="10.7109375" customWidth="1"/>
    <col min="99" max="99" width="17.42578125" customWidth="1"/>
    <col min="100" max="100" width="10.7109375" customWidth="1"/>
    <col min="101" max="104" width="6.7109375" customWidth="1"/>
    <col min="105" max="107" width="10.7109375" customWidth="1"/>
    <col min="108" max="108" width="17.42578125" customWidth="1"/>
    <col min="109" max="109" width="10.7109375" customWidth="1"/>
    <col min="110" max="113" width="6.7109375" customWidth="1"/>
    <col min="114" max="116" width="10.7109375" customWidth="1"/>
    <col min="117" max="117" width="17.42578125" customWidth="1"/>
    <col min="118" max="118" width="10.7109375" customWidth="1"/>
    <col min="119" max="122" width="6.7109375" customWidth="1"/>
    <col min="123" max="125" width="10.7109375" customWidth="1"/>
    <col min="126" max="126" width="17.42578125" customWidth="1"/>
    <col min="127" max="127" width="10.7109375" customWidth="1"/>
    <col min="128" max="131" width="6.7109375" customWidth="1"/>
    <col min="132" max="134" width="10.7109375" customWidth="1"/>
    <col min="135" max="135" width="17.42578125" customWidth="1"/>
    <col min="136" max="136" width="10.7109375" customWidth="1"/>
    <col min="137" max="140" width="6.7109375" customWidth="1"/>
    <col min="141" max="143" width="10.7109375" customWidth="1"/>
    <col min="144" max="144" width="17.42578125" customWidth="1"/>
    <col min="145" max="145" width="10.7109375" customWidth="1"/>
    <col min="146" max="149" width="6.7109375" customWidth="1"/>
    <col min="150" max="152" width="10.7109375" customWidth="1"/>
    <col min="153" max="153" width="17.42578125" customWidth="1"/>
    <col min="154" max="154" width="10.7109375" customWidth="1"/>
    <col min="155" max="158" width="6.7109375" customWidth="1"/>
    <col min="159" max="161" width="10.7109375" customWidth="1"/>
    <col min="162" max="162" width="17.42578125" customWidth="1"/>
    <col min="163" max="163" width="10.7109375" customWidth="1"/>
    <col min="164" max="167" width="6.7109375" customWidth="1"/>
    <col min="168" max="170" width="10.7109375" customWidth="1"/>
    <col min="171" max="171" width="17.42578125" customWidth="1"/>
    <col min="172" max="172" width="10.7109375" customWidth="1"/>
    <col min="173" max="176" width="6.7109375" customWidth="1"/>
    <col min="177" max="179" width="10.7109375" customWidth="1"/>
    <col min="180" max="180" width="17.42578125" customWidth="1"/>
    <col min="181" max="181" width="10.7109375" customWidth="1"/>
    <col min="182" max="185" width="6.7109375" customWidth="1"/>
    <col min="186" max="188" width="10.7109375" customWidth="1"/>
    <col min="189" max="189" width="17.42578125" customWidth="1"/>
    <col min="190" max="190" width="10.7109375" customWidth="1"/>
    <col min="191" max="194" width="6.7109375" customWidth="1"/>
    <col min="195" max="197" width="10.7109375" customWidth="1"/>
    <col min="198" max="198" width="17.42578125" customWidth="1"/>
    <col min="199" max="199" width="10.7109375" customWidth="1"/>
    <col min="200" max="203" width="6.7109375" customWidth="1"/>
    <col min="204" max="206" width="10.7109375" customWidth="1"/>
    <col min="207" max="207" width="17.42578125" customWidth="1"/>
    <col min="208" max="208" width="10.7109375" customWidth="1"/>
    <col min="209" max="212" width="6.7109375" customWidth="1"/>
    <col min="213" max="215" width="10.7109375" customWidth="1"/>
    <col min="216" max="216" width="17.42578125" customWidth="1"/>
    <col min="217" max="217" width="10.7109375" customWidth="1"/>
    <col min="218" max="221" width="6.7109375" customWidth="1"/>
    <col min="222" max="224" width="10.7109375" customWidth="1"/>
    <col min="225" max="225" width="17.42578125" customWidth="1"/>
    <col min="226" max="226" width="10.7109375" customWidth="1"/>
    <col min="227" max="230" width="6.7109375" customWidth="1"/>
    <col min="231" max="233" width="10.7109375" customWidth="1"/>
    <col min="234" max="234" width="17.42578125" customWidth="1"/>
    <col min="235" max="235" width="10.7109375" customWidth="1"/>
    <col min="236" max="239" width="6.7109375" customWidth="1"/>
    <col min="240" max="242" width="10.7109375" customWidth="1"/>
    <col min="243" max="243" width="17.42578125" customWidth="1"/>
    <col min="244" max="244" width="10.7109375" customWidth="1"/>
    <col min="245" max="248" width="6.7109375" customWidth="1"/>
    <col min="249" max="251" width="10.7109375" customWidth="1"/>
    <col min="252" max="252" width="17.42578125" customWidth="1"/>
    <col min="253" max="253" width="10.7109375" customWidth="1"/>
    <col min="254" max="257" width="6.7109375" customWidth="1"/>
    <col min="258" max="260" width="10.7109375" customWidth="1"/>
    <col min="261" max="261" width="17.42578125" customWidth="1"/>
    <col min="262" max="262" width="10.7109375" customWidth="1"/>
    <col min="263" max="266" width="6.7109375" customWidth="1"/>
    <col min="267" max="269" width="10.7109375" customWidth="1"/>
    <col min="270" max="270" width="17.42578125" customWidth="1"/>
    <col min="271" max="271" width="10.7109375" customWidth="1"/>
    <col min="272" max="275" width="6.7109375" customWidth="1"/>
    <col min="276" max="278" width="10.7109375" customWidth="1"/>
    <col min="279" max="279" width="17.42578125" customWidth="1"/>
    <col min="280" max="280" width="10.7109375" customWidth="1"/>
    <col min="281" max="284" width="6.7109375" customWidth="1"/>
    <col min="285" max="287" width="10.7109375" customWidth="1"/>
    <col min="288" max="288" width="17.42578125" customWidth="1"/>
    <col min="289" max="289" width="10.7109375" customWidth="1"/>
    <col min="290" max="293" width="6.7109375" customWidth="1"/>
    <col min="294" max="296" width="10.7109375" customWidth="1"/>
    <col min="297" max="297" width="17.42578125" customWidth="1"/>
    <col min="298" max="298" width="10.7109375" customWidth="1"/>
    <col min="299" max="302" width="6.7109375" customWidth="1"/>
    <col min="303" max="305" width="10.7109375" customWidth="1"/>
    <col min="306" max="306" width="17.42578125" customWidth="1"/>
    <col min="307" max="307" width="10.7109375" customWidth="1"/>
    <col min="308" max="311" width="6.7109375" customWidth="1"/>
    <col min="312" max="314" width="10.7109375" customWidth="1"/>
    <col min="315" max="315" width="17.42578125" customWidth="1"/>
    <col min="316" max="316" width="10.7109375" customWidth="1"/>
    <col min="317" max="320" width="6.7109375" customWidth="1"/>
    <col min="321" max="323" width="10.7109375" customWidth="1"/>
    <col min="324" max="324" width="17.42578125" customWidth="1"/>
    <col min="325" max="325" width="10.7109375" customWidth="1"/>
    <col min="326" max="329" width="6.7109375" customWidth="1"/>
    <col min="330" max="332" width="10.7109375" customWidth="1"/>
    <col min="333" max="333" width="17.42578125" customWidth="1"/>
    <col min="334" max="334" width="10.7109375" customWidth="1"/>
    <col min="335" max="338" width="6.7109375" customWidth="1"/>
    <col min="339" max="341" width="10.7109375" customWidth="1"/>
    <col min="342" max="342" width="17.42578125" customWidth="1"/>
    <col min="343" max="343" width="10.7109375" customWidth="1"/>
    <col min="344" max="347" width="6.7109375" customWidth="1"/>
    <col min="348" max="350" width="10.7109375" customWidth="1"/>
    <col min="351" max="351" width="17.42578125" customWidth="1"/>
    <col min="352" max="352" width="10.7109375" customWidth="1"/>
    <col min="353" max="356" width="6.7109375" customWidth="1"/>
    <col min="357" max="359" width="10.7109375" customWidth="1"/>
    <col min="360" max="360" width="17.42578125" customWidth="1"/>
    <col min="361" max="361" width="10.7109375" customWidth="1"/>
    <col min="362" max="365" width="6.7109375" customWidth="1"/>
    <col min="366" max="368" width="10.7109375" customWidth="1"/>
    <col min="369" max="369" width="17.42578125" customWidth="1"/>
    <col min="370" max="370" width="10.7109375" customWidth="1"/>
    <col min="371" max="374" width="6.7109375" customWidth="1"/>
    <col min="375" max="377" width="10.7109375" customWidth="1"/>
    <col min="378" max="378" width="17.42578125" customWidth="1"/>
    <col min="379" max="379" width="10.7109375" customWidth="1"/>
    <col min="380" max="383" width="6.7109375" customWidth="1"/>
    <col min="384" max="386" width="10.7109375" customWidth="1"/>
    <col min="387" max="387" width="17.42578125" customWidth="1"/>
    <col min="388" max="388" width="10.7109375" customWidth="1"/>
    <col min="389" max="392" width="6.7109375" customWidth="1"/>
    <col min="393" max="395" width="10.7109375" customWidth="1"/>
    <col min="396" max="396" width="17.42578125" customWidth="1"/>
    <col min="397" max="397" width="10.7109375" customWidth="1"/>
    <col min="398" max="401" width="6.7109375" customWidth="1"/>
    <col min="402" max="404" width="10.7109375" customWidth="1"/>
    <col min="405" max="405" width="17.42578125" customWidth="1"/>
    <col min="406" max="406" width="10.7109375" customWidth="1"/>
    <col min="407" max="410" width="6.7109375" customWidth="1"/>
    <col min="411" max="413" width="10.7109375" customWidth="1"/>
    <col min="414" max="414" width="17.42578125" customWidth="1"/>
    <col min="415" max="415" width="10.7109375" customWidth="1"/>
    <col min="416" max="419" width="6.7109375" customWidth="1"/>
    <col min="420" max="422" width="10.7109375" customWidth="1"/>
    <col min="423" max="423" width="17.42578125" customWidth="1"/>
    <col min="424" max="424" width="10.7109375" customWidth="1"/>
    <col min="425" max="428" width="6.7109375" customWidth="1"/>
    <col min="429" max="431" width="10.7109375" customWidth="1"/>
    <col min="432" max="432" width="17.42578125" customWidth="1"/>
    <col min="433" max="433" width="10.7109375" customWidth="1"/>
    <col min="434" max="437" width="6.7109375" customWidth="1"/>
    <col min="438" max="440" width="10.7109375" customWidth="1"/>
    <col min="441" max="441" width="17.42578125" customWidth="1"/>
    <col min="442" max="442" width="10.7109375" customWidth="1"/>
    <col min="443" max="446" width="6.7109375" customWidth="1"/>
    <col min="447" max="449" width="10.7109375" customWidth="1"/>
    <col min="450" max="450" width="17.42578125" customWidth="1"/>
    <col min="451" max="451" width="10.7109375" customWidth="1"/>
    <col min="452" max="455" width="6.7109375" customWidth="1"/>
    <col min="456" max="458" width="10.7109375" customWidth="1"/>
    <col min="459" max="459" width="17.42578125" customWidth="1"/>
    <col min="460" max="460" width="10.7109375" customWidth="1"/>
    <col min="461" max="464" width="6.7109375" customWidth="1"/>
    <col min="465" max="467" width="10.7109375" customWidth="1"/>
    <col min="468" max="468" width="17.42578125" customWidth="1"/>
    <col min="469" max="469" width="10.7109375" customWidth="1"/>
    <col min="470" max="473" width="6.7109375" customWidth="1"/>
    <col min="474" max="476" width="10.7109375" customWidth="1"/>
    <col min="477" max="477" width="17.42578125" customWidth="1"/>
    <col min="478" max="478" width="10.7109375" customWidth="1"/>
    <col min="479" max="482" width="6.7109375" customWidth="1"/>
    <col min="483" max="485" width="10.7109375" customWidth="1"/>
    <col min="486" max="486" width="17.42578125" customWidth="1"/>
    <col min="487" max="487" width="10.7109375" customWidth="1"/>
    <col min="488" max="491" width="6.7109375" customWidth="1"/>
    <col min="492" max="494" width="10.7109375" customWidth="1"/>
    <col min="495" max="495" width="17.42578125" customWidth="1"/>
    <col min="496" max="496" width="10.7109375" customWidth="1"/>
    <col min="497" max="500" width="6.7109375" customWidth="1"/>
    <col min="501" max="503" width="10.7109375" customWidth="1"/>
    <col min="504" max="504" width="17.42578125" customWidth="1"/>
    <col min="505" max="505" width="10.7109375" customWidth="1"/>
    <col min="506" max="509" width="6.7109375" customWidth="1"/>
    <col min="510" max="512" width="10.7109375" customWidth="1"/>
    <col min="513" max="513" width="17.42578125" customWidth="1"/>
    <col min="514" max="514" width="10.7109375" customWidth="1"/>
    <col min="515" max="518" width="6.7109375" customWidth="1"/>
    <col min="519" max="521" width="10.7109375" customWidth="1"/>
    <col min="522" max="522" width="17.42578125" customWidth="1"/>
    <col min="523" max="523" width="10.7109375" customWidth="1"/>
    <col min="524" max="527" width="6.7109375" customWidth="1"/>
    <col min="528" max="530" width="10.7109375" customWidth="1"/>
    <col min="531" max="531" width="17.42578125" customWidth="1"/>
    <col min="532" max="532" width="10.7109375" customWidth="1"/>
    <col min="533" max="536" width="6.7109375" customWidth="1"/>
    <col min="537" max="539" width="10.7109375" customWidth="1"/>
    <col min="540" max="540" width="17.42578125" customWidth="1"/>
    <col min="541" max="541" width="10.7109375" customWidth="1"/>
    <col min="542" max="545" width="6.7109375" customWidth="1"/>
    <col min="546" max="548" width="10.7109375" customWidth="1"/>
    <col min="549" max="549" width="17.42578125" customWidth="1"/>
    <col min="550" max="550" width="10.7109375" customWidth="1"/>
    <col min="551" max="554" width="6.7109375" customWidth="1"/>
    <col min="555" max="557" width="10.7109375" customWidth="1"/>
    <col min="558" max="558" width="17.42578125" customWidth="1"/>
    <col min="559" max="559" width="10.7109375" customWidth="1"/>
    <col min="560" max="563" width="6.7109375" customWidth="1"/>
    <col min="564" max="566" width="10.7109375" customWidth="1"/>
    <col min="567" max="567" width="17.42578125" customWidth="1"/>
    <col min="568" max="568" width="10.7109375" customWidth="1"/>
    <col min="569" max="572" width="6.7109375" customWidth="1"/>
    <col min="573" max="575" width="10.7109375" customWidth="1"/>
    <col min="576" max="576" width="17.42578125" customWidth="1"/>
    <col min="577" max="577" width="10.7109375" customWidth="1"/>
    <col min="578" max="581" width="6.7109375" customWidth="1"/>
    <col min="582" max="584" width="10.7109375" customWidth="1"/>
    <col min="585" max="585" width="17.42578125" customWidth="1"/>
    <col min="586" max="586" width="10.7109375" customWidth="1"/>
    <col min="587" max="590" width="6.7109375" customWidth="1"/>
    <col min="591" max="593" width="10.7109375" customWidth="1"/>
    <col min="594" max="594" width="17.42578125" customWidth="1"/>
    <col min="595" max="595" width="10.7109375" customWidth="1"/>
    <col min="596" max="599" width="6.7109375" customWidth="1"/>
    <col min="600" max="602" width="10.7109375" customWidth="1"/>
    <col min="603" max="603" width="17.42578125" customWidth="1"/>
    <col min="604" max="604" width="10.7109375" customWidth="1"/>
    <col min="605" max="608" width="6.7109375" customWidth="1"/>
    <col min="609" max="611" width="10.7109375" customWidth="1"/>
    <col min="612" max="612" width="17.42578125" customWidth="1"/>
    <col min="613" max="613" width="10.7109375" customWidth="1"/>
    <col min="614" max="617" width="6.7109375" customWidth="1"/>
    <col min="618" max="620" width="10.7109375" customWidth="1"/>
    <col min="621" max="621" width="17.42578125" customWidth="1"/>
    <col min="622" max="622" width="10.7109375" customWidth="1"/>
    <col min="623" max="626" width="6.7109375" customWidth="1"/>
    <col min="627" max="629" width="10.7109375" customWidth="1"/>
    <col min="630" max="630" width="17.42578125" customWidth="1"/>
    <col min="631" max="631" width="10.7109375" customWidth="1"/>
    <col min="632" max="635" width="6.7109375" customWidth="1"/>
    <col min="636" max="638" width="10.7109375" customWidth="1"/>
    <col min="639" max="639" width="17.42578125" customWidth="1"/>
    <col min="640" max="640" width="10.7109375" customWidth="1"/>
    <col min="641" max="644" width="6.7109375" customWidth="1"/>
    <col min="645" max="647" width="10.7109375" customWidth="1"/>
    <col min="648" max="648" width="17.42578125" customWidth="1"/>
    <col min="649" max="649" width="10.7109375" customWidth="1"/>
    <col min="650" max="653" width="6.7109375" customWidth="1"/>
    <col min="654" max="656" width="10.7109375" customWidth="1"/>
    <col min="657" max="657" width="17.42578125" customWidth="1"/>
    <col min="658" max="658" width="10.7109375" customWidth="1"/>
    <col min="659" max="662" width="6.7109375" customWidth="1"/>
    <col min="663" max="665" width="10.7109375" customWidth="1"/>
    <col min="666" max="666" width="17.42578125" customWidth="1"/>
    <col min="667" max="667" width="10.7109375" customWidth="1"/>
    <col min="668" max="671" width="6.7109375" customWidth="1"/>
    <col min="672" max="674" width="10.7109375" customWidth="1"/>
    <col min="675" max="675" width="17.42578125" customWidth="1"/>
    <col min="676" max="676" width="10.7109375" customWidth="1"/>
    <col min="677" max="680" width="6.7109375" customWidth="1"/>
    <col min="681" max="683" width="10.7109375" customWidth="1"/>
    <col min="684" max="684" width="17.42578125" customWidth="1"/>
    <col min="685" max="685" width="10.7109375" customWidth="1"/>
    <col min="686" max="689" width="6.7109375" customWidth="1"/>
    <col min="690" max="692" width="10.7109375" customWidth="1"/>
    <col min="693" max="693" width="17.42578125" customWidth="1"/>
    <col min="694" max="694" width="10.7109375" customWidth="1"/>
    <col min="695" max="698" width="6.7109375" customWidth="1"/>
    <col min="699" max="701" width="10.7109375" customWidth="1"/>
    <col min="702" max="702" width="17.42578125" customWidth="1"/>
  </cols>
  <sheetData>
    <row r="1" spans="1:11" ht="20.45" customHeight="1">
      <c r="A1" s="174" t="s">
        <v>0</v>
      </c>
      <c r="B1" s="175"/>
      <c r="C1" s="176">
        <v>45499</v>
      </c>
      <c r="D1" s="177"/>
      <c r="E1" s="178"/>
      <c r="F1" s="174" t="s">
        <v>1</v>
      </c>
      <c r="G1" s="175"/>
      <c r="H1" s="179" t="s">
        <v>66</v>
      </c>
      <c r="I1" s="180"/>
      <c r="J1" s="180"/>
      <c r="K1" s="181"/>
    </row>
    <row r="2" spans="1:11" ht="11.25" customHeight="1">
      <c r="A2" s="1"/>
      <c r="B2" s="2"/>
      <c r="C2" s="2"/>
      <c r="D2" s="2"/>
      <c r="E2" s="3"/>
      <c r="F2" s="3"/>
      <c r="G2" s="3"/>
      <c r="H2" s="2"/>
      <c r="I2" s="2"/>
      <c r="J2" s="2"/>
      <c r="K2" s="2"/>
    </row>
    <row r="3" spans="1:11" ht="27" customHeight="1">
      <c r="A3" s="182" t="s">
        <v>2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20.45" customHeight="1">
      <c r="A4" s="183" t="s">
        <v>3</v>
      </c>
      <c r="B4" s="184"/>
      <c r="C4" s="184"/>
      <c r="D4" s="184"/>
      <c r="E4" s="184"/>
      <c r="F4" s="184"/>
      <c r="G4" s="184"/>
      <c r="H4" s="184"/>
      <c r="I4" s="184"/>
      <c r="J4" s="184"/>
      <c r="K4" s="185"/>
    </row>
    <row r="5" spans="1:11" s="5" customFormat="1" ht="26.25" customHeight="1">
      <c r="A5" s="186" t="s">
        <v>4</v>
      </c>
      <c r="B5" s="188" t="s">
        <v>5</v>
      </c>
      <c r="C5" s="189"/>
      <c r="D5" s="189"/>
      <c r="E5" s="190"/>
      <c r="F5" s="191" t="s">
        <v>6</v>
      </c>
      <c r="G5" s="192"/>
      <c r="H5" s="192"/>
      <c r="I5" s="192"/>
      <c r="J5" s="192"/>
      <c r="K5" s="193"/>
    </row>
    <row r="6" spans="1:11" ht="20.25" customHeight="1">
      <c r="A6" s="187"/>
      <c r="B6" s="6" t="s">
        <v>7</v>
      </c>
      <c r="C6" s="6" t="s">
        <v>8</v>
      </c>
      <c r="D6" s="4" t="s">
        <v>9</v>
      </c>
      <c r="E6" s="7" t="s">
        <v>10</v>
      </c>
      <c r="F6" s="194"/>
      <c r="G6" s="195"/>
      <c r="H6" s="195"/>
      <c r="I6" s="195"/>
      <c r="J6" s="195"/>
      <c r="K6" s="196"/>
    </row>
    <row r="7" spans="1:11" ht="20.45" customHeight="1">
      <c r="A7" s="8">
        <v>100</v>
      </c>
      <c r="B7" s="9"/>
      <c r="C7" s="9">
        <v>35000</v>
      </c>
      <c r="D7" s="10"/>
      <c r="E7" s="11"/>
      <c r="F7" s="155" t="s">
        <v>49</v>
      </c>
      <c r="G7" s="156"/>
      <c r="H7" s="156"/>
      <c r="I7" s="156"/>
      <c r="J7" s="156"/>
      <c r="K7" s="157"/>
    </row>
    <row r="8" spans="1:11" ht="20.45" customHeight="1">
      <c r="A8" s="132">
        <v>93</v>
      </c>
      <c r="B8" s="133"/>
      <c r="C8" s="133">
        <v>17490</v>
      </c>
      <c r="D8" s="10"/>
      <c r="E8" s="11"/>
      <c r="F8" s="155" t="s">
        <v>67</v>
      </c>
      <c r="G8" s="156"/>
      <c r="H8" s="156"/>
      <c r="I8" s="156"/>
      <c r="J8" s="156"/>
      <c r="K8" s="157"/>
    </row>
    <row r="9" spans="1:11" ht="20.45" customHeight="1">
      <c r="A9" s="8">
        <v>101</v>
      </c>
      <c r="B9" s="9"/>
      <c r="C9" s="9">
        <v>35000</v>
      </c>
      <c r="D9" s="10"/>
      <c r="E9" s="11"/>
      <c r="F9" s="155" t="s">
        <v>68</v>
      </c>
      <c r="G9" s="156"/>
      <c r="H9" s="156"/>
      <c r="I9" s="156"/>
      <c r="J9" s="156"/>
      <c r="K9" s="157"/>
    </row>
    <row r="10" spans="1:11" ht="20.45" customHeight="1">
      <c r="A10" s="8">
        <v>102</v>
      </c>
      <c r="B10" s="9"/>
      <c r="C10" s="9">
        <v>250000</v>
      </c>
      <c r="D10" s="10"/>
      <c r="E10" s="11"/>
      <c r="F10" s="155" t="s">
        <v>69</v>
      </c>
      <c r="G10" s="156"/>
      <c r="H10" s="156"/>
      <c r="I10" s="156"/>
      <c r="J10" s="156"/>
      <c r="K10" s="157"/>
    </row>
    <row r="11" spans="1:11" ht="20.45" customHeight="1">
      <c r="A11" s="8">
        <v>103</v>
      </c>
      <c r="B11" s="9"/>
      <c r="C11" s="9">
        <v>17990</v>
      </c>
      <c r="D11" s="10"/>
      <c r="E11" s="11"/>
      <c r="F11" s="155" t="s">
        <v>70</v>
      </c>
      <c r="G11" s="156"/>
      <c r="H11" s="156"/>
      <c r="I11" s="156"/>
      <c r="J11" s="156"/>
      <c r="K11" s="157"/>
    </row>
    <row r="12" spans="1:11" ht="20.45" customHeight="1">
      <c r="A12" s="8" t="s">
        <v>71</v>
      </c>
      <c r="B12" s="9"/>
      <c r="C12" s="9">
        <v>25000</v>
      </c>
      <c r="D12" s="10"/>
      <c r="E12" s="11"/>
      <c r="F12" s="155" t="s">
        <v>72</v>
      </c>
      <c r="G12" s="156"/>
      <c r="H12" s="156"/>
      <c r="I12" s="156"/>
      <c r="J12" s="156"/>
      <c r="K12" s="157"/>
    </row>
    <row r="13" spans="1:11" ht="20.45" customHeight="1">
      <c r="A13" s="8"/>
      <c r="B13" s="9"/>
      <c r="C13" s="9"/>
      <c r="D13" s="10"/>
      <c r="E13" s="11"/>
      <c r="F13" s="155"/>
      <c r="G13" s="156"/>
      <c r="H13" s="156"/>
      <c r="I13" s="156"/>
      <c r="J13" s="156"/>
      <c r="K13" s="157"/>
    </row>
    <row r="14" spans="1:11" ht="20.45" customHeight="1">
      <c r="A14" s="8"/>
      <c r="B14" s="9"/>
      <c r="C14" s="9"/>
      <c r="D14" s="10"/>
      <c r="E14" s="11"/>
      <c r="F14" s="155"/>
      <c r="G14" s="156"/>
      <c r="H14" s="156"/>
      <c r="I14" s="156"/>
      <c r="J14" s="156"/>
      <c r="K14" s="157"/>
    </row>
    <row r="15" spans="1:11" ht="20.45" customHeight="1">
      <c r="A15" s="8"/>
      <c r="B15" s="9"/>
      <c r="C15" s="9"/>
      <c r="D15" s="10"/>
      <c r="E15" s="11"/>
      <c r="F15" s="155"/>
      <c r="G15" s="156"/>
      <c r="H15" s="156"/>
      <c r="I15" s="156"/>
      <c r="J15" s="156"/>
      <c r="K15" s="157"/>
    </row>
    <row r="16" spans="1:11" ht="20.45" customHeight="1">
      <c r="A16" s="8"/>
      <c r="B16" s="9"/>
      <c r="C16" s="9"/>
      <c r="D16" s="10"/>
      <c r="E16" s="11"/>
      <c r="F16" s="155"/>
      <c r="G16" s="156"/>
      <c r="H16" s="156"/>
      <c r="I16" s="156"/>
      <c r="J16" s="156"/>
      <c r="K16" s="157"/>
    </row>
    <row r="17" spans="1:11" ht="20.45" customHeight="1">
      <c r="A17" s="8"/>
      <c r="B17" s="9"/>
      <c r="C17" s="9"/>
      <c r="D17" s="10"/>
      <c r="E17" s="11"/>
      <c r="F17" s="155"/>
      <c r="G17" s="156"/>
      <c r="H17" s="156"/>
      <c r="I17" s="156"/>
      <c r="J17" s="156"/>
      <c r="K17" s="157"/>
    </row>
    <row r="18" spans="1:11" s="12" customFormat="1" ht="20.45" customHeight="1">
      <c r="A18" s="8"/>
      <c r="B18" s="9"/>
      <c r="C18" s="9"/>
      <c r="D18" s="10"/>
      <c r="E18" s="11"/>
      <c r="F18" s="155"/>
      <c r="G18" s="156"/>
      <c r="H18" s="156"/>
      <c r="I18" s="156"/>
      <c r="J18" s="156"/>
      <c r="K18" s="157"/>
    </row>
    <row r="19" spans="1:11" ht="20.45" customHeight="1">
      <c r="A19" s="8"/>
      <c r="B19" s="9"/>
      <c r="C19" s="9"/>
      <c r="D19" s="10"/>
      <c r="E19" s="11"/>
      <c r="F19" s="155"/>
      <c r="G19" s="156"/>
      <c r="H19" s="156"/>
      <c r="I19" s="156"/>
      <c r="J19" s="156"/>
      <c r="K19" s="157"/>
    </row>
    <row r="20" spans="1:11" s="12" customFormat="1" ht="20.45" customHeight="1">
      <c r="A20" s="8"/>
      <c r="B20" s="9"/>
      <c r="C20" s="9"/>
      <c r="D20" s="10"/>
      <c r="E20" s="11"/>
      <c r="F20" s="155"/>
      <c r="G20" s="156"/>
      <c r="H20" s="156"/>
      <c r="I20" s="156"/>
      <c r="J20" s="156"/>
      <c r="K20" s="157"/>
    </row>
    <row r="21" spans="1:11" ht="20.45" customHeight="1">
      <c r="A21" s="8"/>
      <c r="B21" s="9"/>
      <c r="C21" s="9"/>
      <c r="D21" s="10"/>
      <c r="E21" s="11"/>
      <c r="F21" s="155"/>
      <c r="G21" s="156"/>
      <c r="H21" s="156"/>
      <c r="I21" s="156"/>
      <c r="J21" s="156"/>
      <c r="K21" s="157"/>
    </row>
    <row r="22" spans="1:11" ht="20.45" customHeight="1">
      <c r="A22" s="8"/>
      <c r="B22" s="9"/>
      <c r="C22" s="9"/>
      <c r="D22" s="10"/>
      <c r="E22" s="11"/>
      <c r="F22" s="155"/>
      <c r="G22" s="156"/>
      <c r="H22" s="156"/>
      <c r="I22" s="156"/>
      <c r="J22" s="156"/>
      <c r="K22" s="157"/>
    </row>
    <row r="23" spans="1:11" ht="20.45" customHeight="1">
      <c r="A23" s="8"/>
      <c r="B23" s="9"/>
      <c r="C23" s="9"/>
      <c r="D23" s="10"/>
      <c r="E23" s="11"/>
      <c r="F23" s="155"/>
      <c r="G23" s="156"/>
      <c r="H23" s="156"/>
      <c r="I23" s="156"/>
      <c r="J23" s="156"/>
      <c r="K23" s="157"/>
    </row>
    <row r="24" spans="1:11" ht="20.25" customHeight="1">
      <c r="A24" s="14" t="s">
        <v>11</v>
      </c>
      <c r="B24" s="15">
        <f>SUM($B7:$B23)</f>
        <v>0</v>
      </c>
      <c r="C24" s="15">
        <f>SUM($C7:$C23)</f>
        <v>380480</v>
      </c>
      <c r="D24" s="15">
        <f>SUM($D7:$D23)</f>
        <v>0</v>
      </c>
      <c r="E24" s="15">
        <f>SUM($E7:$E23)</f>
        <v>0</v>
      </c>
      <c r="F24" s="106"/>
      <c r="G24" s="107"/>
      <c r="H24" s="108"/>
      <c r="I24" s="108"/>
      <c r="J24" s="108"/>
      <c r="K24" s="108"/>
    </row>
    <row r="25" spans="1:11" ht="3.75" customHeight="1">
      <c r="A25" s="13"/>
      <c r="B25" s="17"/>
      <c r="C25" s="17"/>
      <c r="D25" s="17"/>
      <c r="E25" s="18"/>
      <c r="F25" s="16"/>
      <c r="G25" s="16"/>
      <c r="H25" s="19"/>
      <c r="I25" s="19"/>
      <c r="J25" s="105"/>
      <c r="K25" s="19"/>
    </row>
    <row r="26" spans="1:11" ht="21.75" customHeight="1">
      <c r="A26" s="13"/>
      <c r="B26" s="17"/>
      <c r="C26" s="17"/>
      <c r="D26" s="17"/>
      <c r="E26" s="18"/>
      <c r="F26" s="16"/>
      <c r="G26" s="16"/>
      <c r="H26" s="19"/>
      <c r="I26" s="20"/>
      <c r="J26" s="21" t="s">
        <v>12</v>
      </c>
      <c r="K26" s="22">
        <f>$B$24+$C$24+$D$24+$E$24</f>
        <v>380480</v>
      </c>
    </row>
    <row r="27" spans="1:11" ht="12" customHeight="1">
      <c r="A27" s="13"/>
      <c r="B27" s="17"/>
      <c r="C27" s="17"/>
      <c r="D27" s="17"/>
      <c r="E27" s="18"/>
      <c r="F27" s="23"/>
      <c r="G27" s="23"/>
      <c r="H27" s="17"/>
      <c r="I27" s="17"/>
      <c r="J27" s="17"/>
      <c r="K27" s="24"/>
    </row>
    <row r="28" spans="1:11" ht="26.25" customHeight="1">
      <c r="A28" s="25"/>
      <c r="B28" s="27"/>
      <c r="C28" s="27"/>
      <c r="D28" s="27"/>
      <c r="E28" s="28"/>
      <c r="F28" s="26"/>
      <c r="G28" s="28" t="s">
        <v>13</v>
      </c>
      <c r="H28" s="27"/>
      <c r="I28" s="27"/>
      <c r="J28" s="27"/>
      <c r="K28" s="27"/>
    </row>
    <row r="29" spans="1:11" ht="19.5" customHeight="1">
      <c r="A29" s="158" t="s">
        <v>14</v>
      </c>
      <c r="B29" s="159"/>
      <c r="C29" s="29"/>
      <c r="D29" s="30" t="s">
        <v>15</v>
      </c>
      <c r="E29" s="31"/>
      <c r="F29" s="164" t="s">
        <v>16</v>
      </c>
      <c r="G29" s="164"/>
      <c r="H29" s="159"/>
      <c r="I29" s="166" t="s">
        <v>17</v>
      </c>
      <c r="J29" s="167"/>
      <c r="K29" s="168"/>
    </row>
    <row r="30" spans="1:11" ht="18.75" customHeight="1">
      <c r="A30" s="160"/>
      <c r="B30" s="161"/>
      <c r="C30" s="169" t="s">
        <v>18</v>
      </c>
      <c r="D30" s="170"/>
      <c r="E30" s="32" t="s">
        <v>19</v>
      </c>
      <c r="F30" s="165"/>
      <c r="G30" s="165"/>
      <c r="H30" s="161"/>
      <c r="I30" s="169" t="s">
        <v>18</v>
      </c>
      <c r="J30" s="170"/>
      <c r="K30" s="32" t="s">
        <v>19</v>
      </c>
    </row>
    <row r="31" spans="1:11" ht="15.75" customHeight="1">
      <c r="A31" s="160"/>
      <c r="B31" s="161"/>
      <c r="C31" s="33" t="s">
        <v>20</v>
      </c>
      <c r="D31" s="34"/>
      <c r="E31" s="35">
        <f>B24</f>
        <v>0</v>
      </c>
      <c r="F31" s="165"/>
      <c r="G31" s="165"/>
      <c r="H31" s="161"/>
      <c r="I31" s="33" t="s">
        <v>7</v>
      </c>
      <c r="J31" s="34"/>
      <c r="K31" s="36"/>
    </row>
    <row r="32" spans="1:11" ht="15.75" customHeight="1">
      <c r="A32" s="160"/>
      <c r="B32" s="161"/>
      <c r="C32" s="33" t="s">
        <v>21</v>
      </c>
      <c r="D32" s="37"/>
      <c r="E32" s="35">
        <f>C24</f>
        <v>380480</v>
      </c>
      <c r="F32" s="165"/>
      <c r="G32" s="165"/>
      <c r="H32" s="161"/>
      <c r="I32" s="38" t="s">
        <v>22</v>
      </c>
      <c r="J32" s="39"/>
      <c r="K32" s="40"/>
    </row>
    <row r="33" spans="1:11" ht="15.75" customHeight="1">
      <c r="A33" s="160"/>
      <c r="B33" s="161"/>
      <c r="C33" s="33" t="s">
        <v>23</v>
      </c>
      <c r="D33" s="37"/>
      <c r="E33" s="35">
        <f>D24</f>
        <v>0</v>
      </c>
      <c r="F33" s="165"/>
      <c r="G33" s="165"/>
      <c r="H33" s="161"/>
      <c r="I33" s="38" t="s">
        <v>24</v>
      </c>
      <c r="J33" s="39"/>
      <c r="K33" s="40"/>
    </row>
    <row r="34" spans="1:11" ht="15.75" customHeight="1">
      <c r="A34" s="160"/>
      <c r="B34" s="161"/>
      <c r="C34" s="33" t="s">
        <v>25</v>
      </c>
      <c r="D34" s="37"/>
      <c r="E34" s="35">
        <f>E24</f>
        <v>0</v>
      </c>
      <c r="F34" s="165"/>
      <c r="G34" s="165"/>
      <c r="H34" s="161"/>
      <c r="I34" s="38"/>
      <c r="J34" s="39"/>
      <c r="K34" s="40"/>
    </row>
    <row r="35" spans="1:11" ht="15.75" customHeight="1">
      <c r="A35" s="160"/>
      <c r="B35" s="161"/>
      <c r="C35" s="41" t="s">
        <v>12</v>
      </c>
      <c r="D35" s="42"/>
      <c r="E35" s="43">
        <f>SUM(E31:E34)</f>
        <v>380480</v>
      </c>
      <c r="F35" s="165"/>
      <c r="G35" s="165"/>
      <c r="H35" s="161"/>
      <c r="I35" s="38"/>
      <c r="J35" s="39"/>
      <c r="K35" s="40"/>
    </row>
    <row r="36" spans="1:11" ht="15.75" customHeight="1">
      <c r="A36" s="160"/>
      <c r="B36" s="161"/>
      <c r="C36" s="171" t="s">
        <v>26</v>
      </c>
      <c r="D36" s="172"/>
      <c r="E36" s="173"/>
      <c r="F36" s="165"/>
      <c r="G36" s="165"/>
      <c r="H36" s="161"/>
      <c r="I36" s="38"/>
      <c r="J36" s="39"/>
      <c r="K36" s="40"/>
    </row>
    <row r="37" spans="1:11" ht="15.75" customHeight="1">
      <c r="A37" s="160"/>
      <c r="B37" s="161"/>
      <c r="C37" s="169" t="s">
        <v>18</v>
      </c>
      <c r="D37" s="170"/>
      <c r="E37" s="32" t="s">
        <v>19</v>
      </c>
      <c r="F37" s="165"/>
      <c r="G37" s="165"/>
      <c r="H37" s="161"/>
      <c r="I37" s="38"/>
      <c r="J37" s="39"/>
      <c r="K37" s="40"/>
    </row>
    <row r="38" spans="1:11" ht="15.75" customHeight="1">
      <c r="A38" s="160"/>
      <c r="B38" s="161"/>
      <c r="C38" s="44" t="s">
        <v>7</v>
      </c>
      <c r="D38" s="45"/>
      <c r="E38" s="46"/>
      <c r="F38" s="165"/>
      <c r="G38" s="165"/>
      <c r="H38" s="161"/>
      <c r="I38" s="41" t="s">
        <v>27</v>
      </c>
      <c r="J38" s="42"/>
      <c r="K38" s="43">
        <f>SUM(K31:K37)</f>
        <v>0</v>
      </c>
    </row>
    <row r="39" spans="1:11" ht="15.75" customHeight="1">
      <c r="A39" s="160"/>
      <c r="B39" s="161"/>
      <c r="C39" s="47" t="s">
        <v>24</v>
      </c>
      <c r="D39" s="48"/>
      <c r="E39" s="49"/>
      <c r="F39" s="165"/>
      <c r="G39" s="165"/>
      <c r="H39" s="161"/>
      <c r="I39" s="166" t="s">
        <v>28</v>
      </c>
      <c r="J39" s="167"/>
      <c r="K39" s="168"/>
    </row>
    <row r="40" spans="1:11" ht="18.75" customHeight="1">
      <c r="A40" s="162"/>
      <c r="B40" s="163"/>
      <c r="C40" s="41" t="s">
        <v>29</v>
      </c>
      <c r="D40" s="42"/>
      <c r="E40" s="43">
        <f>SUM(E38:E39)</f>
        <v>0</v>
      </c>
      <c r="F40" s="165"/>
      <c r="G40" s="165"/>
      <c r="H40" s="161"/>
      <c r="I40" s="38" t="s">
        <v>30</v>
      </c>
      <c r="J40" s="48"/>
      <c r="K40" s="49"/>
    </row>
    <row r="41" spans="1:11" ht="15.75" customHeight="1">
      <c r="A41" s="13"/>
      <c r="B41" s="50"/>
      <c r="C41" s="51"/>
      <c r="D41" s="52" t="s">
        <v>31</v>
      </c>
      <c r="E41" s="53">
        <f>E35+E40</f>
        <v>380480</v>
      </c>
      <c r="F41" s="54"/>
      <c r="G41" s="54"/>
      <c r="H41" s="55"/>
      <c r="I41" s="51"/>
      <c r="J41" s="52" t="s">
        <v>32</v>
      </c>
      <c r="K41" s="53">
        <f>K38+K40</f>
        <v>0</v>
      </c>
    </row>
    <row r="42" spans="1:11" ht="11.25" customHeight="1">
      <c r="A42" s="13"/>
      <c r="B42" s="18"/>
      <c r="C42" s="18"/>
      <c r="D42" s="18"/>
      <c r="E42" s="18"/>
      <c r="F42" s="57"/>
      <c r="G42" s="57"/>
      <c r="H42" s="135"/>
      <c r="I42" s="135"/>
      <c r="J42" s="17"/>
      <c r="K42" s="17"/>
    </row>
    <row r="43" spans="1:11" ht="28.5">
      <c r="A43" s="25"/>
      <c r="B43" s="27"/>
      <c r="C43" s="27"/>
      <c r="D43" s="27"/>
      <c r="E43" s="28"/>
      <c r="F43" s="26"/>
      <c r="G43" s="28" t="s">
        <v>33</v>
      </c>
      <c r="H43" s="27"/>
      <c r="I43" s="27"/>
      <c r="J43" s="27"/>
      <c r="K43" s="27"/>
    </row>
    <row r="44" spans="1:11" ht="17.100000000000001" customHeight="1">
      <c r="A44" s="136" t="s">
        <v>34</v>
      </c>
      <c r="B44" s="137"/>
      <c r="C44" s="58" t="s">
        <v>35</v>
      </c>
      <c r="D44" s="58" t="s">
        <v>36</v>
      </c>
      <c r="E44" s="59" t="s">
        <v>19</v>
      </c>
      <c r="F44" s="142" t="s">
        <v>37</v>
      </c>
      <c r="G44" s="143"/>
      <c r="H44" s="137"/>
      <c r="I44" s="58" t="s">
        <v>35</v>
      </c>
      <c r="J44" s="58" t="s">
        <v>36</v>
      </c>
      <c r="K44" s="58" t="s">
        <v>19</v>
      </c>
    </row>
    <row r="45" spans="1:11" ht="17.100000000000001" customHeight="1">
      <c r="A45" s="138"/>
      <c r="B45" s="139"/>
      <c r="C45" s="60">
        <v>20000</v>
      </c>
      <c r="D45" s="61">
        <v>1</v>
      </c>
      <c r="E45" s="62">
        <f>C45*D45</f>
        <v>20000</v>
      </c>
      <c r="F45" s="144"/>
      <c r="G45" s="145"/>
      <c r="H45" s="139"/>
      <c r="I45" s="60">
        <v>500</v>
      </c>
      <c r="J45" s="61">
        <v>2</v>
      </c>
      <c r="K45" s="63">
        <f>I45*J45</f>
        <v>1000</v>
      </c>
    </row>
    <row r="46" spans="1:11" ht="17.100000000000001" customHeight="1">
      <c r="A46" s="138"/>
      <c r="B46" s="139"/>
      <c r="C46" s="60">
        <v>10000</v>
      </c>
      <c r="D46" s="61"/>
      <c r="E46" s="62">
        <f>C46*D46</f>
        <v>0</v>
      </c>
      <c r="F46" s="144"/>
      <c r="G46" s="145"/>
      <c r="H46" s="139"/>
      <c r="I46" s="60">
        <v>100</v>
      </c>
      <c r="J46" s="61">
        <v>31</v>
      </c>
      <c r="K46" s="63">
        <f>I46*J46</f>
        <v>3100</v>
      </c>
    </row>
    <row r="47" spans="1:11" ht="17.100000000000001" customHeight="1">
      <c r="A47" s="138"/>
      <c r="B47" s="139"/>
      <c r="C47" s="60">
        <v>5000</v>
      </c>
      <c r="D47" s="61"/>
      <c r="E47" s="62">
        <f>C47*D47</f>
        <v>0</v>
      </c>
      <c r="F47" s="144"/>
      <c r="G47" s="145"/>
      <c r="H47" s="139"/>
      <c r="I47" s="60">
        <v>50</v>
      </c>
      <c r="J47" s="61">
        <v>8</v>
      </c>
      <c r="K47" s="63">
        <f>I47*J47</f>
        <v>400</v>
      </c>
    </row>
    <row r="48" spans="1:11" ht="17.100000000000001" customHeight="1">
      <c r="A48" s="138"/>
      <c r="B48" s="139"/>
      <c r="C48" s="60">
        <v>2000</v>
      </c>
      <c r="D48" s="61"/>
      <c r="E48" s="62">
        <f>C48*D48</f>
        <v>0</v>
      </c>
      <c r="F48" s="144"/>
      <c r="G48" s="145"/>
      <c r="H48" s="139"/>
      <c r="I48" s="60">
        <v>10</v>
      </c>
      <c r="J48" s="61">
        <v>13</v>
      </c>
      <c r="K48" s="63">
        <f>I48*J48</f>
        <v>130</v>
      </c>
    </row>
    <row r="49" spans="1:11" ht="17.100000000000001" customHeight="1">
      <c r="A49" s="140"/>
      <c r="B49" s="141"/>
      <c r="C49" s="60">
        <v>1000</v>
      </c>
      <c r="D49" s="61"/>
      <c r="E49" s="62">
        <f>C49*D49</f>
        <v>0</v>
      </c>
      <c r="F49" s="146"/>
      <c r="G49" s="147"/>
      <c r="H49" s="141"/>
      <c r="I49" s="60"/>
      <c r="J49" s="64"/>
      <c r="K49" s="63"/>
    </row>
    <row r="50" spans="1:11" ht="18.75">
      <c r="A50" s="13"/>
      <c r="B50" s="65"/>
      <c r="C50" s="66"/>
      <c r="D50" s="67" t="s">
        <v>38</v>
      </c>
      <c r="E50" s="68">
        <f>SUM(E45:E49)</f>
        <v>20000</v>
      </c>
      <c r="F50" s="54"/>
      <c r="G50" s="54"/>
      <c r="H50" s="55"/>
      <c r="I50" s="66"/>
      <c r="J50" s="67" t="s">
        <v>39</v>
      </c>
      <c r="K50" s="68">
        <f>SUM(K45:K49)</f>
        <v>4630</v>
      </c>
    </row>
    <row r="51" spans="1:11" ht="18.75">
      <c r="A51" s="13"/>
      <c r="B51" s="18"/>
      <c r="C51" s="18"/>
      <c r="D51" s="18"/>
      <c r="E51" s="18"/>
      <c r="F51" s="16"/>
      <c r="G51" s="16"/>
      <c r="H51" s="65"/>
      <c r="I51" s="65"/>
      <c r="J51" s="17"/>
      <c r="K51" s="17"/>
    </row>
    <row r="52" spans="1:11" ht="18" customHeight="1">
      <c r="A52" s="13"/>
      <c r="B52" s="18"/>
      <c r="C52" s="18"/>
      <c r="D52" s="18"/>
      <c r="E52" s="18"/>
      <c r="F52" s="69"/>
      <c r="G52" s="69"/>
      <c r="H52" s="70" t="s">
        <v>40</v>
      </c>
      <c r="I52" s="71"/>
      <c r="J52" s="69"/>
      <c r="K52" s="17"/>
    </row>
    <row r="53" spans="1:11" ht="4.5" customHeight="1">
      <c r="A53" s="13"/>
      <c r="B53" s="18"/>
      <c r="C53" s="18"/>
      <c r="D53" s="18"/>
      <c r="E53" s="18"/>
      <c r="F53" s="16"/>
      <c r="G53" s="16"/>
      <c r="H53" s="17"/>
      <c r="I53" s="17"/>
      <c r="J53" s="17"/>
      <c r="K53" s="17"/>
    </row>
    <row r="54" spans="1:11" ht="15" customHeight="1">
      <c r="A54" s="72"/>
      <c r="B54" s="148" t="s">
        <v>41</v>
      </c>
      <c r="C54" s="149"/>
      <c r="D54" s="150"/>
      <c r="E54" s="18"/>
      <c r="F54" s="73"/>
      <c r="G54" s="73"/>
      <c r="H54" s="74" t="s">
        <v>42</v>
      </c>
      <c r="I54" s="75">
        <v>24630</v>
      </c>
      <c r="J54" s="76"/>
      <c r="K54" s="17"/>
    </row>
    <row r="55" spans="1:11" ht="4.5" customHeight="1">
      <c r="A55" s="72"/>
      <c r="B55" s="151"/>
      <c r="C55" s="152"/>
      <c r="D55" s="153"/>
      <c r="E55" s="18"/>
      <c r="F55" s="16"/>
      <c r="G55" s="16"/>
      <c r="H55" s="17"/>
      <c r="I55" s="77"/>
      <c r="J55" s="17"/>
      <c r="K55" s="17"/>
    </row>
    <row r="56" spans="1:11" ht="18.75" customHeight="1">
      <c r="A56" s="78"/>
      <c r="B56" s="154"/>
      <c r="C56" s="154"/>
      <c r="D56" s="154"/>
      <c r="E56" s="18"/>
      <c r="F56" s="79"/>
      <c r="G56" s="79"/>
      <c r="H56" s="80" t="s">
        <v>43</v>
      </c>
      <c r="I56" s="81">
        <f>E50+K50</f>
        <v>24630</v>
      </c>
      <c r="J56" s="82"/>
      <c r="K56" s="17"/>
    </row>
    <row r="57" spans="1:11" ht="4.5" customHeight="1">
      <c r="A57" s="78"/>
      <c r="B57" s="154"/>
      <c r="C57" s="154"/>
      <c r="D57" s="154"/>
      <c r="E57" s="18"/>
      <c r="F57" s="56"/>
      <c r="G57" s="56"/>
      <c r="H57" s="57"/>
      <c r="I57" s="83"/>
      <c r="J57" s="65"/>
      <c r="K57" s="17"/>
    </row>
    <row r="58" spans="1:11" ht="18.75">
      <c r="A58" s="78"/>
      <c r="B58" s="154"/>
      <c r="C58" s="154"/>
      <c r="D58" s="154"/>
      <c r="E58" s="18"/>
      <c r="F58" s="79"/>
      <c r="G58" s="79"/>
      <c r="H58" s="80" t="s">
        <v>12</v>
      </c>
      <c r="I58" s="81">
        <f>K26</f>
        <v>380480</v>
      </c>
      <c r="J58" s="82"/>
      <c r="K58" s="24"/>
    </row>
    <row r="59" spans="1:11" ht="4.5" customHeight="1">
      <c r="A59" s="78"/>
      <c r="B59" s="154"/>
      <c r="C59" s="154"/>
      <c r="D59" s="154"/>
      <c r="E59" s="18"/>
      <c r="F59" s="56"/>
      <c r="G59" s="56"/>
      <c r="H59" s="57"/>
      <c r="I59" s="83"/>
      <c r="J59" s="18"/>
      <c r="K59" s="17"/>
    </row>
    <row r="60" spans="1:11" ht="18.75">
      <c r="A60" s="78"/>
      <c r="B60" s="154"/>
      <c r="C60" s="154"/>
      <c r="D60" s="154"/>
      <c r="E60" s="18"/>
      <c r="F60" s="84"/>
      <c r="G60" s="84"/>
      <c r="H60" s="85" t="s">
        <v>26</v>
      </c>
      <c r="I60" s="86">
        <f>E38</f>
        <v>0</v>
      </c>
      <c r="J60" s="82"/>
      <c r="K60" s="17"/>
    </row>
    <row r="61" spans="1:11" ht="4.5" customHeight="1">
      <c r="A61" s="78"/>
      <c r="B61" s="154"/>
      <c r="C61" s="154"/>
      <c r="D61" s="154"/>
      <c r="E61" s="18"/>
      <c r="F61" s="13"/>
      <c r="G61" s="13"/>
      <c r="H61" s="16"/>
      <c r="I61" s="77"/>
      <c r="J61" s="17"/>
      <c r="K61" s="17"/>
    </row>
    <row r="62" spans="1:11" ht="18.75">
      <c r="A62" s="78"/>
      <c r="B62" s="154"/>
      <c r="C62" s="154"/>
      <c r="D62" s="154"/>
      <c r="E62" s="18"/>
      <c r="F62" s="84"/>
      <c r="G62" s="84"/>
      <c r="H62" s="85" t="s">
        <v>17</v>
      </c>
      <c r="I62" s="86">
        <f>K31+K40</f>
        <v>0</v>
      </c>
      <c r="J62" s="82"/>
      <c r="K62" s="17"/>
    </row>
    <row r="63" spans="1:11" ht="4.5" customHeight="1">
      <c r="A63" s="78"/>
      <c r="B63" s="154"/>
      <c r="C63" s="154"/>
      <c r="D63" s="154"/>
      <c r="E63" s="18"/>
      <c r="F63" s="13"/>
      <c r="G63" s="13"/>
      <c r="H63" s="16"/>
      <c r="I63" s="77"/>
      <c r="J63" s="17"/>
      <c r="K63" s="17"/>
    </row>
    <row r="64" spans="1:11" ht="18.75">
      <c r="A64" s="78"/>
      <c r="B64" s="154"/>
      <c r="C64" s="154"/>
      <c r="D64" s="154"/>
      <c r="E64" s="18"/>
      <c r="F64" s="84"/>
      <c r="G64" s="84"/>
      <c r="H64" s="85" t="s">
        <v>44</v>
      </c>
      <c r="I64" s="86">
        <f>I54+I58+I60-I62</f>
        <v>405110</v>
      </c>
      <c r="J64" s="87"/>
      <c r="K64" s="17"/>
    </row>
    <row r="65" spans="1:11" ht="4.5" customHeight="1">
      <c r="A65" s="13"/>
      <c r="B65" s="154"/>
      <c r="C65" s="154"/>
      <c r="D65" s="154"/>
      <c r="E65" s="18"/>
      <c r="F65" s="16"/>
      <c r="G65" s="16"/>
      <c r="H65" s="18"/>
      <c r="I65" s="77"/>
      <c r="J65" s="17"/>
      <c r="K65" s="17"/>
    </row>
    <row r="66" spans="1:11" ht="18.75">
      <c r="A66" s="13"/>
      <c r="B66" s="154"/>
      <c r="C66" s="154"/>
      <c r="D66" s="154"/>
      <c r="E66" s="18"/>
      <c r="F66" s="73"/>
      <c r="G66" s="73"/>
      <c r="H66" s="74" t="s">
        <v>45</v>
      </c>
      <c r="I66" s="86">
        <f>I64-I54</f>
        <v>380480</v>
      </c>
      <c r="J66" s="88"/>
      <c r="K66" s="17"/>
    </row>
    <row r="67" spans="1:11" ht="4.5" customHeight="1">
      <c r="A67" s="78"/>
      <c r="B67" s="154"/>
      <c r="C67" s="154"/>
      <c r="D67" s="154"/>
      <c r="E67" s="18"/>
      <c r="F67" s="16"/>
      <c r="G67" s="16"/>
      <c r="H67" s="16"/>
      <c r="I67" s="77"/>
      <c r="J67" s="17"/>
      <c r="K67" s="17"/>
    </row>
    <row r="68" spans="1:11" ht="18.75">
      <c r="A68" s="13"/>
      <c r="B68" s="154"/>
      <c r="C68" s="154"/>
      <c r="D68" s="154"/>
      <c r="E68" s="18"/>
      <c r="F68" s="79"/>
      <c r="G68" s="79"/>
      <c r="H68" s="80" t="s">
        <v>46</v>
      </c>
      <c r="I68" s="86">
        <f>I54+E31+(E38-(K31+K40))</f>
        <v>24630</v>
      </c>
      <c r="J68" s="88"/>
      <c r="K68" s="17"/>
    </row>
    <row r="69" spans="1:11" ht="4.5" customHeight="1">
      <c r="A69" s="78"/>
      <c r="B69" s="154"/>
      <c r="C69" s="154"/>
      <c r="D69" s="154"/>
      <c r="E69" s="18"/>
      <c r="F69" s="16"/>
      <c r="G69" s="16"/>
      <c r="H69" s="16"/>
      <c r="I69" s="77"/>
      <c r="J69" s="17"/>
      <c r="K69" s="17"/>
    </row>
    <row r="70" spans="1:11" ht="18.75" customHeight="1">
      <c r="A70" s="78"/>
      <c r="B70" s="154"/>
      <c r="C70" s="154"/>
      <c r="D70" s="154"/>
      <c r="E70" s="18"/>
      <c r="F70" s="79"/>
      <c r="G70" s="79"/>
      <c r="H70" s="80" t="s">
        <v>47</v>
      </c>
      <c r="I70" s="89">
        <f>I56-I68</f>
        <v>0</v>
      </c>
      <c r="J70" s="90"/>
      <c r="K70" s="17"/>
    </row>
    <row r="71" spans="1:11" ht="15" customHeight="1">
      <c r="A71" s="91"/>
      <c r="B71" s="92"/>
      <c r="C71" s="92"/>
      <c r="D71" s="92"/>
      <c r="E71" s="93"/>
      <c r="F71" s="94"/>
      <c r="G71" s="94"/>
      <c r="H71" s="95"/>
      <c r="I71" s="95"/>
      <c r="J71" s="95"/>
      <c r="K71" s="95"/>
    </row>
    <row r="72" spans="1:11" ht="15" customHeight="1">
      <c r="A72" s="91"/>
      <c r="B72" s="92"/>
      <c r="C72" s="92"/>
      <c r="D72" s="92"/>
      <c r="E72" s="93"/>
      <c r="F72" s="94"/>
      <c r="G72" s="94"/>
      <c r="H72" s="95"/>
      <c r="I72" s="95"/>
      <c r="J72" s="95"/>
      <c r="K72" s="95"/>
    </row>
    <row r="73" spans="1:11" ht="15" customHeight="1">
      <c r="A73" s="91"/>
      <c r="B73" s="92"/>
      <c r="C73" s="92"/>
      <c r="D73" s="92"/>
      <c r="E73" s="93"/>
      <c r="F73" s="94"/>
      <c r="G73" s="94"/>
      <c r="H73" s="95"/>
      <c r="I73" s="95"/>
      <c r="J73" s="95"/>
      <c r="K73" s="95"/>
    </row>
    <row r="74" spans="1:11" ht="15" customHeight="1">
      <c r="A74" s="91"/>
      <c r="B74" s="92"/>
      <c r="C74" s="92"/>
      <c r="D74" s="92"/>
      <c r="E74" s="93"/>
      <c r="F74" s="94"/>
      <c r="G74" s="94"/>
      <c r="H74" s="95"/>
      <c r="I74" s="95"/>
      <c r="J74" s="95"/>
      <c r="K74" s="95"/>
    </row>
    <row r="75" spans="1:11" ht="15.75" customHeight="1">
      <c r="A75" s="91"/>
      <c r="B75" s="92"/>
      <c r="C75" s="92"/>
      <c r="D75" s="92"/>
      <c r="E75" s="93"/>
      <c r="F75" s="94"/>
      <c r="G75" s="94"/>
      <c r="H75" s="95"/>
      <c r="I75" s="95"/>
      <c r="J75" s="95"/>
      <c r="K75" s="95"/>
    </row>
    <row r="76" spans="1:11" ht="14.25" customHeight="1">
      <c r="A76" s="91"/>
      <c r="B76" s="92"/>
      <c r="C76" s="92"/>
      <c r="D76" s="92"/>
      <c r="E76" s="93"/>
      <c r="F76" s="94"/>
      <c r="G76" s="94"/>
      <c r="H76" s="95"/>
      <c r="I76" s="95"/>
      <c r="J76" s="95"/>
      <c r="K76" s="95"/>
    </row>
    <row r="77" spans="1:11">
      <c r="A77" s="96"/>
      <c r="B77" s="98"/>
      <c r="C77" s="98"/>
      <c r="D77" s="98"/>
      <c r="E77" s="98"/>
      <c r="F77" s="97"/>
      <c r="G77" s="97"/>
      <c r="H77" s="99"/>
      <c r="I77" s="99"/>
      <c r="J77" s="99"/>
      <c r="K77" s="99"/>
    </row>
    <row r="78" spans="1:11">
      <c r="D78" s="102"/>
      <c r="E78" s="102"/>
    </row>
    <row r="79" spans="1:11">
      <c r="D79" s="102"/>
      <c r="E79" s="102"/>
      <c r="H79" s="102"/>
    </row>
    <row r="80" spans="1:11">
      <c r="D80" s="102"/>
      <c r="E80" s="102"/>
      <c r="H80" s="102"/>
    </row>
    <row r="81" spans="4:11">
      <c r="D81" s="102"/>
      <c r="E81" s="102"/>
      <c r="H81" s="102"/>
      <c r="I81" s="102"/>
      <c r="J81" s="102"/>
      <c r="K81" s="102"/>
    </row>
    <row r="82" spans="4:11">
      <c r="D82" s="102"/>
      <c r="E82" s="102"/>
      <c r="H82" s="102"/>
      <c r="I82" s="102"/>
      <c r="J82" s="102"/>
      <c r="K82" s="102"/>
    </row>
    <row r="83" spans="4:11">
      <c r="D83" s="102"/>
      <c r="E83" s="102"/>
      <c r="H83" s="102"/>
      <c r="I83" s="102"/>
      <c r="J83" s="102"/>
      <c r="K83" s="102"/>
    </row>
    <row r="84" spans="4:11">
      <c r="D84" s="102"/>
      <c r="E84" s="102"/>
      <c r="H84" s="102"/>
      <c r="I84" s="102"/>
      <c r="J84" s="102"/>
      <c r="K84" s="102"/>
    </row>
    <row r="85" spans="4:11">
      <c r="D85" s="102"/>
      <c r="E85" s="102"/>
      <c r="H85" s="102"/>
      <c r="I85" s="102"/>
      <c r="J85" s="102"/>
      <c r="K85" s="102"/>
    </row>
    <row r="86" spans="4:11">
      <c r="D86" s="102"/>
      <c r="E86" s="102"/>
      <c r="H86" s="102"/>
      <c r="I86" s="102"/>
      <c r="J86" s="102"/>
      <c r="K86" s="102"/>
    </row>
    <row r="87" spans="4:11">
      <c r="D87" s="102"/>
      <c r="E87" s="102"/>
      <c r="H87" s="102"/>
      <c r="I87" s="102"/>
      <c r="J87" s="102"/>
      <c r="K87" s="102"/>
    </row>
    <row r="88" spans="4:11">
      <c r="D88" s="102"/>
      <c r="E88" s="102"/>
      <c r="H88" s="102"/>
      <c r="I88" s="102"/>
      <c r="J88" s="102"/>
      <c r="K88" s="102"/>
    </row>
  </sheetData>
  <mergeCells count="39">
    <mergeCell ref="F9:K9"/>
    <mergeCell ref="A1:B1"/>
    <mergeCell ref="C1:E1"/>
    <mergeCell ref="F1:G1"/>
    <mergeCell ref="H1:K1"/>
    <mergeCell ref="A3:K3"/>
    <mergeCell ref="A4:K4"/>
    <mergeCell ref="A5:A6"/>
    <mergeCell ref="B5:E5"/>
    <mergeCell ref="F5:K6"/>
    <mergeCell ref="F7:K7"/>
    <mergeCell ref="F8:K8"/>
    <mergeCell ref="F21:K21"/>
    <mergeCell ref="F10:K10"/>
    <mergeCell ref="F11:K11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22:K22"/>
    <mergeCell ref="F23:K23"/>
    <mergeCell ref="A29:B40"/>
    <mergeCell ref="F29:H40"/>
    <mergeCell ref="I29:K29"/>
    <mergeCell ref="C30:D30"/>
    <mergeCell ref="I30:J30"/>
    <mergeCell ref="C36:E36"/>
    <mergeCell ref="C37:D37"/>
    <mergeCell ref="I39:K39"/>
    <mergeCell ref="H42:I42"/>
    <mergeCell ref="A44:B49"/>
    <mergeCell ref="F44:H49"/>
    <mergeCell ref="B54:D55"/>
    <mergeCell ref="B56:D70"/>
  </mergeCells>
  <conditionalFormatting sqref="I70">
    <cfRule type="expression" dxfId="47" priority="1">
      <formula>$I70=0</formula>
    </cfRule>
    <cfRule type="expression" dxfId="46" priority="2">
      <formula>$I70&gt;=1</formula>
    </cfRule>
    <cfRule type="expression" dxfId="45" priority="3">
      <formula>$I70&lt;=-1</formula>
    </cfRule>
  </conditionalFormatting>
  <pageMargins left="0.25" right="0.25" top="0.75" bottom="0.75" header="0.3" footer="0.3"/>
  <pageSetup paperSize="9" scale="6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93EC-5F49-4D68-B78C-A11A4AA8FC1E}">
  <sheetPr>
    <tabColor theme="7"/>
    <pageSetUpPr fitToPage="1"/>
  </sheetPr>
  <dimension ref="A1:K88"/>
  <sheetViews>
    <sheetView showWhiteSpace="0" view="pageLayout" topLeftCell="E42" zoomScale="80" zoomScaleNormal="80" zoomScalePageLayoutView="80" workbookViewId="0">
      <selection activeCell="F71" sqref="F71"/>
    </sheetView>
  </sheetViews>
  <sheetFormatPr defaultColWidth="20.7109375" defaultRowHeight="15"/>
  <cols>
    <col min="1" max="1" width="13.5703125" style="100" customWidth="1"/>
    <col min="2" max="3" width="13.7109375" style="102" customWidth="1"/>
    <col min="4" max="4" width="13.7109375" style="103" customWidth="1"/>
    <col min="5" max="5" width="14.7109375" style="104" customWidth="1"/>
    <col min="6" max="7" width="13.7109375" style="101" customWidth="1"/>
    <col min="8" max="10" width="13.7109375" style="103" customWidth="1"/>
    <col min="11" max="11" width="28.140625" style="103" customWidth="1"/>
    <col min="12" max="14" width="6.7109375" customWidth="1"/>
    <col min="15" max="17" width="10.7109375" customWidth="1"/>
    <col min="18" max="18" width="17.42578125" customWidth="1"/>
    <col min="19" max="19" width="10.7109375" customWidth="1"/>
    <col min="20" max="23" width="6.7109375" customWidth="1"/>
    <col min="24" max="26" width="10.7109375" customWidth="1"/>
    <col min="27" max="27" width="17.42578125" customWidth="1"/>
    <col min="28" max="28" width="10.7109375" customWidth="1"/>
    <col min="29" max="32" width="6.7109375" customWidth="1"/>
    <col min="33" max="35" width="10.7109375" customWidth="1"/>
    <col min="36" max="36" width="17.42578125" customWidth="1"/>
    <col min="37" max="37" width="10.7109375" customWidth="1"/>
    <col min="38" max="41" width="6.7109375" customWidth="1"/>
    <col min="42" max="44" width="10.7109375" customWidth="1"/>
    <col min="45" max="45" width="17.42578125" customWidth="1"/>
    <col min="46" max="46" width="10.7109375" customWidth="1"/>
    <col min="47" max="50" width="6.7109375" customWidth="1"/>
    <col min="51" max="53" width="10.7109375" customWidth="1"/>
    <col min="54" max="54" width="17.42578125" customWidth="1"/>
    <col min="55" max="55" width="10.7109375" customWidth="1"/>
    <col min="56" max="59" width="6.7109375" customWidth="1"/>
    <col min="60" max="62" width="10.7109375" customWidth="1"/>
    <col min="63" max="63" width="17.42578125" customWidth="1"/>
    <col min="64" max="64" width="10.7109375" customWidth="1"/>
    <col min="65" max="68" width="6.7109375" customWidth="1"/>
    <col min="69" max="71" width="10.7109375" customWidth="1"/>
    <col min="72" max="72" width="17.42578125" customWidth="1"/>
    <col min="73" max="73" width="10.7109375" customWidth="1"/>
    <col min="74" max="77" width="6.7109375" customWidth="1"/>
    <col min="78" max="80" width="10.7109375" customWidth="1"/>
    <col min="81" max="81" width="17.42578125" customWidth="1"/>
    <col min="82" max="82" width="10.7109375" customWidth="1"/>
    <col min="83" max="86" width="6.7109375" customWidth="1"/>
    <col min="87" max="89" width="10.7109375" customWidth="1"/>
    <col min="90" max="90" width="17.42578125" customWidth="1"/>
    <col min="91" max="91" width="10.7109375" customWidth="1"/>
    <col min="92" max="95" width="6.7109375" customWidth="1"/>
    <col min="96" max="98" width="10.7109375" customWidth="1"/>
    <col min="99" max="99" width="17.42578125" customWidth="1"/>
    <col min="100" max="100" width="10.7109375" customWidth="1"/>
    <col min="101" max="104" width="6.7109375" customWidth="1"/>
    <col min="105" max="107" width="10.7109375" customWidth="1"/>
    <col min="108" max="108" width="17.42578125" customWidth="1"/>
    <col min="109" max="109" width="10.7109375" customWidth="1"/>
    <col min="110" max="113" width="6.7109375" customWidth="1"/>
    <col min="114" max="116" width="10.7109375" customWidth="1"/>
    <col min="117" max="117" width="17.42578125" customWidth="1"/>
    <col min="118" max="118" width="10.7109375" customWidth="1"/>
    <col min="119" max="122" width="6.7109375" customWidth="1"/>
    <col min="123" max="125" width="10.7109375" customWidth="1"/>
    <col min="126" max="126" width="17.42578125" customWidth="1"/>
    <col min="127" max="127" width="10.7109375" customWidth="1"/>
    <col min="128" max="131" width="6.7109375" customWidth="1"/>
    <col min="132" max="134" width="10.7109375" customWidth="1"/>
    <col min="135" max="135" width="17.42578125" customWidth="1"/>
    <col min="136" max="136" width="10.7109375" customWidth="1"/>
    <col min="137" max="140" width="6.7109375" customWidth="1"/>
    <col min="141" max="143" width="10.7109375" customWidth="1"/>
    <col min="144" max="144" width="17.42578125" customWidth="1"/>
    <col min="145" max="145" width="10.7109375" customWidth="1"/>
    <col min="146" max="149" width="6.7109375" customWidth="1"/>
    <col min="150" max="152" width="10.7109375" customWidth="1"/>
    <col min="153" max="153" width="17.42578125" customWidth="1"/>
    <col min="154" max="154" width="10.7109375" customWidth="1"/>
    <col min="155" max="158" width="6.7109375" customWidth="1"/>
    <col min="159" max="161" width="10.7109375" customWidth="1"/>
    <col min="162" max="162" width="17.42578125" customWidth="1"/>
    <col min="163" max="163" width="10.7109375" customWidth="1"/>
    <col min="164" max="167" width="6.7109375" customWidth="1"/>
    <col min="168" max="170" width="10.7109375" customWidth="1"/>
    <col min="171" max="171" width="17.42578125" customWidth="1"/>
    <col min="172" max="172" width="10.7109375" customWidth="1"/>
    <col min="173" max="176" width="6.7109375" customWidth="1"/>
    <col min="177" max="179" width="10.7109375" customWidth="1"/>
    <col min="180" max="180" width="17.42578125" customWidth="1"/>
    <col min="181" max="181" width="10.7109375" customWidth="1"/>
    <col min="182" max="185" width="6.7109375" customWidth="1"/>
    <col min="186" max="188" width="10.7109375" customWidth="1"/>
    <col min="189" max="189" width="17.42578125" customWidth="1"/>
    <col min="190" max="190" width="10.7109375" customWidth="1"/>
    <col min="191" max="194" width="6.7109375" customWidth="1"/>
    <col min="195" max="197" width="10.7109375" customWidth="1"/>
    <col min="198" max="198" width="17.42578125" customWidth="1"/>
    <col min="199" max="199" width="10.7109375" customWidth="1"/>
    <col min="200" max="203" width="6.7109375" customWidth="1"/>
    <col min="204" max="206" width="10.7109375" customWidth="1"/>
    <col min="207" max="207" width="17.42578125" customWidth="1"/>
    <col min="208" max="208" width="10.7109375" customWidth="1"/>
    <col min="209" max="212" width="6.7109375" customWidth="1"/>
    <col min="213" max="215" width="10.7109375" customWidth="1"/>
    <col min="216" max="216" width="17.42578125" customWidth="1"/>
    <col min="217" max="217" width="10.7109375" customWidth="1"/>
    <col min="218" max="221" width="6.7109375" customWidth="1"/>
    <col min="222" max="224" width="10.7109375" customWidth="1"/>
    <col min="225" max="225" width="17.42578125" customWidth="1"/>
    <col min="226" max="226" width="10.7109375" customWidth="1"/>
    <col min="227" max="230" width="6.7109375" customWidth="1"/>
    <col min="231" max="233" width="10.7109375" customWidth="1"/>
    <col min="234" max="234" width="17.42578125" customWidth="1"/>
    <col min="235" max="235" width="10.7109375" customWidth="1"/>
    <col min="236" max="239" width="6.7109375" customWidth="1"/>
    <col min="240" max="242" width="10.7109375" customWidth="1"/>
    <col min="243" max="243" width="17.42578125" customWidth="1"/>
    <col min="244" max="244" width="10.7109375" customWidth="1"/>
    <col min="245" max="248" width="6.7109375" customWidth="1"/>
    <col min="249" max="251" width="10.7109375" customWidth="1"/>
    <col min="252" max="252" width="17.42578125" customWidth="1"/>
    <col min="253" max="253" width="10.7109375" customWidth="1"/>
    <col min="254" max="257" width="6.7109375" customWidth="1"/>
    <col min="258" max="260" width="10.7109375" customWidth="1"/>
    <col min="261" max="261" width="17.42578125" customWidth="1"/>
    <col min="262" max="262" width="10.7109375" customWidth="1"/>
    <col min="263" max="266" width="6.7109375" customWidth="1"/>
    <col min="267" max="269" width="10.7109375" customWidth="1"/>
    <col min="270" max="270" width="17.42578125" customWidth="1"/>
    <col min="271" max="271" width="10.7109375" customWidth="1"/>
    <col min="272" max="275" width="6.7109375" customWidth="1"/>
    <col min="276" max="278" width="10.7109375" customWidth="1"/>
    <col min="279" max="279" width="17.42578125" customWidth="1"/>
    <col min="280" max="280" width="10.7109375" customWidth="1"/>
    <col min="281" max="284" width="6.7109375" customWidth="1"/>
    <col min="285" max="287" width="10.7109375" customWidth="1"/>
    <col min="288" max="288" width="17.42578125" customWidth="1"/>
    <col min="289" max="289" width="10.7109375" customWidth="1"/>
    <col min="290" max="293" width="6.7109375" customWidth="1"/>
    <col min="294" max="296" width="10.7109375" customWidth="1"/>
    <col min="297" max="297" width="17.42578125" customWidth="1"/>
    <col min="298" max="298" width="10.7109375" customWidth="1"/>
    <col min="299" max="302" width="6.7109375" customWidth="1"/>
    <col min="303" max="305" width="10.7109375" customWidth="1"/>
    <col min="306" max="306" width="17.42578125" customWidth="1"/>
    <col min="307" max="307" width="10.7109375" customWidth="1"/>
    <col min="308" max="311" width="6.7109375" customWidth="1"/>
    <col min="312" max="314" width="10.7109375" customWidth="1"/>
    <col min="315" max="315" width="17.42578125" customWidth="1"/>
    <col min="316" max="316" width="10.7109375" customWidth="1"/>
    <col min="317" max="320" width="6.7109375" customWidth="1"/>
    <col min="321" max="323" width="10.7109375" customWidth="1"/>
    <col min="324" max="324" width="17.42578125" customWidth="1"/>
    <col min="325" max="325" width="10.7109375" customWidth="1"/>
    <col min="326" max="329" width="6.7109375" customWidth="1"/>
    <col min="330" max="332" width="10.7109375" customWidth="1"/>
    <col min="333" max="333" width="17.42578125" customWidth="1"/>
    <col min="334" max="334" width="10.7109375" customWidth="1"/>
    <col min="335" max="338" width="6.7109375" customWidth="1"/>
    <col min="339" max="341" width="10.7109375" customWidth="1"/>
    <col min="342" max="342" width="17.42578125" customWidth="1"/>
    <col min="343" max="343" width="10.7109375" customWidth="1"/>
    <col min="344" max="347" width="6.7109375" customWidth="1"/>
    <col min="348" max="350" width="10.7109375" customWidth="1"/>
    <col min="351" max="351" width="17.42578125" customWidth="1"/>
    <col min="352" max="352" width="10.7109375" customWidth="1"/>
    <col min="353" max="356" width="6.7109375" customWidth="1"/>
    <col min="357" max="359" width="10.7109375" customWidth="1"/>
    <col min="360" max="360" width="17.42578125" customWidth="1"/>
    <col min="361" max="361" width="10.7109375" customWidth="1"/>
    <col min="362" max="365" width="6.7109375" customWidth="1"/>
    <col min="366" max="368" width="10.7109375" customWidth="1"/>
    <col min="369" max="369" width="17.42578125" customWidth="1"/>
    <col min="370" max="370" width="10.7109375" customWidth="1"/>
    <col min="371" max="374" width="6.7109375" customWidth="1"/>
    <col min="375" max="377" width="10.7109375" customWidth="1"/>
    <col min="378" max="378" width="17.42578125" customWidth="1"/>
    <col min="379" max="379" width="10.7109375" customWidth="1"/>
    <col min="380" max="383" width="6.7109375" customWidth="1"/>
    <col min="384" max="386" width="10.7109375" customWidth="1"/>
    <col min="387" max="387" width="17.42578125" customWidth="1"/>
    <col min="388" max="388" width="10.7109375" customWidth="1"/>
    <col min="389" max="392" width="6.7109375" customWidth="1"/>
    <col min="393" max="395" width="10.7109375" customWidth="1"/>
    <col min="396" max="396" width="17.42578125" customWidth="1"/>
    <col min="397" max="397" width="10.7109375" customWidth="1"/>
    <col min="398" max="401" width="6.7109375" customWidth="1"/>
    <col min="402" max="404" width="10.7109375" customWidth="1"/>
    <col min="405" max="405" width="17.42578125" customWidth="1"/>
    <col min="406" max="406" width="10.7109375" customWidth="1"/>
    <col min="407" max="410" width="6.7109375" customWidth="1"/>
    <col min="411" max="413" width="10.7109375" customWidth="1"/>
    <col min="414" max="414" width="17.42578125" customWidth="1"/>
    <col min="415" max="415" width="10.7109375" customWidth="1"/>
    <col min="416" max="419" width="6.7109375" customWidth="1"/>
    <col min="420" max="422" width="10.7109375" customWidth="1"/>
    <col min="423" max="423" width="17.42578125" customWidth="1"/>
    <col min="424" max="424" width="10.7109375" customWidth="1"/>
    <col min="425" max="428" width="6.7109375" customWidth="1"/>
    <col min="429" max="431" width="10.7109375" customWidth="1"/>
    <col min="432" max="432" width="17.42578125" customWidth="1"/>
    <col min="433" max="433" width="10.7109375" customWidth="1"/>
    <col min="434" max="437" width="6.7109375" customWidth="1"/>
    <col min="438" max="440" width="10.7109375" customWidth="1"/>
    <col min="441" max="441" width="17.42578125" customWidth="1"/>
    <col min="442" max="442" width="10.7109375" customWidth="1"/>
    <col min="443" max="446" width="6.7109375" customWidth="1"/>
    <col min="447" max="449" width="10.7109375" customWidth="1"/>
    <col min="450" max="450" width="17.42578125" customWidth="1"/>
    <col min="451" max="451" width="10.7109375" customWidth="1"/>
    <col min="452" max="455" width="6.7109375" customWidth="1"/>
    <col min="456" max="458" width="10.7109375" customWidth="1"/>
    <col min="459" max="459" width="17.42578125" customWidth="1"/>
    <col min="460" max="460" width="10.7109375" customWidth="1"/>
    <col min="461" max="464" width="6.7109375" customWidth="1"/>
    <col min="465" max="467" width="10.7109375" customWidth="1"/>
    <col min="468" max="468" width="17.42578125" customWidth="1"/>
    <col min="469" max="469" width="10.7109375" customWidth="1"/>
    <col min="470" max="473" width="6.7109375" customWidth="1"/>
    <col min="474" max="476" width="10.7109375" customWidth="1"/>
    <col min="477" max="477" width="17.42578125" customWidth="1"/>
    <col min="478" max="478" width="10.7109375" customWidth="1"/>
    <col min="479" max="482" width="6.7109375" customWidth="1"/>
    <col min="483" max="485" width="10.7109375" customWidth="1"/>
    <col min="486" max="486" width="17.42578125" customWidth="1"/>
    <col min="487" max="487" width="10.7109375" customWidth="1"/>
    <col min="488" max="491" width="6.7109375" customWidth="1"/>
    <col min="492" max="494" width="10.7109375" customWidth="1"/>
    <col min="495" max="495" width="17.42578125" customWidth="1"/>
    <col min="496" max="496" width="10.7109375" customWidth="1"/>
    <col min="497" max="500" width="6.7109375" customWidth="1"/>
    <col min="501" max="503" width="10.7109375" customWidth="1"/>
    <col min="504" max="504" width="17.42578125" customWidth="1"/>
    <col min="505" max="505" width="10.7109375" customWidth="1"/>
    <col min="506" max="509" width="6.7109375" customWidth="1"/>
    <col min="510" max="512" width="10.7109375" customWidth="1"/>
    <col min="513" max="513" width="17.42578125" customWidth="1"/>
    <col min="514" max="514" width="10.7109375" customWidth="1"/>
    <col min="515" max="518" width="6.7109375" customWidth="1"/>
    <col min="519" max="521" width="10.7109375" customWidth="1"/>
    <col min="522" max="522" width="17.42578125" customWidth="1"/>
    <col min="523" max="523" width="10.7109375" customWidth="1"/>
    <col min="524" max="527" width="6.7109375" customWidth="1"/>
    <col min="528" max="530" width="10.7109375" customWidth="1"/>
    <col min="531" max="531" width="17.42578125" customWidth="1"/>
    <col min="532" max="532" width="10.7109375" customWidth="1"/>
    <col min="533" max="536" width="6.7109375" customWidth="1"/>
    <col min="537" max="539" width="10.7109375" customWidth="1"/>
    <col min="540" max="540" width="17.42578125" customWidth="1"/>
    <col min="541" max="541" width="10.7109375" customWidth="1"/>
    <col min="542" max="545" width="6.7109375" customWidth="1"/>
    <col min="546" max="548" width="10.7109375" customWidth="1"/>
    <col min="549" max="549" width="17.42578125" customWidth="1"/>
    <col min="550" max="550" width="10.7109375" customWidth="1"/>
    <col min="551" max="554" width="6.7109375" customWidth="1"/>
    <col min="555" max="557" width="10.7109375" customWidth="1"/>
    <col min="558" max="558" width="17.42578125" customWidth="1"/>
    <col min="559" max="559" width="10.7109375" customWidth="1"/>
    <col min="560" max="563" width="6.7109375" customWidth="1"/>
    <col min="564" max="566" width="10.7109375" customWidth="1"/>
    <col min="567" max="567" width="17.42578125" customWidth="1"/>
    <col min="568" max="568" width="10.7109375" customWidth="1"/>
    <col min="569" max="572" width="6.7109375" customWidth="1"/>
    <col min="573" max="575" width="10.7109375" customWidth="1"/>
    <col min="576" max="576" width="17.42578125" customWidth="1"/>
    <col min="577" max="577" width="10.7109375" customWidth="1"/>
    <col min="578" max="581" width="6.7109375" customWidth="1"/>
    <col min="582" max="584" width="10.7109375" customWidth="1"/>
    <col min="585" max="585" width="17.42578125" customWidth="1"/>
    <col min="586" max="586" width="10.7109375" customWidth="1"/>
    <col min="587" max="590" width="6.7109375" customWidth="1"/>
    <col min="591" max="593" width="10.7109375" customWidth="1"/>
    <col min="594" max="594" width="17.42578125" customWidth="1"/>
    <col min="595" max="595" width="10.7109375" customWidth="1"/>
    <col min="596" max="599" width="6.7109375" customWidth="1"/>
    <col min="600" max="602" width="10.7109375" customWidth="1"/>
    <col min="603" max="603" width="17.42578125" customWidth="1"/>
    <col min="604" max="604" width="10.7109375" customWidth="1"/>
    <col min="605" max="608" width="6.7109375" customWidth="1"/>
    <col min="609" max="611" width="10.7109375" customWidth="1"/>
    <col min="612" max="612" width="17.42578125" customWidth="1"/>
    <col min="613" max="613" width="10.7109375" customWidth="1"/>
    <col min="614" max="617" width="6.7109375" customWidth="1"/>
    <col min="618" max="620" width="10.7109375" customWidth="1"/>
    <col min="621" max="621" width="17.42578125" customWidth="1"/>
    <col min="622" max="622" width="10.7109375" customWidth="1"/>
    <col min="623" max="626" width="6.7109375" customWidth="1"/>
    <col min="627" max="629" width="10.7109375" customWidth="1"/>
    <col min="630" max="630" width="17.42578125" customWidth="1"/>
    <col min="631" max="631" width="10.7109375" customWidth="1"/>
    <col min="632" max="635" width="6.7109375" customWidth="1"/>
    <col min="636" max="638" width="10.7109375" customWidth="1"/>
    <col min="639" max="639" width="17.42578125" customWidth="1"/>
    <col min="640" max="640" width="10.7109375" customWidth="1"/>
    <col min="641" max="644" width="6.7109375" customWidth="1"/>
    <col min="645" max="647" width="10.7109375" customWidth="1"/>
    <col min="648" max="648" width="17.42578125" customWidth="1"/>
    <col min="649" max="649" width="10.7109375" customWidth="1"/>
    <col min="650" max="653" width="6.7109375" customWidth="1"/>
    <col min="654" max="656" width="10.7109375" customWidth="1"/>
    <col min="657" max="657" width="17.42578125" customWidth="1"/>
    <col min="658" max="658" width="10.7109375" customWidth="1"/>
    <col min="659" max="662" width="6.7109375" customWidth="1"/>
    <col min="663" max="665" width="10.7109375" customWidth="1"/>
    <col min="666" max="666" width="17.42578125" customWidth="1"/>
    <col min="667" max="667" width="10.7109375" customWidth="1"/>
    <col min="668" max="671" width="6.7109375" customWidth="1"/>
    <col min="672" max="674" width="10.7109375" customWidth="1"/>
    <col min="675" max="675" width="17.42578125" customWidth="1"/>
    <col min="676" max="676" width="10.7109375" customWidth="1"/>
    <col min="677" max="680" width="6.7109375" customWidth="1"/>
    <col min="681" max="683" width="10.7109375" customWidth="1"/>
    <col min="684" max="684" width="17.42578125" customWidth="1"/>
    <col min="685" max="685" width="10.7109375" customWidth="1"/>
    <col min="686" max="689" width="6.7109375" customWidth="1"/>
    <col min="690" max="692" width="10.7109375" customWidth="1"/>
    <col min="693" max="693" width="17.42578125" customWidth="1"/>
    <col min="694" max="694" width="10.7109375" customWidth="1"/>
    <col min="695" max="698" width="6.7109375" customWidth="1"/>
    <col min="699" max="701" width="10.7109375" customWidth="1"/>
    <col min="702" max="702" width="17.42578125" customWidth="1"/>
  </cols>
  <sheetData>
    <row r="1" spans="1:11" ht="20.45" customHeight="1">
      <c r="A1" s="174" t="s">
        <v>0</v>
      </c>
      <c r="B1" s="175"/>
      <c r="C1" s="176">
        <v>45498</v>
      </c>
      <c r="D1" s="177"/>
      <c r="E1" s="178"/>
      <c r="F1" s="174" t="s">
        <v>1</v>
      </c>
      <c r="G1" s="175"/>
      <c r="H1" s="179" t="s">
        <v>73</v>
      </c>
      <c r="I1" s="180"/>
      <c r="J1" s="180"/>
      <c r="K1" s="181"/>
    </row>
    <row r="2" spans="1:11" ht="11.25" customHeight="1">
      <c r="A2" s="1"/>
      <c r="B2" s="2"/>
      <c r="C2" s="2"/>
      <c r="D2" s="2"/>
      <c r="E2" s="3"/>
      <c r="F2" s="3"/>
      <c r="G2" s="3"/>
      <c r="H2" s="2"/>
      <c r="I2" s="2"/>
      <c r="J2" s="2"/>
      <c r="K2" s="2"/>
    </row>
    <row r="3" spans="1:11" ht="27" customHeight="1">
      <c r="A3" s="182" t="s">
        <v>2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20.45" customHeight="1">
      <c r="A4" s="183" t="s">
        <v>3</v>
      </c>
      <c r="B4" s="184"/>
      <c r="C4" s="184"/>
      <c r="D4" s="184"/>
      <c r="E4" s="184"/>
      <c r="F4" s="184"/>
      <c r="G4" s="184"/>
      <c r="H4" s="184"/>
      <c r="I4" s="184"/>
      <c r="J4" s="184"/>
      <c r="K4" s="185"/>
    </row>
    <row r="5" spans="1:11" s="5" customFormat="1" ht="26.25" customHeight="1">
      <c r="A5" s="186" t="s">
        <v>4</v>
      </c>
      <c r="B5" s="188" t="s">
        <v>5</v>
      </c>
      <c r="C5" s="189"/>
      <c r="D5" s="189"/>
      <c r="E5" s="190"/>
      <c r="F5" s="191" t="s">
        <v>6</v>
      </c>
      <c r="G5" s="192"/>
      <c r="H5" s="192"/>
      <c r="I5" s="192"/>
      <c r="J5" s="192"/>
      <c r="K5" s="193"/>
    </row>
    <row r="6" spans="1:11" ht="20.25" customHeight="1">
      <c r="A6" s="187"/>
      <c r="B6" s="6" t="s">
        <v>7</v>
      </c>
      <c r="C6" s="6" t="s">
        <v>8</v>
      </c>
      <c r="D6" s="4" t="s">
        <v>9</v>
      </c>
      <c r="E6" s="7" t="s">
        <v>10</v>
      </c>
      <c r="F6" s="194"/>
      <c r="G6" s="195"/>
      <c r="H6" s="195"/>
      <c r="I6" s="195"/>
      <c r="J6" s="195"/>
      <c r="K6" s="196"/>
    </row>
    <row r="7" spans="1:11" ht="20.45" customHeight="1">
      <c r="A7" s="128">
        <v>95</v>
      </c>
      <c r="B7" s="129"/>
      <c r="C7" s="129">
        <v>45000</v>
      </c>
      <c r="D7" s="130"/>
      <c r="E7" s="131"/>
      <c r="F7" s="200" t="s">
        <v>74</v>
      </c>
      <c r="G7" s="201"/>
      <c r="H7" s="201"/>
      <c r="I7" s="201"/>
      <c r="J7" s="201"/>
      <c r="K7" s="202"/>
    </row>
    <row r="8" spans="1:11" ht="20.45" customHeight="1">
      <c r="A8" s="128"/>
      <c r="B8" s="129">
        <v>10000</v>
      </c>
      <c r="C8" s="129"/>
      <c r="D8" s="130"/>
      <c r="E8" s="131"/>
      <c r="F8" s="200" t="s">
        <v>75</v>
      </c>
      <c r="G8" s="201"/>
      <c r="H8" s="201"/>
      <c r="I8" s="201"/>
      <c r="J8" s="201"/>
      <c r="K8" s="202"/>
    </row>
    <row r="9" spans="1:11" ht="20.45" customHeight="1">
      <c r="A9" s="128">
        <v>96</v>
      </c>
      <c r="B9" s="129"/>
      <c r="C9" s="129">
        <v>17990</v>
      </c>
      <c r="D9" s="130"/>
      <c r="E9" s="131"/>
      <c r="F9" s="200" t="s">
        <v>76</v>
      </c>
      <c r="G9" s="201"/>
      <c r="H9" s="201"/>
      <c r="I9" s="201"/>
      <c r="J9" s="201"/>
      <c r="K9" s="202"/>
    </row>
    <row r="10" spans="1:11" ht="20.45" customHeight="1">
      <c r="A10" s="128">
        <v>97</v>
      </c>
      <c r="B10" s="129"/>
      <c r="C10" s="129">
        <v>196090</v>
      </c>
      <c r="D10" s="130"/>
      <c r="E10" s="131"/>
      <c r="F10" s="200" t="s">
        <v>77</v>
      </c>
      <c r="G10" s="201"/>
      <c r="H10" s="201"/>
      <c r="I10" s="201"/>
      <c r="J10" s="201"/>
      <c r="K10" s="202"/>
    </row>
    <row r="11" spans="1:11" ht="20.45" customHeight="1">
      <c r="A11" s="128">
        <v>98</v>
      </c>
      <c r="B11" s="129"/>
      <c r="C11" s="129">
        <v>25000</v>
      </c>
      <c r="D11" s="130"/>
      <c r="E11" s="131"/>
      <c r="F11" s="200" t="s">
        <v>78</v>
      </c>
      <c r="G11" s="201"/>
      <c r="H11" s="201"/>
      <c r="I11" s="201"/>
      <c r="J11" s="201"/>
      <c r="K11" s="202"/>
    </row>
    <row r="12" spans="1:11" ht="20.45" customHeight="1">
      <c r="A12" s="128">
        <v>99</v>
      </c>
      <c r="B12" s="129"/>
      <c r="C12" s="129">
        <v>17990</v>
      </c>
      <c r="D12" s="130"/>
      <c r="E12" s="131"/>
      <c r="F12" s="200" t="s">
        <v>79</v>
      </c>
      <c r="G12" s="201"/>
      <c r="H12" s="201"/>
      <c r="I12" s="201"/>
      <c r="J12" s="201"/>
      <c r="K12" s="202"/>
    </row>
    <row r="13" spans="1:11" ht="20.45" customHeight="1">
      <c r="A13" s="128"/>
      <c r="B13" s="129"/>
      <c r="C13" s="129"/>
      <c r="D13" s="130"/>
      <c r="E13" s="131"/>
      <c r="F13" s="200"/>
      <c r="G13" s="201"/>
      <c r="H13" s="201"/>
      <c r="I13" s="201"/>
      <c r="J13" s="201"/>
      <c r="K13" s="202"/>
    </row>
    <row r="14" spans="1:11" ht="20.45" customHeight="1">
      <c r="A14" s="8"/>
      <c r="B14" s="9"/>
      <c r="C14" s="9"/>
      <c r="D14" s="10"/>
      <c r="E14" s="11"/>
      <c r="F14" s="155"/>
      <c r="G14" s="156"/>
      <c r="H14" s="156"/>
      <c r="I14" s="156"/>
      <c r="J14" s="156"/>
      <c r="K14" s="157"/>
    </row>
    <row r="15" spans="1:11" ht="20.45" customHeight="1">
      <c r="A15" s="8"/>
      <c r="B15" s="9"/>
      <c r="C15" s="9"/>
      <c r="D15" s="10"/>
      <c r="E15" s="11"/>
      <c r="F15" s="155"/>
      <c r="G15" s="156"/>
      <c r="H15" s="156"/>
      <c r="I15" s="156"/>
      <c r="J15" s="156"/>
      <c r="K15" s="157"/>
    </row>
    <row r="16" spans="1:11" ht="20.45" customHeight="1">
      <c r="A16" s="8"/>
      <c r="B16" s="9"/>
      <c r="C16" s="9"/>
      <c r="D16" s="10"/>
      <c r="E16" s="11"/>
      <c r="F16" s="155"/>
      <c r="G16" s="156"/>
      <c r="H16" s="156"/>
      <c r="I16" s="156"/>
      <c r="J16" s="156"/>
      <c r="K16" s="157"/>
    </row>
    <row r="17" spans="1:11" ht="20.45" customHeight="1">
      <c r="A17" s="8"/>
      <c r="B17" s="9"/>
      <c r="C17" s="9"/>
      <c r="D17" s="10"/>
      <c r="E17" s="11"/>
      <c r="F17" s="155"/>
      <c r="G17" s="156"/>
      <c r="H17" s="156"/>
      <c r="I17" s="156"/>
      <c r="J17" s="156"/>
      <c r="K17" s="157"/>
    </row>
    <row r="18" spans="1:11" s="12" customFormat="1" ht="20.45" customHeight="1">
      <c r="A18" s="8"/>
      <c r="B18" s="9"/>
      <c r="C18" s="9"/>
      <c r="D18" s="10"/>
      <c r="E18" s="11"/>
      <c r="F18" s="155"/>
      <c r="G18" s="156"/>
      <c r="H18" s="156"/>
      <c r="I18" s="156"/>
      <c r="J18" s="156"/>
      <c r="K18" s="157"/>
    </row>
    <row r="19" spans="1:11" ht="20.45" customHeight="1">
      <c r="A19" s="8"/>
      <c r="B19" s="9"/>
      <c r="C19" s="9"/>
      <c r="D19" s="10"/>
      <c r="E19" s="11"/>
      <c r="F19" s="155"/>
      <c r="G19" s="156"/>
      <c r="H19" s="156"/>
      <c r="I19" s="156"/>
      <c r="J19" s="156"/>
      <c r="K19" s="157"/>
    </row>
    <row r="20" spans="1:11" s="12" customFormat="1" ht="20.45" customHeight="1">
      <c r="A20" s="8"/>
      <c r="B20" s="9"/>
      <c r="C20" s="9"/>
      <c r="D20" s="10"/>
      <c r="E20" s="11"/>
      <c r="F20" s="155"/>
      <c r="G20" s="156"/>
      <c r="H20" s="156"/>
      <c r="I20" s="156"/>
      <c r="J20" s="156"/>
      <c r="K20" s="157"/>
    </row>
    <row r="21" spans="1:11" ht="20.45" customHeight="1">
      <c r="A21" s="8"/>
      <c r="B21" s="9"/>
      <c r="C21" s="9"/>
      <c r="D21" s="10"/>
      <c r="E21" s="11"/>
      <c r="F21" s="155"/>
      <c r="G21" s="156"/>
      <c r="H21" s="156"/>
      <c r="I21" s="156"/>
      <c r="J21" s="156"/>
      <c r="K21" s="157"/>
    </row>
    <row r="22" spans="1:11" ht="20.45" customHeight="1">
      <c r="A22" s="8"/>
      <c r="B22" s="9"/>
      <c r="C22" s="9"/>
      <c r="D22" s="10"/>
      <c r="E22" s="11"/>
      <c r="F22" s="155"/>
      <c r="G22" s="156"/>
      <c r="H22" s="156"/>
      <c r="I22" s="156"/>
      <c r="J22" s="156"/>
      <c r="K22" s="157"/>
    </row>
    <row r="23" spans="1:11" ht="20.45" customHeight="1">
      <c r="A23" s="8"/>
      <c r="B23" s="9"/>
      <c r="C23" s="9"/>
      <c r="D23" s="10"/>
      <c r="E23" s="11"/>
      <c r="F23" s="155"/>
      <c r="G23" s="156"/>
      <c r="H23" s="156"/>
      <c r="I23" s="156"/>
      <c r="J23" s="156"/>
      <c r="K23" s="157"/>
    </row>
    <row r="24" spans="1:11" ht="20.25" customHeight="1">
      <c r="A24" s="14" t="s">
        <v>11</v>
      </c>
      <c r="B24" s="15">
        <f>SUM($B7:$B23)</f>
        <v>10000</v>
      </c>
      <c r="C24" s="15">
        <f>SUM($C7:$C23)</f>
        <v>302070</v>
      </c>
      <c r="D24" s="15">
        <f>SUM($D7:$D23)</f>
        <v>0</v>
      </c>
      <c r="E24" s="15">
        <f>SUM($E7:$E23)</f>
        <v>0</v>
      </c>
      <c r="F24" s="106"/>
      <c r="G24" s="107"/>
      <c r="H24" s="108"/>
      <c r="I24" s="108"/>
      <c r="J24" s="108"/>
      <c r="K24" s="108"/>
    </row>
    <row r="25" spans="1:11" ht="3.75" customHeight="1">
      <c r="A25" s="13"/>
      <c r="B25" s="17"/>
      <c r="C25" s="17"/>
      <c r="D25" s="17"/>
      <c r="E25" s="18"/>
      <c r="F25" s="16"/>
      <c r="G25" s="16"/>
      <c r="H25" s="19"/>
      <c r="I25" s="19"/>
      <c r="J25" s="105"/>
      <c r="K25" s="19"/>
    </row>
    <row r="26" spans="1:11" ht="21.75" customHeight="1">
      <c r="A26" s="13"/>
      <c r="B26" s="17"/>
      <c r="C26" s="17"/>
      <c r="D26" s="17"/>
      <c r="E26" s="18"/>
      <c r="F26" s="16"/>
      <c r="G26" s="16"/>
      <c r="H26" s="19"/>
      <c r="I26" s="20"/>
      <c r="J26" s="21" t="s">
        <v>12</v>
      </c>
      <c r="K26" s="22">
        <f>$B$24+$C$24+$D$24+$E$24</f>
        <v>312070</v>
      </c>
    </row>
    <row r="27" spans="1:11" ht="12" customHeight="1">
      <c r="A27" s="13"/>
      <c r="B27" s="17"/>
      <c r="C27" s="17"/>
      <c r="D27" s="17"/>
      <c r="E27" s="18"/>
      <c r="F27" s="23"/>
      <c r="G27" s="23"/>
      <c r="H27" s="17"/>
      <c r="I27" s="17"/>
      <c r="J27" s="17"/>
      <c r="K27" s="24"/>
    </row>
    <row r="28" spans="1:11" ht="26.25" customHeight="1">
      <c r="A28" s="25"/>
      <c r="B28" s="27"/>
      <c r="C28" s="27"/>
      <c r="D28" s="27"/>
      <c r="E28" s="28"/>
      <c r="F28" s="26"/>
      <c r="G28" s="28" t="s">
        <v>13</v>
      </c>
      <c r="H28" s="27"/>
      <c r="I28" s="27"/>
      <c r="J28" s="27"/>
      <c r="K28" s="27"/>
    </row>
    <row r="29" spans="1:11" ht="19.5" customHeight="1">
      <c r="A29" s="158" t="s">
        <v>14</v>
      </c>
      <c r="B29" s="159"/>
      <c r="C29" s="29"/>
      <c r="D29" s="30" t="s">
        <v>15</v>
      </c>
      <c r="E29" s="31"/>
      <c r="F29" s="164" t="s">
        <v>16</v>
      </c>
      <c r="G29" s="164"/>
      <c r="H29" s="159"/>
      <c r="I29" s="166" t="s">
        <v>17</v>
      </c>
      <c r="J29" s="167"/>
      <c r="K29" s="168"/>
    </row>
    <row r="30" spans="1:11" ht="18.75" customHeight="1">
      <c r="A30" s="160"/>
      <c r="B30" s="161"/>
      <c r="C30" s="169" t="s">
        <v>18</v>
      </c>
      <c r="D30" s="170"/>
      <c r="E30" s="32" t="s">
        <v>19</v>
      </c>
      <c r="F30" s="165"/>
      <c r="G30" s="165"/>
      <c r="H30" s="161"/>
      <c r="I30" s="169" t="s">
        <v>18</v>
      </c>
      <c r="J30" s="170"/>
      <c r="K30" s="32" t="s">
        <v>19</v>
      </c>
    </row>
    <row r="31" spans="1:11" ht="15.75" customHeight="1">
      <c r="A31" s="160"/>
      <c r="B31" s="161"/>
      <c r="C31" s="33" t="s">
        <v>20</v>
      </c>
      <c r="D31" s="34"/>
      <c r="E31" s="35">
        <f>B24</f>
        <v>10000</v>
      </c>
      <c r="F31" s="165"/>
      <c r="G31" s="165"/>
      <c r="H31" s="161"/>
      <c r="I31" s="33" t="s">
        <v>7</v>
      </c>
      <c r="J31" s="34"/>
      <c r="K31" s="36"/>
    </row>
    <row r="32" spans="1:11" ht="15.75" customHeight="1">
      <c r="A32" s="160"/>
      <c r="B32" s="161"/>
      <c r="C32" s="33" t="s">
        <v>21</v>
      </c>
      <c r="D32" s="37"/>
      <c r="E32" s="35">
        <f>C24</f>
        <v>302070</v>
      </c>
      <c r="F32" s="165"/>
      <c r="G32" s="165"/>
      <c r="H32" s="161"/>
      <c r="I32" s="38" t="s">
        <v>22</v>
      </c>
      <c r="J32" s="39"/>
      <c r="K32" s="40"/>
    </row>
    <row r="33" spans="1:11" ht="15.75" customHeight="1">
      <c r="A33" s="160"/>
      <c r="B33" s="161"/>
      <c r="C33" s="33" t="s">
        <v>23</v>
      </c>
      <c r="D33" s="37"/>
      <c r="E33" s="35">
        <f>D24</f>
        <v>0</v>
      </c>
      <c r="F33" s="165"/>
      <c r="G33" s="165"/>
      <c r="H33" s="161"/>
      <c r="I33" s="38" t="s">
        <v>24</v>
      </c>
      <c r="J33" s="39"/>
      <c r="K33" s="40"/>
    </row>
    <row r="34" spans="1:11" ht="15.75" customHeight="1">
      <c r="A34" s="160"/>
      <c r="B34" s="161"/>
      <c r="C34" s="33" t="s">
        <v>25</v>
      </c>
      <c r="D34" s="37"/>
      <c r="E34" s="35">
        <f>E24</f>
        <v>0</v>
      </c>
      <c r="F34" s="165"/>
      <c r="G34" s="165"/>
      <c r="H34" s="161"/>
      <c r="I34" s="38"/>
      <c r="J34" s="39"/>
      <c r="K34" s="40"/>
    </row>
    <row r="35" spans="1:11" ht="15.75" customHeight="1">
      <c r="A35" s="160"/>
      <c r="B35" s="161"/>
      <c r="C35" s="41" t="s">
        <v>12</v>
      </c>
      <c r="D35" s="42"/>
      <c r="E35" s="43">
        <f>SUM(E31:E34)</f>
        <v>312070</v>
      </c>
      <c r="F35" s="165"/>
      <c r="G35" s="165"/>
      <c r="H35" s="161"/>
      <c r="I35" s="38"/>
      <c r="J35" s="39"/>
      <c r="K35" s="40"/>
    </row>
    <row r="36" spans="1:11" ht="15.75" customHeight="1">
      <c r="A36" s="160"/>
      <c r="B36" s="161"/>
      <c r="C36" s="171" t="s">
        <v>26</v>
      </c>
      <c r="D36" s="172"/>
      <c r="E36" s="173"/>
      <c r="F36" s="165"/>
      <c r="G36" s="165"/>
      <c r="H36" s="161"/>
      <c r="I36" s="38"/>
      <c r="J36" s="39"/>
      <c r="K36" s="40"/>
    </row>
    <row r="37" spans="1:11" ht="15.75" customHeight="1">
      <c r="A37" s="160"/>
      <c r="B37" s="161"/>
      <c r="C37" s="169" t="s">
        <v>18</v>
      </c>
      <c r="D37" s="170"/>
      <c r="E37" s="32" t="s">
        <v>19</v>
      </c>
      <c r="F37" s="165"/>
      <c r="G37" s="165"/>
      <c r="H37" s="161"/>
      <c r="I37" s="38"/>
      <c r="J37" s="39"/>
      <c r="K37" s="40"/>
    </row>
    <row r="38" spans="1:11" ht="15.75" customHeight="1">
      <c r="A38" s="160"/>
      <c r="B38" s="161"/>
      <c r="C38" s="44" t="s">
        <v>7</v>
      </c>
      <c r="D38" s="45"/>
      <c r="E38" s="46"/>
      <c r="F38" s="165"/>
      <c r="G38" s="165"/>
      <c r="H38" s="161"/>
      <c r="I38" s="41" t="s">
        <v>27</v>
      </c>
      <c r="J38" s="42"/>
      <c r="K38" s="43">
        <f>SUM(K31:K37)</f>
        <v>0</v>
      </c>
    </row>
    <row r="39" spans="1:11" ht="15.75" customHeight="1">
      <c r="A39" s="160"/>
      <c r="B39" s="161"/>
      <c r="C39" s="47" t="s">
        <v>24</v>
      </c>
      <c r="D39" s="48"/>
      <c r="E39" s="49"/>
      <c r="F39" s="165"/>
      <c r="G39" s="165"/>
      <c r="H39" s="161"/>
      <c r="I39" s="166" t="s">
        <v>28</v>
      </c>
      <c r="J39" s="167"/>
      <c r="K39" s="168"/>
    </row>
    <row r="40" spans="1:11" ht="18.75" customHeight="1">
      <c r="A40" s="162"/>
      <c r="B40" s="163"/>
      <c r="C40" s="41" t="s">
        <v>29</v>
      </c>
      <c r="D40" s="42"/>
      <c r="E40" s="43">
        <f>SUM(E38:E39)</f>
        <v>0</v>
      </c>
      <c r="F40" s="165"/>
      <c r="G40" s="165"/>
      <c r="H40" s="161"/>
      <c r="I40" s="38" t="s">
        <v>30</v>
      </c>
      <c r="J40" s="48"/>
      <c r="K40" s="49"/>
    </row>
    <row r="41" spans="1:11" ht="15.75" customHeight="1">
      <c r="A41" s="13"/>
      <c r="B41" s="50"/>
      <c r="C41" s="51"/>
      <c r="D41" s="52" t="s">
        <v>31</v>
      </c>
      <c r="E41" s="53">
        <f>E35+E40</f>
        <v>312070</v>
      </c>
      <c r="F41" s="54"/>
      <c r="G41" s="54"/>
      <c r="H41" s="55"/>
      <c r="I41" s="51"/>
      <c r="J41" s="52" t="s">
        <v>32</v>
      </c>
      <c r="K41" s="53">
        <f>K38+K40</f>
        <v>0</v>
      </c>
    </row>
    <row r="42" spans="1:11" ht="11.25" customHeight="1">
      <c r="A42" s="13"/>
      <c r="B42" s="18"/>
      <c r="C42" s="18"/>
      <c r="D42" s="18"/>
      <c r="E42" s="18"/>
      <c r="F42" s="57"/>
      <c r="G42" s="57"/>
      <c r="H42" s="135"/>
      <c r="I42" s="135"/>
      <c r="J42" s="17"/>
      <c r="K42" s="17"/>
    </row>
    <row r="43" spans="1:11" ht="28.5">
      <c r="A43" s="25"/>
      <c r="B43" s="27"/>
      <c r="C43" s="27"/>
      <c r="D43" s="27"/>
      <c r="E43" s="28"/>
      <c r="F43" s="26"/>
      <c r="G43" s="28" t="s">
        <v>33</v>
      </c>
      <c r="H43" s="27"/>
      <c r="I43" s="27"/>
      <c r="J43" s="27"/>
      <c r="K43" s="27"/>
    </row>
    <row r="44" spans="1:11" ht="17.100000000000001" customHeight="1">
      <c r="A44" s="136" t="s">
        <v>34</v>
      </c>
      <c r="B44" s="137"/>
      <c r="C44" s="58" t="s">
        <v>35</v>
      </c>
      <c r="D44" s="58" t="s">
        <v>36</v>
      </c>
      <c r="E44" s="59" t="s">
        <v>19</v>
      </c>
      <c r="F44" s="142" t="s">
        <v>37</v>
      </c>
      <c r="G44" s="143"/>
      <c r="H44" s="137"/>
      <c r="I44" s="58" t="s">
        <v>35</v>
      </c>
      <c r="J44" s="58" t="s">
        <v>36</v>
      </c>
      <c r="K44" s="58" t="s">
        <v>19</v>
      </c>
    </row>
    <row r="45" spans="1:11" ht="17.100000000000001" customHeight="1">
      <c r="A45" s="138"/>
      <c r="B45" s="139"/>
      <c r="C45" s="60">
        <v>20000</v>
      </c>
      <c r="D45" s="61">
        <v>1</v>
      </c>
      <c r="E45" s="62">
        <f>C45*D45</f>
        <v>20000</v>
      </c>
      <c r="F45" s="144"/>
      <c r="G45" s="145"/>
      <c r="H45" s="139"/>
      <c r="I45" s="60">
        <v>500</v>
      </c>
      <c r="J45" s="61">
        <v>2</v>
      </c>
      <c r="K45" s="63">
        <f>I45*J45</f>
        <v>1000</v>
      </c>
    </row>
    <row r="46" spans="1:11" ht="17.100000000000001" customHeight="1">
      <c r="A46" s="138"/>
      <c r="B46" s="139"/>
      <c r="C46" s="60">
        <v>10000</v>
      </c>
      <c r="D46" s="61"/>
      <c r="E46" s="62">
        <f>C46*D46</f>
        <v>0</v>
      </c>
      <c r="F46" s="144"/>
      <c r="G46" s="145"/>
      <c r="H46" s="139"/>
      <c r="I46" s="60">
        <v>100</v>
      </c>
      <c r="J46" s="61">
        <v>31</v>
      </c>
      <c r="K46" s="63">
        <f>I46*J46</f>
        <v>3100</v>
      </c>
    </row>
    <row r="47" spans="1:11" ht="17.100000000000001" customHeight="1">
      <c r="A47" s="138"/>
      <c r="B47" s="139"/>
      <c r="C47" s="60">
        <v>5000</v>
      </c>
      <c r="D47" s="61"/>
      <c r="E47" s="62">
        <f>C47*D47</f>
        <v>0</v>
      </c>
      <c r="F47" s="144"/>
      <c r="G47" s="145"/>
      <c r="H47" s="139"/>
      <c r="I47" s="60">
        <v>50</v>
      </c>
      <c r="J47" s="61">
        <v>8</v>
      </c>
      <c r="K47" s="63">
        <f>I47*J47</f>
        <v>400</v>
      </c>
    </row>
    <row r="48" spans="1:11" ht="17.100000000000001" customHeight="1">
      <c r="A48" s="138"/>
      <c r="B48" s="139"/>
      <c r="C48" s="60">
        <v>2000</v>
      </c>
      <c r="D48" s="61"/>
      <c r="E48" s="62">
        <f>C48*D48</f>
        <v>0</v>
      </c>
      <c r="F48" s="144"/>
      <c r="G48" s="145"/>
      <c r="H48" s="139"/>
      <c r="I48" s="60">
        <v>10</v>
      </c>
      <c r="J48" s="61">
        <v>13</v>
      </c>
      <c r="K48" s="63">
        <f>I48*J48</f>
        <v>130</v>
      </c>
    </row>
    <row r="49" spans="1:11" ht="17.100000000000001" customHeight="1">
      <c r="A49" s="140"/>
      <c r="B49" s="141"/>
      <c r="C49" s="60">
        <v>1000</v>
      </c>
      <c r="D49" s="61"/>
      <c r="E49" s="62">
        <f>C49*D49</f>
        <v>0</v>
      </c>
      <c r="F49" s="146"/>
      <c r="G49" s="147"/>
      <c r="H49" s="141"/>
      <c r="I49" s="60"/>
      <c r="J49" s="64"/>
      <c r="K49" s="63"/>
    </row>
    <row r="50" spans="1:11" ht="18.75">
      <c r="A50" s="13"/>
      <c r="B50" s="65"/>
      <c r="C50" s="66"/>
      <c r="D50" s="67" t="s">
        <v>38</v>
      </c>
      <c r="E50" s="68">
        <f>SUM(E45:E49)</f>
        <v>20000</v>
      </c>
      <c r="F50" s="54"/>
      <c r="G50" s="54"/>
      <c r="H50" s="55"/>
      <c r="I50" s="66"/>
      <c r="J50" s="67" t="s">
        <v>39</v>
      </c>
      <c r="K50" s="68">
        <f>SUM(K45:K49)</f>
        <v>4630</v>
      </c>
    </row>
    <row r="51" spans="1:11" ht="18.75">
      <c r="A51" s="13"/>
      <c r="B51" s="18"/>
      <c r="C51" s="18"/>
      <c r="D51" s="18"/>
      <c r="E51" s="18"/>
      <c r="F51" s="16"/>
      <c r="G51" s="16"/>
      <c r="H51" s="65"/>
      <c r="I51" s="65"/>
      <c r="J51" s="17"/>
      <c r="K51" s="17"/>
    </row>
    <row r="52" spans="1:11" ht="18" customHeight="1">
      <c r="A52" s="13"/>
      <c r="B52" s="18"/>
      <c r="C52" s="18"/>
      <c r="D52" s="18"/>
      <c r="E52" s="18"/>
      <c r="F52" s="69"/>
      <c r="G52" s="69"/>
      <c r="H52" s="70" t="s">
        <v>40</v>
      </c>
      <c r="I52" s="71"/>
      <c r="J52" s="69"/>
      <c r="K52" s="17"/>
    </row>
    <row r="53" spans="1:11" ht="4.5" customHeight="1">
      <c r="A53" s="13"/>
      <c r="B53" s="18"/>
      <c r="C53" s="18"/>
      <c r="D53" s="18"/>
      <c r="E53" s="18"/>
      <c r="F53" s="16"/>
      <c r="G53" s="16"/>
      <c r="H53" s="17"/>
      <c r="I53" s="17"/>
      <c r="J53" s="17"/>
      <c r="K53" s="17"/>
    </row>
    <row r="54" spans="1:11" ht="15" customHeight="1">
      <c r="A54" s="72"/>
      <c r="B54" s="148" t="s">
        <v>41</v>
      </c>
      <c r="C54" s="149"/>
      <c r="D54" s="150"/>
      <c r="E54" s="18"/>
      <c r="F54" s="73"/>
      <c r="G54" s="73"/>
      <c r="H54" s="74" t="s">
        <v>42</v>
      </c>
      <c r="I54" s="75">
        <v>14630</v>
      </c>
      <c r="J54" s="76"/>
      <c r="K54" s="17"/>
    </row>
    <row r="55" spans="1:11" ht="4.5" customHeight="1">
      <c r="A55" s="72"/>
      <c r="B55" s="151"/>
      <c r="C55" s="152"/>
      <c r="D55" s="153"/>
      <c r="E55" s="18"/>
      <c r="F55" s="16"/>
      <c r="G55" s="16"/>
      <c r="H55" s="17"/>
      <c r="I55" s="77"/>
      <c r="J55" s="17"/>
      <c r="K55" s="17"/>
    </row>
    <row r="56" spans="1:11" ht="18.75" customHeight="1">
      <c r="A56" s="78"/>
      <c r="B56" s="154"/>
      <c r="C56" s="154"/>
      <c r="D56" s="154"/>
      <c r="E56" s="18"/>
      <c r="F56" s="79"/>
      <c r="G56" s="79"/>
      <c r="H56" s="80" t="s">
        <v>43</v>
      </c>
      <c r="I56" s="81">
        <f>E50+K50</f>
        <v>24630</v>
      </c>
      <c r="J56" s="82"/>
      <c r="K56" s="17"/>
    </row>
    <row r="57" spans="1:11" ht="4.5" customHeight="1">
      <c r="A57" s="78"/>
      <c r="B57" s="154"/>
      <c r="C57" s="154"/>
      <c r="D57" s="154"/>
      <c r="E57" s="18"/>
      <c r="F57" s="56"/>
      <c r="G57" s="56"/>
      <c r="H57" s="57"/>
      <c r="I57" s="83"/>
      <c r="J57" s="65"/>
      <c r="K57" s="17"/>
    </row>
    <row r="58" spans="1:11" ht="18.75">
      <c r="A58" s="78"/>
      <c r="B58" s="154"/>
      <c r="C58" s="154"/>
      <c r="D58" s="154"/>
      <c r="E58" s="18"/>
      <c r="F58" s="79"/>
      <c r="G58" s="79"/>
      <c r="H58" s="80" t="s">
        <v>12</v>
      </c>
      <c r="I58" s="81">
        <f>K26</f>
        <v>312070</v>
      </c>
      <c r="J58" s="82"/>
      <c r="K58" s="24"/>
    </row>
    <row r="59" spans="1:11" ht="4.5" customHeight="1">
      <c r="A59" s="78"/>
      <c r="B59" s="154"/>
      <c r="C59" s="154"/>
      <c r="D59" s="154"/>
      <c r="E59" s="18"/>
      <c r="F59" s="56"/>
      <c r="G59" s="56"/>
      <c r="H59" s="57"/>
      <c r="I59" s="83"/>
      <c r="J59" s="18"/>
      <c r="K59" s="17"/>
    </row>
    <row r="60" spans="1:11" ht="18.75">
      <c r="A60" s="78"/>
      <c r="B60" s="154"/>
      <c r="C60" s="154"/>
      <c r="D60" s="154"/>
      <c r="E60" s="18"/>
      <c r="F60" s="84"/>
      <c r="G60" s="84"/>
      <c r="H60" s="85" t="s">
        <v>26</v>
      </c>
      <c r="I60" s="86">
        <f>E38</f>
        <v>0</v>
      </c>
      <c r="J60" s="82"/>
      <c r="K60" s="17"/>
    </row>
    <row r="61" spans="1:11" ht="4.5" customHeight="1">
      <c r="A61" s="78"/>
      <c r="B61" s="154"/>
      <c r="C61" s="154"/>
      <c r="D61" s="154"/>
      <c r="E61" s="18"/>
      <c r="F61" s="13"/>
      <c r="G61" s="13"/>
      <c r="H61" s="16"/>
      <c r="I61" s="77"/>
      <c r="J61" s="17"/>
      <c r="K61" s="17"/>
    </row>
    <row r="62" spans="1:11" ht="18.75">
      <c r="A62" s="78"/>
      <c r="B62" s="154"/>
      <c r="C62" s="154"/>
      <c r="D62" s="154"/>
      <c r="E62" s="18"/>
      <c r="F62" s="84"/>
      <c r="G62" s="84"/>
      <c r="H62" s="85" t="s">
        <v>17</v>
      </c>
      <c r="I62" s="86">
        <f>K31+K40</f>
        <v>0</v>
      </c>
      <c r="J62" s="82"/>
      <c r="K62" s="17"/>
    </row>
    <row r="63" spans="1:11" ht="4.5" customHeight="1">
      <c r="A63" s="78"/>
      <c r="B63" s="154"/>
      <c r="C63" s="154"/>
      <c r="D63" s="154"/>
      <c r="E63" s="18"/>
      <c r="F63" s="13"/>
      <c r="G63" s="13"/>
      <c r="H63" s="16"/>
      <c r="I63" s="77"/>
      <c r="J63" s="17"/>
      <c r="K63" s="17"/>
    </row>
    <row r="64" spans="1:11" ht="18.75">
      <c r="A64" s="78"/>
      <c r="B64" s="154"/>
      <c r="C64" s="154"/>
      <c r="D64" s="154"/>
      <c r="E64" s="18"/>
      <c r="F64" s="84"/>
      <c r="G64" s="84"/>
      <c r="H64" s="85" t="s">
        <v>44</v>
      </c>
      <c r="I64" s="86">
        <f>I54+I58+I60-I62</f>
        <v>326700</v>
      </c>
      <c r="J64" s="87"/>
      <c r="K64" s="17"/>
    </row>
    <row r="65" spans="1:11" ht="4.5" customHeight="1">
      <c r="A65" s="13"/>
      <c r="B65" s="154"/>
      <c r="C65" s="154"/>
      <c r="D65" s="154"/>
      <c r="E65" s="18"/>
      <c r="F65" s="16"/>
      <c r="G65" s="16"/>
      <c r="H65" s="18"/>
      <c r="I65" s="77"/>
      <c r="J65" s="17"/>
      <c r="K65" s="17"/>
    </row>
    <row r="66" spans="1:11" ht="18.75">
      <c r="A66" s="13"/>
      <c r="B66" s="154"/>
      <c r="C66" s="154"/>
      <c r="D66" s="154"/>
      <c r="E66" s="18"/>
      <c r="F66" s="73"/>
      <c r="G66" s="73"/>
      <c r="H66" s="74" t="s">
        <v>45</v>
      </c>
      <c r="I66" s="86">
        <f>I64-I54</f>
        <v>312070</v>
      </c>
      <c r="J66" s="88"/>
      <c r="K66" s="17"/>
    </row>
    <row r="67" spans="1:11" ht="4.5" customHeight="1">
      <c r="A67" s="78"/>
      <c r="B67" s="154"/>
      <c r="C67" s="154"/>
      <c r="D67" s="154"/>
      <c r="E67" s="18"/>
      <c r="F67" s="16"/>
      <c r="G67" s="16"/>
      <c r="H67" s="16"/>
      <c r="I67" s="77"/>
      <c r="J67" s="17"/>
      <c r="K67" s="17"/>
    </row>
    <row r="68" spans="1:11" ht="18.75">
      <c r="A68" s="13"/>
      <c r="B68" s="154"/>
      <c r="C68" s="154"/>
      <c r="D68" s="154"/>
      <c r="E68" s="18"/>
      <c r="F68" s="79"/>
      <c r="G68" s="79"/>
      <c r="H68" s="80" t="s">
        <v>46</v>
      </c>
      <c r="I68" s="86">
        <f>I54+E31+(E38-(K31+K40))</f>
        <v>24630</v>
      </c>
      <c r="J68" s="88"/>
      <c r="K68" s="17"/>
    </row>
    <row r="69" spans="1:11" ht="4.5" customHeight="1">
      <c r="A69" s="78"/>
      <c r="B69" s="154"/>
      <c r="C69" s="154"/>
      <c r="D69" s="154"/>
      <c r="E69" s="18"/>
      <c r="F69" s="16"/>
      <c r="G69" s="16"/>
      <c r="H69" s="16"/>
      <c r="I69" s="77"/>
      <c r="J69" s="17"/>
      <c r="K69" s="17"/>
    </row>
    <row r="70" spans="1:11" ht="18.75" customHeight="1">
      <c r="A70" s="78"/>
      <c r="B70" s="154"/>
      <c r="C70" s="154"/>
      <c r="D70" s="154"/>
      <c r="E70" s="18"/>
      <c r="F70" s="79"/>
      <c r="G70" s="79"/>
      <c r="H70" s="80" t="s">
        <v>47</v>
      </c>
      <c r="I70" s="89">
        <f>I56-I68</f>
        <v>0</v>
      </c>
      <c r="J70" s="90"/>
      <c r="K70" s="17"/>
    </row>
    <row r="71" spans="1:11" ht="15" customHeight="1">
      <c r="A71" s="91"/>
      <c r="B71" s="92"/>
      <c r="C71" s="92"/>
      <c r="D71" s="92"/>
      <c r="E71" s="93"/>
      <c r="F71" s="94"/>
      <c r="G71" s="94"/>
      <c r="H71" s="95"/>
      <c r="I71" s="95"/>
      <c r="J71" s="95"/>
      <c r="K71" s="95"/>
    </row>
    <row r="72" spans="1:11" ht="15" customHeight="1">
      <c r="A72" s="91"/>
      <c r="B72" s="92"/>
      <c r="C72" s="92"/>
      <c r="D72" s="92"/>
      <c r="E72" s="93"/>
      <c r="F72" s="94"/>
      <c r="G72" s="94"/>
      <c r="H72" s="95"/>
      <c r="I72" s="95"/>
      <c r="J72" s="95"/>
      <c r="K72" s="95"/>
    </row>
    <row r="73" spans="1:11" ht="15" customHeight="1">
      <c r="A73" s="91"/>
      <c r="B73" s="92"/>
      <c r="C73" s="92"/>
      <c r="D73" s="92"/>
      <c r="E73" s="93"/>
      <c r="F73" s="94"/>
      <c r="G73" s="94"/>
      <c r="H73" s="95"/>
      <c r="I73" s="95"/>
      <c r="J73" s="95"/>
      <c r="K73" s="95"/>
    </row>
    <row r="74" spans="1:11" ht="15" customHeight="1">
      <c r="A74" s="91"/>
      <c r="B74" s="92"/>
      <c r="C74" s="92"/>
      <c r="D74" s="92"/>
      <c r="E74" s="93"/>
      <c r="F74" s="94"/>
      <c r="G74" s="94"/>
      <c r="H74" s="95"/>
      <c r="I74" s="95"/>
      <c r="J74" s="95"/>
      <c r="K74" s="95"/>
    </row>
    <row r="75" spans="1:11" ht="15.75" customHeight="1">
      <c r="A75" s="91"/>
      <c r="B75" s="92"/>
      <c r="C75" s="92"/>
      <c r="D75" s="92"/>
      <c r="E75" s="93"/>
      <c r="F75" s="94"/>
      <c r="G75" s="94"/>
      <c r="H75" s="95"/>
      <c r="I75" s="95"/>
      <c r="J75" s="95"/>
      <c r="K75" s="95"/>
    </row>
    <row r="76" spans="1:11" ht="14.25" customHeight="1">
      <c r="A76" s="91"/>
      <c r="B76" s="92"/>
      <c r="C76" s="92"/>
      <c r="D76" s="92"/>
      <c r="E76" s="93"/>
      <c r="F76" s="94"/>
      <c r="G76" s="94"/>
      <c r="H76" s="95"/>
      <c r="I76" s="95"/>
      <c r="J76" s="95"/>
      <c r="K76" s="95"/>
    </row>
    <row r="77" spans="1:11">
      <c r="A77" s="96"/>
      <c r="B77" s="98"/>
      <c r="C77" s="98"/>
      <c r="D77" s="98"/>
      <c r="E77" s="98"/>
      <c r="F77" s="97"/>
      <c r="G77" s="97"/>
      <c r="H77" s="99"/>
      <c r="I77" s="99"/>
      <c r="J77" s="99"/>
      <c r="K77" s="99"/>
    </row>
    <row r="78" spans="1:11">
      <c r="D78" s="102"/>
      <c r="E78" s="102"/>
    </row>
    <row r="79" spans="1:11">
      <c r="D79" s="102"/>
      <c r="E79" s="102"/>
      <c r="H79" s="102"/>
    </row>
    <row r="80" spans="1:11">
      <c r="D80" s="102"/>
      <c r="E80" s="102"/>
      <c r="H80" s="102"/>
    </row>
    <row r="81" spans="4:11">
      <c r="D81" s="102"/>
      <c r="E81" s="102"/>
      <c r="H81" s="102"/>
      <c r="I81" s="102"/>
      <c r="J81" s="102"/>
      <c r="K81" s="102"/>
    </row>
    <row r="82" spans="4:11">
      <c r="D82" s="102"/>
      <c r="E82" s="102"/>
      <c r="H82" s="102"/>
      <c r="I82" s="102"/>
      <c r="J82" s="102"/>
      <c r="K82" s="102"/>
    </row>
    <row r="83" spans="4:11">
      <c r="D83" s="102"/>
      <c r="E83" s="102"/>
      <c r="H83" s="102"/>
      <c r="I83" s="102"/>
      <c r="J83" s="102"/>
      <c r="K83" s="102"/>
    </row>
    <row r="84" spans="4:11">
      <c r="D84" s="102"/>
      <c r="E84" s="102"/>
      <c r="H84" s="102"/>
      <c r="I84" s="102"/>
      <c r="J84" s="102"/>
      <c r="K84" s="102"/>
    </row>
    <row r="85" spans="4:11">
      <c r="D85" s="102"/>
      <c r="E85" s="102"/>
      <c r="H85" s="102"/>
      <c r="I85" s="102"/>
      <c r="J85" s="102"/>
      <c r="K85" s="102"/>
    </row>
    <row r="86" spans="4:11">
      <c r="D86" s="102"/>
      <c r="E86" s="102"/>
      <c r="H86" s="102"/>
      <c r="I86" s="102"/>
      <c r="J86" s="102"/>
      <c r="K86" s="102"/>
    </row>
    <row r="87" spans="4:11">
      <c r="D87" s="102"/>
      <c r="E87" s="102"/>
      <c r="H87" s="102"/>
      <c r="I87" s="102"/>
      <c r="J87" s="102"/>
      <c r="K87" s="102"/>
    </row>
    <row r="88" spans="4:11">
      <c r="D88" s="102"/>
      <c r="E88" s="102"/>
      <c r="H88" s="102"/>
      <c r="I88" s="102"/>
      <c r="J88" s="102"/>
      <c r="K88" s="102"/>
    </row>
  </sheetData>
  <mergeCells count="39">
    <mergeCell ref="F9:K9"/>
    <mergeCell ref="A1:B1"/>
    <mergeCell ref="C1:E1"/>
    <mergeCell ref="F1:G1"/>
    <mergeCell ref="H1:K1"/>
    <mergeCell ref="A3:K3"/>
    <mergeCell ref="A4:K4"/>
    <mergeCell ref="A5:A6"/>
    <mergeCell ref="B5:E5"/>
    <mergeCell ref="F5:K6"/>
    <mergeCell ref="F7:K7"/>
    <mergeCell ref="F8:K8"/>
    <mergeCell ref="F21:K21"/>
    <mergeCell ref="F10:K10"/>
    <mergeCell ref="F11:K11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22:K22"/>
    <mergeCell ref="F23:K23"/>
    <mergeCell ref="A29:B40"/>
    <mergeCell ref="F29:H40"/>
    <mergeCell ref="I29:K29"/>
    <mergeCell ref="C30:D30"/>
    <mergeCell ref="I30:J30"/>
    <mergeCell ref="C36:E36"/>
    <mergeCell ref="C37:D37"/>
    <mergeCell ref="I39:K39"/>
    <mergeCell ref="H42:I42"/>
    <mergeCell ref="A44:B49"/>
    <mergeCell ref="F44:H49"/>
    <mergeCell ref="B54:D55"/>
    <mergeCell ref="B56:D70"/>
  </mergeCells>
  <conditionalFormatting sqref="I70">
    <cfRule type="expression" dxfId="44" priority="1">
      <formula>$I70=0</formula>
    </cfRule>
    <cfRule type="expression" dxfId="43" priority="2">
      <formula>$I70&gt;=1</formula>
    </cfRule>
    <cfRule type="expression" dxfId="42" priority="3">
      <formula>$I70&lt;=-1</formula>
    </cfRule>
  </conditionalFormatting>
  <pageMargins left="0.25" right="0.25" top="0.75" bottom="0.75" header="0.3" footer="0.3"/>
  <pageSetup paperSize="9" scale="6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7771-CFE4-4488-82FB-249DEABC81AE}">
  <sheetPr>
    <tabColor theme="7"/>
    <pageSetUpPr fitToPage="1"/>
  </sheetPr>
  <dimension ref="A1:K88"/>
  <sheetViews>
    <sheetView showWhiteSpace="0" view="pageLayout" topLeftCell="A41" zoomScale="80" zoomScaleNormal="80" zoomScalePageLayoutView="80" workbookViewId="0">
      <selection activeCell="F71" sqref="F71"/>
    </sheetView>
  </sheetViews>
  <sheetFormatPr defaultColWidth="20.7109375" defaultRowHeight="15"/>
  <cols>
    <col min="1" max="1" width="13.5703125" style="100" customWidth="1"/>
    <col min="2" max="3" width="13.7109375" style="102" customWidth="1"/>
    <col min="4" max="4" width="13.7109375" style="103" customWidth="1"/>
    <col min="5" max="5" width="14.7109375" style="104" customWidth="1"/>
    <col min="6" max="7" width="13.7109375" style="101" customWidth="1"/>
    <col min="8" max="10" width="13.7109375" style="103" customWidth="1"/>
    <col min="11" max="11" width="28.140625" style="103" customWidth="1"/>
    <col min="12" max="14" width="6.7109375" customWidth="1"/>
    <col min="15" max="17" width="10.7109375" customWidth="1"/>
    <col min="18" max="18" width="17.42578125" customWidth="1"/>
    <col min="19" max="19" width="10.7109375" customWidth="1"/>
    <col min="20" max="23" width="6.7109375" customWidth="1"/>
    <col min="24" max="26" width="10.7109375" customWidth="1"/>
    <col min="27" max="27" width="17.42578125" customWidth="1"/>
    <col min="28" max="28" width="10.7109375" customWidth="1"/>
    <col min="29" max="32" width="6.7109375" customWidth="1"/>
    <col min="33" max="35" width="10.7109375" customWidth="1"/>
    <col min="36" max="36" width="17.42578125" customWidth="1"/>
    <col min="37" max="37" width="10.7109375" customWidth="1"/>
    <col min="38" max="41" width="6.7109375" customWidth="1"/>
    <col min="42" max="44" width="10.7109375" customWidth="1"/>
    <col min="45" max="45" width="17.42578125" customWidth="1"/>
    <col min="46" max="46" width="10.7109375" customWidth="1"/>
    <col min="47" max="50" width="6.7109375" customWidth="1"/>
    <col min="51" max="53" width="10.7109375" customWidth="1"/>
    <col min="54" max="54" width="17.42578125" customWidth="1"/>
    <col min="55" max="55" width="10.7109375" customWidth="1"/>
    <col min="56" max="59" width="6.7109375" customWidth="1"/>
    <col min="60" max="62" width="10.7109375" customWidth="1"/>
    <col min="63" max="63" width="17.42578125" customWidth="1"/>
    <col min="64" max="64" width="10.7109375" customWidth="1"/>
    <col min="65" max="68" width="6.7109375" customWidth="1"/>
    <col min="69" max="71" width="10.7109375" customWidth="1"/>
    <col min="72" max="72" width="17.42578125" customWidth="1"/>
    <col min="73" max="73" width="10.7109375" customWidth="1"/>
    <col min="74" max="77" width="6.7109375" customWidth="1"/>
    <col min="78" max="80" width="10.7109375" customWidth="1"/>
    <col min="81" max="81" width="17.42578125" customWidth="1"/>
    <col min="82" max="82" width="10.7109375" customWidth="1"/>
    <col min="83" max="86" width="6.7109375" customWidth="1"/>
    <col min="87" max="89" width="10.7109375" customWidth="1"/>
    <col min="90" max="90" width="17.42578125" customWidth="1"/>
    <col min="91" max="91" width="10.7109375" customWidth="1"/>
    <col min="92" max="95" width="6.7109375" customWidth="1"/>
    <col min="96" max="98" width="10.7109375" customWidth="1"/>
    <col min="99" max="99" width="17.42578125" customWidth="1"/>
    <col min="100" max="100" width="10.7109375" customWidth="1"/>
    <col min="101" max="104" width="6.7109375" customWidth="1"/>
    <col min="105" max="107" width="10.7109375" customWidth="1"/>
    <col min="108" max="108" width="17.42578125" customWidth="1"/>
    <col min="109" max="109" width="10.7109375" customWidth="1"/>
    <col min="110" max="113" width="6.7109375" customWidth="1"/>
    <col min="114" max="116" width="10.7109375" customWidth="1"/>
    <col min="117" max="117" width="17.42578125" customWidth="1"/>
    <col min="118" max="118" width="10.7109375" customWidth="1"/>
    <col min="119" max="122" width="6.7109375" customWidth="1"/>
    <col min="123" max="125" width="10.7109375" customWidth="1"/>
    <col min="126" max="126" width="17.42578125" customWidth="1"/>
    <col min="127" max="127" width="10.7109375" customWidth="1"/>
    <col min="128" max="131" width="6.7109375" customWidth="1"/>
    <col min="132" max="134" width="10.7109375" customWidth="1"/>
    <col min="135" max="135" width="17.42578125" customWidth="1"/>
    <col min="136" max="136" width="10.7109375" customWidth="1"/>
    <col min="137" max="140" width="6.7109375" customWidth="1"/>
    <col min="141" max="143" width="10.7109375" customWidth="1"/>
    <col min="144" max="144" width="17.42578125" customWidth="1"/>
    <col min="145" max="145" width="10.7109375" customWidth="1"/>
    <col min="146" max="149" width="6.7109375" customWidth="1"/>
    <col min="150" max="152" width="10.7109375" customWidth="1"/>
    <col min="153" max="153" width="17.42578125" customWidth="1"/>
    <col min="154" max="154" width="10.7109375" customWidth="1"/>
    <col min="155" max="158" width="6.7109375" customWidth="1"/>
    <col min="159" max="161" width="10.7109375" customWidth="1"/>
    <col min="162" max="162" width="17.42578125" customWidth="1"/>
    <col min="163" max="163" width="10.7109375" customWidth="1"/>
    <col min="164" max="167" width="6.7109375" customWidth="1"/>
    <col min="168" max="170" width="10.7109375" customWidth="1"/>
    <col min="171" max="171" width="17.42578125" customWidth="1"/>
    <col min="172" max="172" width="10.7109375" customWidth="1"/>
    <col min="173" max="176" width="6.7109375" customWidth="1"/>
    <col min="177" max="179" width="10.7109375" customWidth="1"/>
    <col min="180" max="180" width="17.42578125" customWidth="1"/>
    <col min="181" max="181" width="10.7109375" customWidth="1"/>
    <col min="182" max="185" width="6.7109375" customWidth="1"/>
    <col min="186" max="188" width="10.7109375" customWidth="1"/>
    <col min="189" max="189" width="17.42578125" customWidth="1"/>
    <col min="190" max="190" width="10.7109375" customWidth="1"/>
    <col min="191" max="194" width="6.7109375" customWidth="1"/>
    <col min="195" max="197" width="10.7109375" customWidth="1"/>
    <col min="198" max="198" width="17.42578125" customWidth="1"/>
    <col min="199" max="199" width="10.7109375" customWidth="1"/>
    <col min="200" max="203" width="6.7109375" customWidth="1"/>
    <col min="204" max="206" width="10.7109375" customWidth="1"/>
    <col min="207" max="207" width="17.42578125" customWidth="1"/>
    <col min="208" max="208" width="10.7109375" customWidth="1"/>
    <col min="209" max="212" width="6.7109375" customWidth="1"/>
    <col min="213" max="215" width="10.7109375" customWidth="1"/>
    <col min="216" max="216" width="17.42578125" customWidth="1"/>
    <col min="217" max="217" width="10.7109375" customWidth="1"/>
    <col min="218" max="221" width="6.7109375" customWidth="1"/>
    <col min="222" max="224" width="10.7109375" customWidth="1"/>
    <col min="225" max="225" width="17.42578125" customWidth="1"/>
    <col min="226" max="226" width="10.7109375" customWidth="1"/>
    <col min="227" max="230" width="6.7109375" customWidth="1"/>
    <col min="231" max="233" width="10.7109375" customWidth="1"/>
    <col min="234" max="234" width="17.42578125" customWidth="1"/>
    <col min="235" max="235" width="10.7109375" customWidth="1"/>
    <col min="236" max="239" width="6.7109375" customWidth="1"/>
    <col min="240" max="242" width="10.7109375" customWidth="1"/>
    <col min="243" max="243" width="17.42578125" customWidth="1"/>
    <col min="244" max="244" width="10.7109375" customWidth="1"/>
    <col min="245" max="248" width="6.7109375" customWidth="1"/>
    <col min="249" max="251" width="10.7109375" customWidth="1"/>
    <col min="252" max="252" width="17.42578125" customWidth="1"/>
    <col min="253" max="253" width="10.7109375" customWidth="1"/>
    <col min="254" max="257" width="6.7109375" customWidth="1"/>
    <col min="258" max="260" width="10.7109375" customWidth="1"/>
    <col min="261" max="261" width="17.42578125" customWidth="1"/>
    <col min="262" max="262" width="10.7109375" customWidth="1"/>
    <col min="263" max="266" width="6.7109375" customWidth="1"/>
    <col min="267" max="269" width="10.7109375" customWidth="1"/>
    <col min="270" max="270" width="17.42578125" customWidth="1"/>
    <col min="271" max="271" width="10.7109375" customWidth="1"/>
    <col min="272" max="275" width="6.7109375" customWidth="1"/>
    <col min="276" max="278" width="10.7109375" customWidth="1"/>
    <col min="279" max="279" width="17.42578125" customWidth="1"/>
    <col min="280" max="280" width="10.7109375" customWidth="1"/>
    <col min="281" max="284" width="6.7109375" customWidth="1"/>
    <col min="285" max="287" width="10.7109375" customWidth="1"/>
    <col min="288" max="288" width="17.42578125" customWidth="1"/>
    <col min="289" max="289" width="10.7109375" customWidth="1"/>
    <col min="290" max="293" width="6.7109375" customWidth="1"/>
    <col min="294" max="296" width="10.7109375" customWidth="1"/>
    <col min="297" max="297" width="17.42578125" customWidth="1"/>
    <col min="298" max="298" width="10.7109375" customWidth="1"/>
    <col min="299" max="302" width="6.7109375" customWidth="1"/>
    <col min="303" max="305" width="10.7109375" customWidth="1"/>
    <col min="306" max="306" width="17.42578125" customWidth="1"/>
    <col min="307" max="307" width="10.7109375" customWidth="1"/>
    <col min="308" max="311" width="6.7109375" customWidth="1"/>
    <col min="312" max="314" width="10.7109375" customWidth="1"/>
    <col min="315" max="315" width="17.42578125" customWidth="1"/>
    <col min="316" max="316" width="10.7109375" customWidth="1"/>
    <col min="317" max="320" width="6.7109375" customWidth="1"/>
    <col min="321" max="323" width="10.7109375" customWidth="1"/>
    <col min="324" max="324" width="17.42578125" customWidth="1"/>
    <col min="325" max="325" width="10.7109375" customWidth="1"/>
    <col min="326" max="329" width="6.7109375" customWidth="1"/>
    <col min="330" max="332" width="10.7109375" customWidth="1"/>
    <col min="333" max="333" width="17.42578125" customWidth="1"/>
    <col min="334" max="334" width="10.7109375" customWidth="1"/>
    <col min="335" max="338" width="6.7109375" customWidth="1"/>
    <col min="339" max="341" width="10.7109375" customWidth="1"/>
    <col min="342" max="342" width="17.42578125" customWidth="1"/>
    <col min="343" max="343" width="10.7109375" customWidth="1"/>
    <col min="344" max="347" width="6.7109375" customWidth="1"/>
    <col min="348" max="350" width="10.7109375" customWidth="1"/>
    <col min="351" max="351" width="17.42578125" customWidth="1"/>
    <col min="352" max="352" width="10.7109375" customWidth="1"/>
    <col min="353" max="356" width="6.7109375" customWidth="1"/>
    <col min="357" max="359" width="10.7109375" customWidth="1"/>
    <col min="360" max="360" width="17.42578125" customWidth="1"/>
    <col min="361" max="361" width="10.7109375" customWidth="1"/>
    <col min="362" max="365" width="6.7109375" customWidth="1"/>
    <col min="366" max="368" width="10.7109375" customWidth="1"/>
    <col min="369" max="369" width="17.42578125" customWidth="1"/>
    <col min="370" max="370" width="10.7109375" customWidth="1"/>
    <col min="371" max="374" width="6.7109375" customWidth="1"/>
    <col min="375" max="377" width="10.7109375" customWidth="1"/>
    <col min="378" max="378" width="17.42578125" customWidth="1"/>
    <col min="379" max="379" width="10.7109375" customWidth="1"/>
    <col min="380" max="383" width="6.7109375" customWidth="1"/>
    <col min="384" max="386" width="10.7109375" customWidth="1"/>
    <col min="387" max="387" width="17.42578125" customWidth="1"/>
    <col min="388" max="388" width="10.7109375" customWidth="1"/>
    <col min="389" max="392" width="6.7109375" customWidth="1"/>
    <col min="393" max="395" width="10.7109375" customWidth="1"/>
    <col min="396" max="396" width="17.42578125" customWidth="1"/>
    <col min="397" max="397" width="10.7109375" customWidth="1"/>
    <col min="398" max="401" width="6.7109375" customWidth="1"/>
    <col min="402" max="404" width="10.7109375" customWidth="1"/>
    <col min="405" max="405" width="17.42578125" customWidth="1"/>
    <col min="406" max="406" width="10.7109375" customWidth="1"/>
    <col min="407" max="410" width="6.7109375" customWidth="1"/>
    <col min="411" max="413" width="10.7109375" customWidth="1"/>
    <col min="414" max="414" width="17.42578125" customWidth="1"/>
    <col min="415" max="415" width="10.7109375" customWidth="1"/>
    <col min="416" max="419" width="6.7109375" customWidth="1"/>
    <col min="420" max="422" width="10.7109375" customWidth="1"/>
    <col min="423" max="423" width="17.42578125" customWidth="1"/>
    <col min="424" max="424" width="10.7109375" customWidth="1"/>
    <col min="425" max="428" width="6.7109375" customWidth="1"/>
    <col min="429" max="431" width="10.7109375" customWidth="1"/>
    <col min="432" max="432" width="17.42578125" customWidth="1"/>
    <col min="433" max="433" width="10.7109375" customWidth="1"/>
    <col min="434" max="437" width="6.7109375" customWidth="1"/>
    <col min="438" max="440" width="10.7109375" customWidth="1"/>
    <col min="441" max="441" width="17.42578125" customWidth="1"/>
    <col min="442" max="442" width="10.7109375" customWidth="1"/>
    <col min="443" max="446" width="6.7109375" customWidth="1"/>
    <col min="447" max="449" width="10.7109375" customWidth="1"/>
    <col min="450" max="450" width="17.42578125" customWidth="1"/>
    <col min="451" max="451" width="10.7109375" customWidth="1"/>
    <col min="452" max="455" width="6.7109375" customWidth="1"/>
    <col min="456" max="458" width="10.7109375" customWidth="1"/>
    <col min="459" max="459" width="17.42578125" customWidth="1"/>
    <col min="460" max="460" width="10.7109375" customWidth="1"/>
    <col min="461" max="464" width="6.7109375" customWidth="1"/>
    <col min="465" max="467" width="10.7109375" customWidth="1"/>
    <col min="468" max="468" width="17.42578125" customWidth="1"/>
    <col min="469" max="469" width="10.7109375" customWidth="1"/>
    <col min="470" max="473" width="6.7109375" customWidth="1"/>
    <col min="474" max="476" width="10.7109375" customWidth="1"/>
    <col min="477" max="477" width="17.42578125" customWidth="1"/>
    <col min="478" max="478" width="10.7109375" customWidth="1"/>
    <col min="479" max="482" width="6.7109375" customWidth="1"/>
    <col min="483" max="485" width="10.7109375" customWidth="1"/>
    <col min="486" max="486" width="17.42578125" customWidth="1"/>
    <col min="487" max="487" width="10.7109375" customWidth="1"/>
    <col min="488" max="491" width="6.7109375" customWidth="1"/>
    <col min="492" max="494" width="10.7109375" customWidth="1"/>
    <col min="495" max="495" width="17.42578125" customWidth="1"/>
    <col min="496" max="496" width="10.7109375" customWidth="1"/>
    <col min="497" max="500" width="6.7109375" customWidth="1"/>
    <col min="501" max="503" width="10.7109375" customWidth="1"/>
    <col min="504" max="504" width="17.42578125" customWidth="1"/>
    <col min="505" max="505" width="10.7109375" customWidth="1"/>
    <col min="506" max="509" width="6.7109375" customWidth="1"/>
    <col min="510" max="512" width="10.7109375" customWidth="1"/>
    <col min="513" max="513" width="17.42578125" customWidth="1"/>
    <col min="514" max="514" width="10.7109375" customWidth="1"/>
    <col min="515" max="518" width="6.7109375" customWidth="1"/>
    <col min="519" max="521" width="10.7109375" customWidth="1"/>
    <col min="522" max="522" width="17.42578125" customWidth="1"/>
    <col min="523" max="523" width="10.7109375" customWidth="1"/>
    <col min="524" max="527" width="6.7109375" customWidth="1"/>
    <col min="528" max="530" width="10.7109375" customWidth="1"/>
    <col min="531" max="531" width="17.42578125" customWidth="1"/>
    <col min="532" max="532" width="10.7109375" customWidth="1"/>
    <col min="533" max="536" width="6.7109375" customWidth="1"/>
    <col min="537" max="539" width="10.7109375" customWidth="1"/>
    <col min="540" max="540" width="17.42578125" customWidth="1"/>
    <col min="541" max="541" width="10.7109375" customWidth="1"/>
    <col min="542" max="545" width="6.7109375" customWidth="1"/>
    <col min="546" max="548" width="10.7109375" customWidth="1"/>
    <col min="549" max="549" width="17.42578125" customWidth="1"/>
    <col min="550" max="550" width="10.7109375" customWidth="1"/>
    <col min="551" max="554" width="6.7109375" customWidth="1"/>
    <col min="555" max="557" width="10.7109375" customWidth="1"/>
    <col min="558" max="558" width="17.42578125" customWidth="1"/>
    <col min="559" max="559" width="10.7109375" customWidth="1"/>
    <col min="560" max="563" width="6.7109375" customWidth="1"/>
    <col min="564" max="566" width="10.7109375" customWidth="1"/>
    <col min="567" max="567" width="17.42578125" customWidth="1"/>
    <col min="568" max="568" width="10.7109375" customWidth="1"/>
    <col min="569" max="572" width="6.7109375" customWidth="1"/>
    <col min="573" max="575" width="10.7109375" customWidth="1"/>
    <col min="576" max="576" width="17.42578125" customWidth="1"/>
    <col min="577" max="577" width="10.7109375" customWidth="1"/>
    <col min="578" max="581" width="6.7109375" customWidth="1"/>
    <col min="582" max="584" width="10.7109375" customWidth="1"/>
    <col min="585" max="585" width="17.42578125" customWidth="1"/>
    <col min="586" max="586" width="10.7109375" customWidth="1"/>
    <col min="587" max="590" width="6.7109375" customWidth="1"/>
    <col min="591" max="593" width="10.7109375" customWidth="1"/>
    <col min="594" max="594" width="17.42578125" customWidth="1"/>
    <col min="595" max="595" width="10.7109375" customWidth="1"/>
    <col min="596" max="599" width="6.7109375" customWidth="1"/>
    <col min="600" max="602" width="10.7109375" customWidth="1"/>
    <col min="603" max="603" width="17.42578125" customWidth="1"/>
    <col min="604" max="604" width="10.7109375" customWidth="1"/>
    <col min="605" max="608" width="6.7109375" customWidth="1"/>
    <col min="609" max="611" width="10.7109375" customWidth="1"/>
    <col min="612" max="612" width="17.42578125" customWidth="1"/>
    <col min="613" max="613" width="10.7109375" customWidth="1"/>
    <col min="614" max="617" width="6.7109375" customWidth="1"/>
    <col min="618" max="620" width="10.7109375" customWidth="1"/>
    <col min="621" max="621" width="17.42578125" customWidth="1"/>
    <col min="622" max="622" width="10.7109375" customWidth="1"/>
    <col min="623" max="626" width="6.7109375" customWidth="1"/>
    <col min="627" max="629" width="10.7109375" customWidth="1"/>
    <col min="630" max="630" width="17.42578125" customWidth="1"/>
    <col min="631" max="631" width="10.7109375" customWidth="1"/>
    <col min="632" max="635" width="6.7109375" customWidth="1"/>
    <col min="636" max="638" width="10.7109375" customWidth="1"/>
    <col min="639" max="639" width="17.42578125" customWidth="1"/>
    <col min="640" max="640" width="10.7109375" customWidth="1"/>
    <col min="641" max="644" width="6.7109375" customWidth="1"/>
    <col min="645" max="647" width="10.7109375" customWidth="1"/>
    <col min="648" max="648" width="17.42578125" customWidth="1"/>
    <col min="649" max="649" width="10.7109375" customWidth="1"/>
    <col min="650" max="653" width="6.7109375" customWidth="1"/>
    <col min="654" max="656" width="10.7109375" customWidth="1"/>
    <col min="657" max="657" width="17.42578125" customWidth="1"/>
    <col min="658" max="658" width="10.7109375" customWidth="1"/>
    <col min="659" max="662" width="6.7109375" customWidth="1"/>
    <col min="663" max="665" width="10.7109375" customWidth="1"/>
    <col min="666" max="666" width="17.42578125" customWidth="1"/>
    <col min="667" max="667" width="10.7109375" customWidth="1"/>
    <col min="668" max="671" width="6.7109375" customWidth="1"/>
    <col min="672" max="674" width="10.7109375" customWidth="1"/>
    <col min="675" max="675" width="17.42578125" customWidth="1"/>
    <col min="676" max="676" width="10.7109375" customWidth="1"/>
    <col min="677" max="680" width="6.7109375" customWidth="1"/>
    <col min="681" max="683" width="10.7109375" customWidth="1"/>
    <col min="684" max="684" width="17.42578125" customWidth="1"/>
    <col min="685" max="685" width="10.7109375" customWidth="1"/>
    <col min="686" max="689" width="6.7109375" customWidth="1"/>
    <col min="690" max="692" width="10.7109375" customWidth="1"/>
    <col min="693" max="693" width="17.42578125" customWidth="1"/>
    <col min="694" max="694" width="10.7109375" customWidth="1"/>
    <col min="695" max="698" width="6.7109375" customWidth="1"/>
    <col min="699" max="701" width="10.7109375" customWidth="1"/>
    <col min="702" max="702" width="17.42578125" customWidth="1"/>
  </cols>
  <sheetData>
    <row r="1" spans="1:11" ht="20.45" customHeight="1">
      <c r="A1" s="174" t="s">
        <v>0</v>
      </c>
      <c r="B1" s="175"/>
      <c r="C1" s="176">
        <v>45497</v>
      </c>
      <c r="D1" s="177"/>
      <c r="E1" s="178"/>
      <c r="F1" s="174" t="s">
        <v>1</v>
      </c>
      <c r="G1" s="175"/>
      <c r="H1" s="179" t="s">
        <v>80</v>
      </c>
      <c r="I1" s="180"/>
      <c r="J1" s="180"/>
      <c r="K1" s="181"/>
    </row>
    <row r="2" spans="1:11" ht="11.25" customHeight="1">
      <c r="A2" s="1"/>
      <c r="B2" s="2"/>
      <c r="C2" s="2"/>
      <c r="D2" s="2"/>
      <c r="E2" s="3"/>
      <c r="F2" s="3"/>
      <c r="G2" s="3"/>
      <c r="H2" s="2"/>
      <c r="I2" s="2"/>
      <c r="J2" s="2"/>
      <c r="K2" s="2"/>
    </row>
    <row r="3" spans="1:11" ht="27" customHeight="1">
      <c r="A3" s="182" t="s">
        <v>2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20.45" customHeight="1">
      <c r="A4" s="183" t="s">
        <v>3</v>
      </c>
      <c r="B4" s="184"/>
      <c r="C4" s="184"/>
      <c r="D4" s="184"/>
      <c r="E4" s="184"/>
      <c r="F4" s="184"/>
      <c r="G4" s="184"/>
      <c r="H4" s="184"/>
      <c r="I4" s="184"/>
      <c r="J4" s="184"/>
      <c r="K4" s="185"/>
    </row>
    <row r="5" spans="1:11" s="5" customFormat="1" ht="26.25" customHeight="1">
      <c r="A5" s="186" t="s">
        <v>4</v>
      </c>
      <c r="B5" s="188" t="s">
        <v>5</v>
      </c>
      <c r="C5" s="189"/>
      <c r="D5" s="189"/>
      <c r="E5" s="190"/>
      <c r="F5" s="191" t="s">
        <v>6</v>
      </c>
      <c r="G5" s="192"/>
      <c r="H5" s="192"/>
      <c r="I5" s="192"/>
      <c r="J5" s="192"/>
      <c r="K5" s="193"/>
    </row>
    <row r="6" spans="1:11" ht="20.25" customHeight="1">
      <c r="A6" s="187"/>
      <c r="B6" s="6" t="s">
        <v>7</v>
      </c>
      <c r="C6" s="6" t="s">
        <v>8</v>
      </c>
      <c r="D6" s="4" t="s">
        <v>9</v>
      </c>
      <c r="E6" s="7" t="s">
        <v>10</v>
      </c>
      <c r="F6" s="194"/>
      <c r="G6" s="195"/>
      <c r="H6" s="195"/>
      <c r="I6" s="195"/>
      <c r="J6" s="195"/>
      <c r="K6" s="196"/>
    </row>
    <row r="7" spans="1:11" ht="20.45" customHeight="1">
      <c r="A7" s="8">
        <v>91</v>
      </c>
      <c r="B7" s="9"/>
      <c r="C7" s="9">
        <v>10000</v>
      </c>
      <c r="D7" s="10"/>
      <c r="E7" s="11"/>
      <c r="F7" s="155" t="s">
        <v>81</v>
      </c>
      <c r="G7" s="156"/>
      <c r="H7" s="156"/>
      <c r="I7" s="156"/>
      <c r="J7" s="156"/>
      <c r="K7" s="157"/>
    </row>
    <row r="8" spans="1:11" ht="20.45" customHeight="1">
      <c r="A8" s="8">
        <v>92</v>
      </c>
      <c r="B8" s="9"/>
      <c r="C8" s="9">
        <v>68500</v>
      </c>
      <c r="D8" s="10"/>
      <c r="E8" s="11"/>
      <c r="F8" s="155" t="s">
        <v>82</v>
      </c>
      <c r="G8" s="156"/>
      <c r="H8" s="156"/>
      <c r="I8" s="156"/>
      <c r="J8" s="156"/>
      <c r="K8" s="157"/>
    </row>
    <row r="9" spans="1:11" ht="20.45" customHeight="1">
      <c r="A9" s="8">
        <v>93</v>
      </c>
      <c r="B9" s="9"/>
      <c r="C9" s="9">
        <v>195490</v>
      </c>
      <c r="D9" s="10"/>
      <c r="E9" s="11"/>
      <c r="F9" s="155" t="s">
        <v>83</v>
      </c>
      <c r="G9" s="156"/>
      <c r="H9" s="156"/>
      <c r="I9" s="156"/>
      <c r="J9" s="156"/>
      <c r="K9" s="157"/>
    </row>
    <row r="10" spans="1:11" ht="20.45" customHeight="1">
      <c r="A10" s="8"/>
      <c r="B10" s="9">
        <v>20000</v>
      </c>
      <c r="C10" s="9"/>
      <c r="D10" s="10"/>
      <c r="E10" s="11"/>
      <c r="F10" s="155" t="s">
        <v>84</v>
      </c>
      <c r="G10" s="156"/>
      <c r="H10" s="156"/>
      <c r="I10" s="156"/>
      <c r="J10" s="156"/>
      <c r="K10" s="157"/>
    </row>
    <row r="11" spans="1:11" ht="20.45" customHeight="1">
      <c r="A11" s="8">
        <v>90</v>
      </c>
      <c r="B11" s="9"/>
      <c r="C11" s="9">
        <v>2990</v>
      </c>
      <c r="D11" s="10"/>
      <c r="E11" s="11"/>
      <c r="F11" s="155" t="s">
        <v>85</v>
      </c>
      <c r="G11" s="156"/>
      <c r="H11" s="156"/>
      <c r="I11" s="156"/>
      <c r="J11" s="156"/>
      <c r="K11" s="157"/>
    </row>
    <row r="12" spans="1:11" ht="20.45" customHeight="1">
      <c r="A12" s="8">
        <v>94</v>
      </c>
      <c r="B12" s="9"/>
      <c r="C12" s="9">
        <v>25000</v>
      </c>
      <c r="D12" s="10"/>
      <c r="E12" s="11"/>
      <c r="F12" s="155" t="s">
        <v>86</v>
      </c>
      <c r="G12" s="156"/>
      <c r="H12" s="156"/>
      <c r="I12" s="156"/>
      <c r="J12" s="156"/>
      <c r="K12" s="157"/>
    </row>
    <row r="13" spans="1:11" ht="20.45" customHeight="1">
      <c r="A13" s="8"/>
      <c r="B13" s="9"/>
      <c r="C13" s="9"/>
      <c r="D13" s="10"/>
      <c r="E13" s="11"/>
      <c r="F13" s="155"/>
      <c r="G13" s="156"/>
      <c r="H13" s="156"/>
      <c r="I13" s="156"/>
      <c r="J13" s="156"/>
      <c r="K13" s="157"/>
    </row>
    <row r="14" spans="1:11" ht="20.45" customHeight="1">
      <c r="A14" s="8"/>
      <c r="B14" s="9"/>
      <c r="C14" s="9"/>
      <c r="D14" s="10"/>
      <c r="E14" s="11"/>
      <c r="F14" s="155"/>
      <c r="G14" s="156"/>
      <c r="H14" s="156"/>
      <c r="I14" s="156"/>
      <c r="J14" s="156"/>
      <c r="K14" s="157"/>
    </row>
    <row r="15" spans="1:11" ht="20.45" customHeight="1">
      <c r="A15" s="8"/>
      <c r="B15" s="9"/>
      <c r="C15" s="9"/>
      <c r="D15" s="10"/>
      <c r="E15" s="11"/>
      <c r="F15" s="155"/>
      <c r="G15" s="156"/>
      <c r="H15" s="156"/>
      <c r="I15" s="156"/>
      <c r="J15" s="156"/>
      <c r="K15" s="157"/>
    </row>
    <row r="16" spans="1:11" ht="20.45" customHeight="1">
      <c r="A16" s="8"/>
      <c r="B16" s="9"/>
      <c r="C16" s="9"/>
      <c r="D16" s="10"/>
      <c r="E16" s="11"/>
      <c r="F16" s="155"/>
      <c r="G16" s="156"/>
      <c r="H16" s="156"/>
      <c r="I16" s="156"/>
      <c r="J16" s="156"/>
      <c r="K16" s="157"/>
    </row>
    <row r="17" spans="1:11" ht="20.45" customHeight="1">
      <c r="A17" s="8"/>
      <c r="B17" s="9"/>
      <c r="C17" s="9"/>
      <c r="D17" s="10"/>
      <c r="E17" s="11"/>
      <c r="F17" s="155"/>
      <c r="G17" s="156"/>
      <c r="H17" s="156"/>
      <c r="I17" s="156"/>
      <c r="J17" s="156"/>
      <c r="K17" s="157"/>
    </row>
    <row r="18" spans="1:11" s="12" customFormat="1" ht="20.45" customHeight="1">
      <c r="A18" s="8"/>
      <c r="B18" s="9"/>
      <c r="C18" s="9"/>
      <c r="D18" s="10"/>
      <c r="E18" s="11"/>
      <c r="F18" s="155"/>
      <c r="G18" s="156"/>
      <c r="H18" s="156"/>
      <c r="I18" s="156"/>
      <c r="J18" s="156"/>
      <c r="K18" s="157"/>
    </row>
    <row r="19" spans="1:11" ht="20.45" customHeight="1">
      <c r="A19" s="8"/>
      <c r="B19" s="9"/>
      <c r="C19" s="9"/>
      <c r="D19" s="10"/>
      <c r="E19" s="11"/>
      <c r="F19" s="155"/>
      <c r="G19" s="156"/>
      <c r="H19" s="156"/>
      <c r="I19" s="156"/>
      <c r="J19" s="156"/>
      <c r="K19" s="157"/>
    </row>
    <row r="20" spans="1:11" s="12" customFormat="1" ht="20.45" customHeight="1">
      <c r="A20" s="8"/>
      <c r="B20" s="9"/>
      <c r="C20" s="9"/>
      <c r="D20" s="10"/>
      <c r="E20" s="11"/>
      <c r="F20" s="155"/>
      <c r="G20" s="156"/>
      <c r="H20" s="156"/>
      <c r="I20" s="156"/>
      <c r="J20" s="156"/>
      <c r="K20" s="157"/>
    </row>
    <row r="21" spans="1:11" ht="20.45" customHeight="1">
      <c r="A21" s="8"/>
      <c r="B21" s="9"/>
      <c r="C21" s="9"/>
      <c r="D21" s="10"/>
      <c r="E21" s="11"/>
      <c r="F21" s="155"/>
      <c r="G21" s="156"/>
      <c r="H21" s="156"/>
      <c r="I21" s="156"/>
      <c r="J21" s="156"/>
      <c r="K21" s="157"/>
    </row>
    <row r="22" spans="1:11" ht="20.45" customHeight="1">
      <c r="A22" s="8"/>
      <c r="B22" s="9"/>
      <c r="C22" s="9"/>
      <c r="D22" s="10"/>
      <c r="E22" s="11"/>
      <c r="F22" s="155"/>
      <c r="G22" s="156"/>
      <c r="H22" s="156"/>
      <c r="I22" s="156"/>
      <c r="J22" s="156"/>
      <c r="K22" s="157"/>
    </row>
    <row r="23" spans="1:11" ht="20.45" customHeight="1">
      <c r="A23" s="8"/>
      <c r="B23" s="9"/>
      <c r="C23" s="9"/>
      <c r="D23" s="10"/>
      <c r="E23" s="11"/>
      <c r="F23" s="155"/>
      <c r="G23" s="156"/>
      <c r="H23" s="156"/>
      <c r="I23" s="156"/>
      <c r="J23" s="156"/>
      <c r="K23" s="157"/>
    </row>
    <row r="24" spans="1:11" ht="20.25" customHeight="1">
      <c r="A24" s="14" t="s">
        <v>11</v>
      </c>
      <c r="B24" s="15">
        <f>SUM($B7:$B23)</f>
        <v>20000</v>
      </c>
      <c r="C24" s="15">
        <f>SUM($C7:$C23)</f>
        <v>301980</v>
      </c>
      <c r="D24" s="15">
        <f>SUM($D7:$D23)</f>
        <v>0</v>
      </c>
      <c r="E24" s="15">
        <f>SUM($E7:$E23)</f>
        <v>0</v>
      </c>
      <c r="F24" s="106"/>
      <c r="G24" s="107"/>
      <c r="H24" s="108"/>
      <c r="I24" s="108"/>
      <c r="J24" s="108"/>
      <c r="K24" s="108"/>
    </row>
    <row r="25" spans="1:11" ht="3.75" customHeight="1">
      <c r="A25" s="13"/>
      <c r="B25" s="17"/>
      <c r="C25" s="17"/>
      <c r="D25" s="17"/>
      <c r="E25" s="18"/>
      <c r="F25" s="16"/>
      <c r="G25" s="16"/>
      <c r="H25" s="19"/>
      <c r="I25" s="19"/>
      <c r="J25" s="105"/>
      <c r="K25" s="19"/>
    </row>
    <row r="26" spans="1:11" ht="21.75" customHeight="1">
      <c r="A26" s="13"/>
      <c r="B26" s="17"/>
      <c r="C26" s="17"/>
      <c r="D26" s="17"/>
      <c r="E26" s="18"/>
      <c r="F26" s="16"/>
      <c r="G26" s="16"/>
      <c r="H26" s="19"/>
      <c r="I26" s="20"/>
      <c r="J26" s="21" t="s">
        <v>12</v>
      </c>
      <c r="K26" s="22">
        <f>$B$24+$C$24+$D$24+$E$24</f>
        <v>321980</v>
      </c>
    </row>
    <row r="27" spans="1:11" ht="12" customHeight="1">
      <c r="A27" s="13"/>
      <c r="B27" s="17"/>
      <c r="C27" s="17"/>
      <c r="D27" s="17"/>
      <c r="E27" s="18"/>
      <c r="F27" s="23"/>
      <c r="G27" s="23"/>
      <c r="H27" s="17"/>
      <c r="I27" s="17"/>
      <c r="J27" s="17"/>
      <c r="K27" s="24"/>
    </row>
    <row r="28" spans="1:11" ht="26.25" customHeight="1">
      <c r="A28" s="25"/>
      <c r="B28" s="27"/>
      <c r="C28" s="27"/>
      <c r="D28" s="27"/>
      <c r="E28" s="28"/>
      <c r="F28" s="26"/>
      <c r="G28" s="28" t="s">
        <v>13</v>
      </c>
      <c r="H28" s="27"/>
      <c r="I28" s="27"/>
      <c r="J28" s="27"/>
      <c r="K28" s="27"/>
    </row>
    <row r="29" spans="1:11" ht="19.5" customHeight="1">
      <c r="A29" s="158" t="s">
        <v>14</v>
      </c>
      <c r="B29" s="159"/>
      <c r="C29" s="29"/>
      <c r="D29" s="30" t="s">
        <v>15</v>
      </c>
      <c r="E29" s="31"/>
      <c r="F29" s="164" t="s">
        <v>16</v>
      </c>
      <c r="G29" s="164"/>
      <c r="H29" s="159"/>
      <c r="I29" s="166" t="s">
        <v>17</v>
      </c>
      <c r="J29" s="167"/>
      <c r="K29" s="168"/>
    </row>
    <row r="30" spans="1:11" ht="18.75" customHeight="1">
      <c r="A30" s="160"/>
      <c r="B30" s="161"/>
      <c r="C30" s="169" t="s">
        <v>18</v>
      </c>
      <c r="D30" s="170"/>
      <c r="E30" s="32" t="s">
        <v>19</v>
      </c>
      <c r="F30" s="165"/>
      <c r="G30" s="165"/>
      <c r="H30" s="161"/>
      <c r="I30" s="169" t="s">
        <v>18</v>
      </c>
      <c r="J30" s="170"/>
      <c r="K30" s="32" t="s">
        <v>19</v>
      </c>
    </row>
    <row r="31" spans="1:11" ht="15.75" customHeight="1">
      <c r="A31" s="160"/>
      <c r="B31" s="161"/>
      <c r="C31" s="33" t="s">
        <v>20</v>
      </c>
      <c r="D31" s="34"/>
      <c r="E31" s="35">
        <f>B24</f>
        <v>20000</v>
      </c>
      <c r="F31" s="165"/>
      <c r="G31" s="165"/>
      <c r="H31" s="161"/>
      <c r="I31" s="33" t="s">
        <v>7</v>
      </c>
      <c r="J31" s="34"/>
      <c r="K31" s="36">
        <v>60000</v>
      </c>
    </row>
    <row r="32" spans="1:11" ht="15.75" customHeight="1">
      <c r="A32" s="160"/>
      <c r="B32" s="161"/>
      <c r="C32" s="33" t="s">
        <v>21</v>
      </c>
      <c r="D32" s="37"/>
      <c r="E32" s="35">
        <f>C24</f>
        <v>301980</v>
      </c>
      <c r="F32" s="165"/>
      <c r="G32" s="165"/>
      <c r="H32" s="161"/>
      <c r="I32" s="38" t="s">
        <v>22</v>
      </c>
      <c r="J32" s="39"/>
      <c r="K32" s="40"/>
    </row>
    <row r="33" spans="1:11" ht="15.75" customHeight="1">
      <c r="A33" s="160"/>
      <c r="B33" s="161"/>
      <c r="C33" s="33" t="s">
        <v>23</v>
      </c>
      <c r="D33" s="37"/>
      <c r="E33" s="35">
        <f>D24</f>
        <v>0</v>
      </c>
      <c r="F33" s="165"/>
      <c r="G33" s="165"/>
      <c r="H33" s="161"/>
      <c r="I33" s="38" t="s">
        <v>24</v>
      </c>
      <c r="J33" s="39"/>
      <c r="K33" s="40"/>
    </row>
    <row r="34" spans="1:11" ht="15.75" customHeight="1">
      <c r="A34" s="160"/>
      <c r="B34" s="161"/>
      <c r="C34" s="33" t="s">
        <v>25</v>
      </c>
      <c r="D34" s="37"/>
      <c r="E34" s="35">
        <f>E24</f>
        <v>0</v>
      </c>
      <c r="F34" s="165"/>
      <c r="G34" s="165"/>
      <c r="H34" s="161"/>
      <c r="I34" s="38"/>
      <c r="J34" s="39"/>
      <c r="K34" s="40"/>
    </row>
    <row r="35" spans="1:11" ht="15.75" customHeight="1">
      <c r="A35" s="160"/>
      <c r="B35" s="161"/>
      <c r="C35" s="41" t="s">
        <v>12</v>
      </c>
      <c r="D35" s="42"/>
      <c r="E35" s="43">
        <f>SUM(E31:E34)</f>
        <v>321980</v>
      </c>
      <c r="F35" s="165"/>
      <c r="G35" s="165"/>
      <c r="H35" s="161"/>
      <c r="I35" s="38"/>
      <c r="J35" s="39"/>
      <c r="K35" s="40"/>
    </row>
    <row r="36" spans="1:11" ht="15.75" customHeight="1">
      <c r="A36" s="160"/>
      <c r="B36" s="161"/>
      <c r="C36" s="171" t="s">
        <v>26</v>
      </c>
      <c r="D36" s="172"/>
      <c r="E36" s="173"/>
      <c r="F36" s="165"/>
      <c r="G36" s="165"/>
      <c r="H36" s="161"/>
      <c r="I36" s="38"/>
      <c r="J36" s="39"/>
      <c r="K36" s="40"/>
    </row>
    <row r="37" spans="1:11" ht="15.75" customHeight="1">
      <c r="A37" s="160"/>
      <c r="B37" s="161"/>
      <c r="C37" s="169" t="s">
        <v>18</v>
      </c>
      <c r="D37" s="170"/>
      <c r="E37" s="32" t="s">
        <v>19</v>
      </c>
      <c r="F37" s="165"/>
      <c r="G37" s="165"/>
      <c r="H37" s="161"/>
      <c r="I37" s="38"/>
      <c r="J37" s="39"/>
      <c r="K37" s="40"/>
    </row>
    <row r="38" spans="1:11" ht="15.75" customHeight="1">
      <c r="A38" s="160"/>
      <c r="B38" s="161"/>
      <c r="C38" s="44" t="s">
        <v>7</v>
      </c>
      <c r="D38" s="45"/>
      <c r="E38" s="46"/>
      <c r="F38" s="165"/>
      <c r="G38" s="165"/>
      <c r="H38" s="161"/>
      <c r="I38" s="41" t="s">
        <v>27</v>
      </c>
      <c r="J38" s="42"/>
      <c r="K38" s="43">
        <f>SUM(K31:K37)</f>
        <v>60000</v>
      </c>
    </row>
    <row r="39" spans="1:11" ht="15.75" customHeight="1">
      <c r="A39" s="160"/>
      <c r="B39" s="161"/>
      <c r="C39" s="47" t="s">
        <v>24</v>
      </c>
      <c r="D39" s="48"/>
      <c r="E39" s="49"/>
      <c r="F39" s="165"/>
      <c r="G39" s="165"/>
      <c r="H39" s="161"/>
      <c r="I39" s="166" t="s">
        <v>28</v>
      </c>
      <c r="J39" s="167"/>
      <c r="K39" s="168"/>
    </row>
    <row r="40" spans="1:11" ht="18.75" customHeight="1">
      <c r="A40" s="162"/>
      <c r="B40" s="163"/>
      <c r="C40" s="41" t="s">
        <v>29</v>
      </c>
      <c r="D40" s="42"/>
      <c r="E40" s="43">
        <f>SUM(E38:E39)</f>
        <v>0</v>
      </c>
      <c r="F40" s="165"/>
      <c r="G40" s="165"/>
      <c r="H40" s="161"/>
      <c r="I40" s="38" t="s">
        <v>30</v>
      </c>
      <c r="J40" s="48"/>
      <c r="K40" s="49"/>
    </row>
    <row r="41" spans="1:11" ht="15.75" customHeight="1">
      <c r="A41" s="13"/>
      <c r="B41" s="50"/>
      <c r="C41" s="51"/>
      <c r="D41" s="52" t="s">
        <v>31</v>
      </c>
      <c r="E41" s="53">
        <f>E35+E40</f>
        <v>321980</v>
      </c>
      <c r="F41" s="54"/>
      <c r="G41" s="54"/>
      <c r="H41" s="55"/>
      <c r="I41" s="51"/>
      <c r="J41" s="52" t="s">
        <v>32</v>
      </c>
      <c r="K41" s="53">
        <f>K38+K40</f>
        <v>60000</v>
      </c>
    </row>
    <row r="42" spans="1:11" ht="11.25" customHeight="1">
      <c r="A42" s="13"/>
      <c r="B42" s="18"/>
      <c r="C42" s="18"/>
      <c r="D42" s="18"/>
      <c r="E42" s="18"/>
      <c r="F42" s="57"/>
      <c r="G42" s="57"/>
      <c r="H42" s="135"/>
      <c r="I42" s="135"/>
      <c r="J42" s="17"/>
      <c r="K42" s="17"/>
    </row>
    <row r="43" spans="1:11" ht="28.5">
      <c r="A43" s="25"/>
      <c r="B43" s="27"/>
      <c r="C43" s="27"/>
      <c r="D43" s="27"/>
      <c r="E43" s="28"/>
      <c r="F43" s="26"/>
      <c r="G43" s="28" t="s">
        <v>33</v>
      </c>
      <c r="H43" s="27"/>
      <c r="I43" s="27"/>
      <c r="J43" s="27"/>
      <c r="K43" s="27"/>
    </row>
    <row r="44" spans="1:11" ht="17.100000000000001" customHeight="1">
      <c r="A44" s="136" t="s">
        <v>34</v>
      </c>
      <c r="B44" s="137"/>
      <c r="C44" s="58" t="s">
        <v>35</v>
      </c>
      <c r="D44" s="58" t="s">
        <v>36</v>
      </c>
      <c r="E44" s="59" t="s">
        <v>19</v>
      </c>
      <c r="F44" s="142" t="s">
        <v>37</v>
      </c>
      <c r="G44" s="143"/>
      <c r="H44" s="137"/>
      <c r="I44" s="58" t="s">
        <v>35</v>
      </c>
      <c r="J44" s="58" t="s">
        <v>36</v>
      </c>
      <c r="K44" s="58" t="s">
        <v>19</v>
      </c>
    </row>
    <row r="45" spans="1:11" ht="17.100000000000001" customHeight="1">
      <c r="A45" s="138"/>
      <c r="B45" s="139"/>
      <c r="C45" s="60">
        <v>20000</v>
      </c>
      <c r="D45" s="61"/>
      <c r="E45" s="62">
        <f>C45*D45</f>
        <v>0</v>
      </c>
      <c r="F45" s="144"/>
      <c r="G45" s="145"/>
      <c r="H45" s="139"/>
      <c r="I45" s="60">
        <v>500</v>
      </c>
      <c r="J45" s="61">
        <v>2</v>
      </c>
      <c r="K45" s="63">
        <f>I45*J45</f>
        <v>1000</v>
      </c>
    </row>
    <row r="46" spans="1:11" ht="17.100000000000001" customHeight="1">
      <c r="A46" s="138"/>
      <c r="B46" s="139"/>
      <c r="C46" s="60">
        <v>10000</v>
      </c>
      <c r="D46" s="61">
        <v>1</v>
      </c>
      <c r="E46" s="62">
        <f>C46*D46</f>
        <v>10000</v>
      </c>
      <c r="F46" s="144"/>
      <c r="G46" s="145"/>
      <c r="H46" s="139"/>
      <c r="I46" s="60">
        <v>100</v>
      </c>
      <c r="J46" s="61">
        <v>31</v>
      </c>
      <c r="K46" s="63">
        <f>I46*J46</f>
        <v>3100</v>
      </c>
    </row>
    <row r="47" spans="1:11" ht="17.100000000000001" customHeight="1">
      <c r="A47" s="138"/>
      <c r="B47" s="139"/>
      <c r="C47" s="60">
        <v>5000</v>
      </c>
      <c r="D47" s="61"/>
      <c r="E47" s="62">
        <f>C47*D47</f>
        <v>0</v>
      </c>
      <c r="F47" s="144"/>
      <c r="G47" s="145"/>
      <c r="H47" s="139"/>
      <c r="I47" s="60">
        <v>50</v>
      </c>
      <c r="J47" s="61">
        <v>8</v>
      </c>
      <c r="K47" s="63">
        <f>I47*J47</f>
        <v>400</v>
      </c>
    </row>
    <row r="48" spans="1:11" ht="17.100000000000001" customHeight="1">
      <c r="A48" s="138"/>
      <c r="B48" s="139"/>
      <c r="C48" s="60">
        <v>2000</v>
      </c>
      <c r="D48" s="61"/>
      <c r="E48" s="62">
        <f>C48*D48</f>
        <v>0</v>
      </c>
      <c r="F48" s="144"/>
      <c r="G48" s="145"/>
      <c r="H48" s="139"/>
      <c r="I48" s="60">
        <v>10</v>
      </c>
      <c r="J48" s="61">
        <v>13</v>
      </c>
      <c r="K48" s="63">
        <f>I48*J48</f>
        <v>130</v>
      </c>
    </row>
    <row r="49" spans="1:11" ht="17.100000000000001" customHeight="1">
      <c r="A49" s="140"/>
      <c r="B49" s="141"/>
      <c r="C49" s="60">
        <v>1000</v>
      </c>
      <c r="D49" s="61"/>
      <c r="E49" s="62">
        <f>C49*D49</f>
        <v>0</v>
      </c>
      <c r="F49" s="146"/>
      <c r="G49" s="147"/>
      <c r="H49" s="141"/>
      <c r="I49" s="60"/>
      <c r="J49" s="64"/>
      <c r="K49" s="63"/>
    </row>
    <row r="50" spans="1:11" ht="18.75">
      <c r="A50" s="13"/>
      <c r="B50" s="65"/>
      <c r="C50" s="66"/>
      <c r="D50" s="67" t="s">
        <v>38</v>
      </c>
      <c r="E50" s="68">
        <f>SUM(E45:E49)</f>
        <v>10000</v>
      </c>
      <c r="F50" s="54"/>
      <c r="G50" s="54"/>
      <c r="H50" s="55"/>
      <c r="I50" s="66"/>
      <c r="J50" s="67" t="s">
        <v>39</v>
      </c>
      <c r="K50" s="68">
        <f>SUM(K45:K49)</f>
        <v>4630</v>
      </c>
    </row>
    <row r="51" spans="1:11" ht="18.75">
      <c r="A51" s="13"/>
      <c r="B51" s="18"/>
      <c r="C51" s="18"/>
      <c r="D51" s="18"/>
      <c r="E51" s="18"/>
      <c r="F51" s="16"/>
      <c r="G51" s="16"/>
      <c r="H51" s="65"/>
      <c r="I51" s="65"/>
      <c r="J51" s="17"/>
      <c r="K51" s="17"/>
    </row>
    <row r="52" spans="1:11" ht="18" customHeight="1">
      <c r="A52" s="13"/>
      <c r="B52" s="18"/>
      <c r="C52" s="18"/>
      <c r="D52" s="18"/>
      <c r="E52" s="18"/>
      <c r="F52" s="69"/>
      <c r="G52" s="69"/>
      <c r="H52" s="70" t="s">
        <v>40</v>
      </c>
      <c r="I52" s="71"/>
      <c r="J52" s="69"/>
      <c r="K52" s="17"/>
    </row>
    <row r="53" spans="1:11" ht="4.5" customHeight="1">
      <c r="A53" s="13"/>
      <c r="B53" s="18"/>
      <c r="C53" s="18"/>
      <c r="D53" s="18"/>
      <c r="E53" s="18"/>
      <c r="F53" s="16"/>
      <c r="G53" s="16"/>
      <c r="H53" s="17"/>
      <c r="I53" s="17"/>
      <c r="J53" s="17"/>
      <c r="K53" s="17"/>
    </row>
    <row r="54" spans="1:11" ht="15" customHeight="1">
      <c r="A54" s="72"/>
      <c r="B54" s="148" t="s">
        <v>41</v>
      </c>
      <c r="C54" s="149"/>
      <c r="D54" s="150"/>
      <c r="E54" s="18"/>
      <c r="F54" s="73"/>
      <c r="G54" s="73"/>
      <c r="H54" s="74" t="s">
        <v>42</v>
      </c>
      <c r="I54" s="75">
        <v>54630</v>
      </c>
      <c r="J54" s="76"/>
      <c r="K54" s="17"/>
    </row>
    <row r="55" spans="1:11" ht="4.5" customHeight="1">
      <c r="A55" s="72"/>
      <c r="B55" s="151"/>
      <c r="C55" s="152"/>
      <c r="D55" s="153"/>
      <c r="E55" s="18"/>
      <c r="F55" s="16"/>
      <c r="G55" s="16"/>
      <c r="H55" s="17"/>
      <c r="I55" s="77"/>
      <c r="J55" s="17"/>
      <c r="K55" s="17"/>
    </row>
    <row r="56" spans="1:11" ht="18.75" customHeight="1">
      <c r="A56" s="78"/>
      <c r="B56" s="154" t="s">
        <v>87</v>
      </c>
      <c r="C56" s="154"/>
      <c r="D56" s="154"/>
      <c r="E56" s="18"/>
      <c r="F56" s="79"/>
      <c r="G56" s="79"/>
      <c r="H56" s="80" t="s">
        <v>43</v>
      </c>
      <c r="I56" s="81">
        <f>E50+K50</f>
        <v>14630</v>
      </c>
      <c r="J56" s="82"/>
      <c r="K56" s="17"/>
    </row>
    <row r="57" spans="1:11" ht="4.5" customHeight="1">
      <c r="A57" s="78"/>
      <c r="B57" s="154"/>
      <c r="C57" s="154"/>
      <c r="D57" s="154"/>
      <c r="E57" s="18"/>
      <c r="F57" s="56"/>
      <c r="G57" s="56"/>
      <c r="H57" s="57"/>
      <c r="I57" s="83"/>
      <c r="J57" s="65"/>
      <c r="K57" s="17"/>
    </row>
    <row r="58" spans="1:11" ht="18.75">
      <c r="A58" s="78"/>
      <c r="B58" s="154"/>
      <c r="C58" s="154"/>
      <c r="D58" s="154"/>
      <c r="E58" s="18"/>
      <c r="F58" s="79"/>
      <c r="G58" s="79"/>
      <c r="H58" s="80" t="s">
        <v>12</v>
      </c>
      <c r="I58" s="81">
        <f>K26</f>
        <v>321980</v>
      </c>
      <c r="J58" s="82"/>
      <c r="K58" s="24"/>
    </row>
    <row r="59" spans="1:11" ht="4.5" customHeight="1">
      <c r="A59" s="78"/>
      <c r="B59" s="154"/>
      <c r="C59" s="154"/>
      <c r="D59" s="154"/>
      <c r="E59" s="18"/>
      <c r="F59" s="56"/>
      <c r="G59" s="56"/>
      <c r="H59" s="57"/>
      <c r="I59" s="83"/>
      <c r="J59" s="18"/>
      <c r="K59" s="17"/>
    </row>
    <row r="60" spans="1:11" ht="18.75">
      <c r="A60" s="78"/>
      <c r="B60" s="154"/>
      <c r="C60" s="154"/>
      <c r="D60" s="154"/>
      <c r="E60" s="18"/>
      <c r="F60" s="84"/>
      <c r="G60" s="84"/>
      <c r="H60" s="85" t="s">
        <v>26</v>
      </c>
      <c r="I60" s="86">
        <f>E38</f>
        <v>0</v>
      </c>
      <c r="J60" s="82"/>
      <c r="K60" s="17"/>
    </row>
    <row r="61" spans="1:11" ht="4.5" customHeight="1">
      <c r="A61" s="78"/>
      <c r="B61" s="154"/>
      <c r="C61" s="154"/>
      <c r="D61" s="154"/>
      <c r="E61" s="18"/>
      <c r="F61" s="13"/>
      <c r="G61" s="13"/>
      <c r="H61" s="16"/>
      <c r="I61" s="77"/>
      <c r="J61" s="17"/>
      <c r="K61" s="17"/>
    </row>
    <row r="62" spans="1:11" ht="18.75">
      <c r="A62" s="78"/>
      <c r="B62" s="154"/>
      <c r="C62" s="154"/>
      <c r="D62" s="154"/>
      <c r="E62" s="18"/>
      <c r="F62" s="84"/>
      <c r="G62" s="84"/>
      <c r="H62" s="85" t="s">
        <v>17</v>
      </c>
      <c r="I62" s="86">
        <f>K31+K40</f>
        <v>60000</v>
      </c>
      <c r="J62" s="82"/>
      <c r="K62" s="17"/>
    </row>
    <row r="63" spans="1:11" ht="4.5" customHeight="1">
      <c r="A63" s="78"/>
      <c r="B63" s="154"/>
      <c r="C63" s="154"/>
      <c r="D63" s="154"/>
      <c r="E63" s="18"/>
      <c r="F63" s="13"/>
      <c r="G63" s="13"/>
      <c r="H63" s="16"/>
      <c r="I63" s="77"/>
      <c r="J63" s="17"/>
      <c r="K63" s="17"/>
    </row>
    <row r="64" spans="1:11" ht="18.75">
      <c r="A64" s="78"/>
      <c r="B64" s="154"/>
      <c r="C64" s="154"/>
      <c r="D64" s="154"/>
      <c r="E64" s="18"/>
      <c r="F64" s="84"/>
      <c r="G64" s="84"/>
      <c r="H64" s="85" t="s">
        <v>44</v>
      </c>
      <c r="I64" s="86">
        <f>I54+I58+I60-I62</f>
        <v>316610</v>
      </c>
      <c r="J64" s="87"/>
      <c r="K64" s="17"/>
    </row>
    <row r="65" spans="1:11" ht="4.5" customHeight="1">
      <c r="A65" s="13"/>
      <c r="B65" s="154"/>
      <c r="C65" s="154"/>
      <c r="D65" s="154"/>
      <c r="E65" s="18"/>
      <c r="F65" s="16"/>
      <c r="G65" s="16"/>
      <c r="H65" s="18"/>
      <c r="I65" s="77"/>
      <c r="J65" s="17"/>
      <c r="K65" s="17"/>
    </row>
    <row r="66" spans="1:11" ht="18.75">
      <c r="A66" s="13"/>
      <c r="B66" s="154"/>
      <c r="C66" s="154"/>
      <c r="D66" s="154"/>
      <c r="E66" s="18"/>
      <c r="F66" s="73"/>
      <c r="G66" s="73"/>
      <c r="H66" s="74" t="s">
        <v>45</v>
      </c>
      <c r="I66" s="86">
        <f>I64-I54</f>
        <v>261980</v>
      </c>
      <c r="J66" s="88"/>
      <c r="K66" s="17"/>
    </row>
    <row r="67" spans="1:11" ht="4.5" customHeight="1">
      <c r="A67" s="78"/>
      <c r="B67" s="154"/>
      <c r="C67" s="154"/>
      <c r="D67" s="154"/>
      <c r="E67" s="18"/>
      <c r="F67" s="16"/>
      <c r="G67" s="16"/>
      <c r="H67" s="16"/>
      <c r="I67" s="77"/>
      <c r="J67" s="17"/>
      <c r="K67" s="17"/>
    </row>
    <row r="68" spans="1:11" ht="18.75">
      <c r="A68" s="13"/>
      <c r="B68" s="154"/>
      <c r="C68" s="154"/>
      <c r="D68" s="154"/>
      <c r="E68" s="18"/>
      <c r="F68" s="79"/>
      <c r="G68" s="79"/>
      <c r="H68" s="80" t="s">
        <v>46</v>
      </c>
      <c r="I68" s="86">
        <f>I54+E31+(E38-(K31+K40))</f>
        <v>14630</v>
      </c>
      <c r="J68" s="88"/>
      <c r="K68" s="17"/>
    </row>
    <row r="69" spans="1:11" ht="4.5" customHeight="1">
      <c r="A69" s="78"/>
      <c r="B69" s="154"/>
      <c r="C69" s="154"/>
      <c r="D69" s="154"/>
      <c r="E69" s="18"/>
      <c r="F69" s="16"/>
      <c r="G69" s="16"/>
      <c r="H69" s="16"/>
      <c r="I69" s="77"/>
      <c r="J69" s="17"/>
      <c r="K69" s="17"/>
    </row>
    <row r="70" spans="1:11" ht="18.75" customHeight="1">
      <c r="A70" s="78"/>
      <c r="B70" s="154"/>
      <c r="C70" s="154"/>
      <c r="D70" s="154"/>
      <c r="E70" s="18"/>
      <c r="F70" s="79"/>
      <c r="G70" s="79"/>
      <c r="H70" s="80" t="s">
        <v>47</v>
      </c>
      <c r="I70" s="89">
        <f>I56-I68</f>
        <v>0</v>
      </c>
      <c r="J70" s="90"/>
      <c r="K70" s="17"/>
    </row>
    <row r="71" spans="1:11" ht="15" customHeight="1">
      <c r="A71" s="91"/>
      <c r="B71" s="92"/>
      <c r="C71" s="92"/>
      <c r="D71" s="92"/>
      <c r="E71" s="93"/>
      <c r="F71" s="94"/>
      <c r="G71" s="94"/>
      <c r="H71" s="95"/>
      <c r="I71" s="95"/>
      <c r="J71" s="95"/>
      <c r="K71" s="95"/>
    </row>
    <row r="72" spans="1:11" ht="15" customHeight="1">
      <c r="A72" s="91"/>
      <c r="B72" s="92"/>
      <c r="C72" s="92"/>
      <c r="D72" s="92"/>
      <c r="E72" s="93"/>
      <c r="F72" s="94"/>
      <c r="G72" s="94"/>
      <c r="H72" s="95"/>
      <c r="I72" s="95"/>
      <c r="J72" s="95"/>
      <c r="K72" s="95"/>
    </row>
    <row r="73" spans="1:11" ht="15" customHeight="1">
      <c r="A73" s="91"/>
      <c r="B73" s="92"/>
      <c r="C73" s="92"/>
      <c r="D73" s="92"/>
      <c r="E73" s="93"/>
      <c r="F73" s="94"/>
      <c r="G73" s="94"/>
      <c r="H73" s="95"/>
      <c r="I73" s="95"/>
      <c r="J73" s="95"/>
      <c r="K73" s="95"/>
    </row>
    <row r="74" spans="1:11" ht="15" customHeight="1">
      <c r="A74" s="91"/>
      <c r="B74" s="92"/>
      <c r="C74" s="92"/>
      <c r="D74" s="92"/>
      <c r="E74" s="93"/>
      <c r="F74" s="94"/>
      <c r="G74" s="94"/>
      <c r="H74" s="95"/>
      <c r="I74" s="95"/>
      <c r="J74" s="95"/>
      <c r="K74" s="95"/>
    </row>
    <row r="75" spans="1:11" ht="15.75" customHeight="1">
      <c r="A75" s="91"/>
      <c r="B75" s="92"/>
      <c r="C75" s="92"/>
      <c r="D75" s="92"/>
      <c r="E75" s="93"/>
      <c r="F75" s="94"/>
      <c r="G75" s="94"/>
      <c r="H75" s="95"/>
      <c r="I75" s="95"/>
      <c r="J75" s="95"/>
      <c r="K75" s="95"/>
    </row>
    <row r="76" spans="1:11" ht="14.25" customHeight="1">
      <c r="A76" s="91"/>
      <c r="B76" s="92"/>
      <c r="C76" s="92"/>
      <c r="D76" s="92"/>
      <c r="E76" s="93"/>
      <c r="F76" s="94"/>
      <c r="G76" s="94"/>
      <c r="H76" s="95"/>
      <c r="I76" s="95"/>
      <c r="J76" s="95"/>
      <c r="K76" s="95"/>
    </row>
    <row r="77" spans="1:11">
      <c r="A77" s="96"/>
      <c r="B77" s="98"/>
      <c r="C77" s="98"/>
      <c r="D77" s="98"/>
      <c r="E77" s="98"/>
      <c r="F77" s="97"/>
      <c r="G77" s="97"/>
      <c r="H77" s="99"/>
      <c r="I77" s="99"/>
      <c r="J77" s="99"/>
      <c r="K77" s="99"/>
    </row>
    <row r="78" spans="1:11">
      <c r="D78" s="102"/>
      <c r="E78" s="102"/>
    </row>
    <row r="79" spans="1:11">
      <c r="D79" s="102"/>
      <c r="E79" s="102"/>
      <c r="H79" s="102"/>
    </row>
    <row r="80" spans="1:11">
      <c r="D80" s="102"/>
      <c r="E80" s="102"/>
      <c r="H80" s="102"/>
    </row>
    <row r="81" spans="4:11">
      <c r="D81" s="102"/>
      <c r="E81" s="102"/>
      <c r="H81" s="102"/>
      <c r="I81" s="102"/>
      <c r="J81" s="102"/>
      <c r="K81" s="102"/>
    </row>
    <row r="82" spans="4:11">
      <c r="D82" s="102"/>
      <c r="E82" s="102"/>
      <c r="H82" s="102"/>
      <c r="I82" s="102"/>
      <c r="J82" s="102"/>
      <c r="K82" s="102"/>
    </row>
    <row r="83" spans="4:11">
      <c r="D83" s="102"/>
      <c r="E83" s="102"/>
      <c r="H83" s="102"/>
      <c r="I83" s="102"/>
      <c r="J83" s="102"/>
      <c r="K83" s="102"/>
    </row>
    <row r="84" spans="4:11">
      <c r="D84" s="102"/>
      <c r="E84" s="102"/>
      <c r="H84" s="102"/>
      <c r="I84" s="102"/>
      <c r="J84" s="102"/>
      <c r="K84" s="102"/>
    </row>
    <row r="85" spans="4:11">
      <c r="D85" s="102"/>
      <c r="E85" s="102"/>
      <c r="H85" s="102"/>
      <c r="I85" s="102"/>
      <c r="J85" s="102"/>
      <c r="K85" s="102"/>
    </row>
    <row r="86" spans="4:11">
      <c r="D86" s="102"/>
      <c r="E86" s="102"/>
      <c r="H86" s="102"/>
      <c r="I86" s="102"/>
      <c r="J86" s="102"/>
      <c r="K86" s="102"/>
    </row>
    <row r="87" spans="4:11">
      <c r="D87" s="102"/>
      <c r="E87" s="102"/>
      <c r="H87" s="102"/>
      <c r="I87" s="102"/>
      <c r="J87" s="102"/>
      <c r="K87" s="102"/>
    </row>
    <row r="88" spans="4:11">
      <c r="D88" s="102"/>
      <c r="E88" s="102"/>
      <c r="H88" s="102"/>
      <c r="I88" s="102"/>
      <c r="J88" s="102"/>
      <c r="K88" s="102"/>
    </row>
  </sheetData>
  <mergeCells count="39">
    <mergeCell ref="F9:K9"/>
    <mergeCell ref="A1:B1"/>
    <mergeCell ref="C1:E1"/>
    <mergeCell ref="F1:G1"/>
    <mergeCell ref="H1:K1"/>
    <mergeCell ref="A3:K3"/>
    <mergeCell ref="A4:K4"/>
    <mergeCell ref="A5:A6"/>
    <mergeCell ref="B5:E5"/>
    <mergeCell ref="F5:K6"/>
    <mergeCell ref="F7:K7"/>
    <mergeCell ref="F8:K8"/>
    <mergeCell ref="F21:K21"/>
    <mergeCell ref="F10:K10"/>
    <mergeCell ref="F11:K11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22:K22"/>
    <mergeCell ref="F23:K23"/>
    <mergeCell ref="A29:B40"/>
    <mergeCell ref="F29:H40"/>
    <mergeCell ref="I29:K29"/>
    <mergeCell ref="C30:D30"/>
    <mergeCell ref="I30:J30"/>
    <mergeCell ref="C36:E36"/>
    <mergeCell ref="C37:D37"/>
    <mergeCell ref="I39:K39"/>
    <mergeCell ref="H42:I42"/>
    <mergeCell ref="A44:B49"/>
    <mergeCell ref="F44:H49"/>
    <mergeCell ref="B54:D55"/>
    <mergeCell ref="B56:D70"/>
  </mergeCells>
  <conditionalFormatting sqref="I70">
    <cfRule type="expression" dxfId="41" priority="1">
      <formula>$I70=0</formula>
    </cfRule>
    <cfRule type="expression" dxfId="40" priority="2">
      <formula>$I70&gt;=1</formula>
    </cfRule>
    <cfRule type="expression" dxfId="39" priority="3">
      <formula>$I70&lt;=-1</formula>
    </cfRule>
  </conditionalFormatting>
  <pageMargins left="0.25" right="0.25" top="0.75" bottom="0.75" header="0.3" footer="0.3"/>
  <pageSetup paperSize="9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0C21-6B8C-45B6-B95A-0EB6CF25C16A}">
  <sheetPr>
    <tabColor theme="7"/>
    <pageSetUpPr fitToPage="1"/>
  </sheetPr>
  <dimension ref="A1:K88"/>
  <sheetViews>
    <sheetView showWhiteSpace="0" view="pageLayout" topLeftCell="A41" zoomScale="80" zoomScaleNormal="80" zoomScalePageLayoutView="80" workbookViewId="0">
      <selection activeCell="A71" sqref="A71"/>
    </sheetView>
  </sheetViews>
  <sheetFormatPr defaultColWidth="20.7109375" defaultRowHeight="15"/>
  <cols>
    <col min="1" max="1" width="13.5703125" style="100" customWidth="1"/>
    <col min="2" max="3" width="13.7109375" style="102" customWidth="1"/>
    <col min="4" max="4" width="13.7109375" style="103" customWidth="1"/>
    <col min="5" max="5" width="14.7109375" style="104" customWidth="1"/>
    <col min="6" max="7" width="13.7109375" style="101" customWidth="1"/>
    <col min="8" max="10" width="13.7109375" style="103" customWidth="1"/>
    <col min="11" max="11" width="28.140625" style="103" customWidth="1"/>
    <col min="12" max="14" width="6.7109375" customWidth="1"/>
    <col min="15" max="17" width="10.7109375" customWidth="1"/>
    <col min="18" max="18" width="17.42578125" customWidth="1"/>
    <col min="19" max="19" width="10.7109375" customWidth="1"/>
    <col min="20" max="23" width="6.7109375" customWidth="1"/>
    <col min="24" max="26" width="10.7109375" customWidth="1"/>
    <col min="27" max="27" width="17.42578125" customWidth="1"/>
    <col min="28" max="28" width="10.7109375" customWidth="1"/>
    <col min="29" max="32" width="6.7109375" customWidth="1"/>
    <col min="33" max="35" width="10.7109375" customWidth="1"/>
    <col min="36" max="36" width="17.42578125" customWidth="1"/>
    <col min="37" max="37" width="10.7109375" customWidth="1"/>
    <col min="38" max="41" width="6.7109375" customWidth="1"/>
    <col min="42" max="44" width="10.7109375" customWidth="1"/>
    <col min="45" max="45" width="17.42578125" customWidth="1"/>
    <col min="46" max="46" width="10.7109375" customWidth="1"/>
    <col min="47" max="50" width="6.7109375" customWidth="1"/>
    <col min="51" max="53" width="10.7109375" customWidth="1"/>
    <col min="54" max="54" width="17.42578125" customWidth="1"/>
    <col min="55" max="55" width="10.7109375" customWidth="1"/>
    <col min="56" max="59" width="6.7109375" customWidth="1"/>
    <col min="60" max="62" width="10.7109375" customWidth="1"/>
    <col min="63" max="63" width="17.42578125" customWidth="1"/>
    <col min="64" max="64" width="10.7109375" customWidth="1"/>
    <col min="65" max="68" width="6.7109375" customWidth="1"/>
    <col min="69" max="71" width="10.7109375" customWidth="1"/>
    <col min="72" max="72" width="17.42578125" customWidth="1"/>
    <col min="73" max="73" width="10.7109375" customWidth="1"/>
    <col min="74" max="77" width="6.7109375" customWidth="1"/>
    <col min="78" max="80" width="10.7109375" customWidth="1"/>
    <col min="81" max="81" width="17.42578125" customWidth="1"/>
    <col min="82" max="82" width="10.7109375" customWidth="1"/>
    <col min="83" max="86" width="6.7109375" customWidth="1"/>
    <col min="87" max="89" width="10.7109375" customWidth="1"/>
    <col min="90" max="90" width="17.42578125" customWidth="1"/>
    <col min="91" max="91" width="10.7109375" customWidth="1"/>
    <col min="92" max="95" width="6.7109375" customWidth="1"/>
    <col min="96" max="98" width="10.7109375" customWidth="1"/>
    <col min="99" max="99" width="17.42578125" customWidth="1"/>
    <col min="100" max="100" width="10.7109375" customWidth="1"/>
    <col min="101" max="104" width="6.7109375" customWidth="1"/>
    <col min="105" max="107" width="10.7109375" customWidth="1"/>
    <col min="108" max="108" width="17.42578125" customWidth="1"/>
    <col min="109" max="109" width="10.7109375" customWidth="1"/>
    <col min="110" max="113" width="6.7109375" customWidth="1"/>
    <col min="114" max="116" width="10.7109375" customWidth="1"/>
    <col min="117" max="117" width="17.42578125" customWidth="1"/>
    <col min="118" max="118" width="10.7109375" customWidth="1"/>
    <col min="119" max="122" width="6.7109375" customWidth="1"/>
    <col min="123" max="125" width="10.7109375" customWidth="1"/>
    <col min="126" max="126" width="17.42578125" customWidth="1"/>
    <col min="127" max="127" width="10.7109375" customWidth="1"/>
    <col min="128" max="131" width="6.7109375" customWidth="1"/>
    <col min="132" max="134" width="10.7109375" customWidth="1"/>
    <col min="135" max="135" width="17.42578125" customWidth="1"/>
    <col min="136" max="136" width="10.7109375" customWidth="1"/>
    <col min="137" max="140" width="6.7109375" customWidth="1"/>
    <col min="141" max="143" width="10.7109375" customWidth="1"/>
    <col min="144" max="144" width="17.42578125" customWidth="1"/>
    <col min="145" max="145" width="10.7109375" customWidth="1"/>
    <col min="146" max="149" width="6.7109375" customWidth="1"/>
    <col min="150" max="152" width="10.7109375" customWidth="1"/>
    <col min="153" max="153" width="17.42578125" customWidth="1"/>
    <col min="154" max="154" width="10.7109375" customWidth="1"/>
    <col min="155" max="158" width="6.7109375" customWidth="1"/>
    <col min="159" max="161" width="10.7109375" customWidth="1"/>
    <col min="162" max="162" width="17.42578125" customWidth="1"/>
    <col min="163" max="163" width="10.7109375" customWidth="1"/>
    <col min="164" max="167" width="6.7109375" customWidth="1"/>
    <col min="168" max="170" width="10.7109375" customWidth="1"/>
    <col min="171" max="171" width="17.42578125" customWidth="1"/>
    <col min="172" max="172" width="10.7109375" customWidth="1"/>
    <col min="173" max="176" width="6.7109375" customWidth="1"/>
    <col min="177" max="179" width="10.7109375" customWidth="1"/>
    <col min="180" max="180" width="17.42578125" customWidth="1"/>
    <col min="181" max="181" width="10.7109375" customWidth="1"/>
    <col min="182" max="185" width="6.7109375" customWidth="1"/>
    <col min="186" max="188" width="10.7109375" customWidth="1"/>
    <col min="189" max="189" width="17.42578125" customWidth="1"/>
    <col min="190" max="190" width="10.7109375" customWidth="1"/>
    <col min="191" max="194" width="6.7109375" customWidth="1"/>
    <col min="195" max="197" width="10.7109375" customWidth="1"/>
    <col min="198" max="198" width="17.42578125" customWidth="1"/>
    <col min="199" max="199" width="10.7109375" customWidth="1"/>
    <col min="200" max="203" width="6.7109375" customWidth="1"/>
    <col min="204" max="206" width="10.7109375" customWidth="1"/>
    <col min="207" max="207" width="17.42578125" customWidth="1"/>
    <col min="208" max="208" width="10.7109375" customWidth="1"/>
    <col min="209" max="212" width="6.7109375" customWidth="1"/>
    <col min="213" max="215" width="10.7109375" customWidth="1"/>
    <col min="216" max="216" width="17.42578125" customWidth="1"/>
    <col min="217" max="217" width="10.7109375" customWidth="1"/>
    <col min="218" max="221" width="6.7109375" customWidth="1"/>
    <col min="222" max="224" width="10.7109375" customWidth="1"/>
    <col min="225" max="225" width="17.42578125" customWidth="1"/>
    <col min="226" max="226" width="10.7109375" customWidth="1"/>
    <col min="227" max="230" width="6.7109375" customWidth="1"/>
    <col min="231" max="233" width="10.7109375" customWidth="1"/>
    <col min="234" max="234" width="17.42578125" customWidth="1"/>
    <col min="235" max="235" width="10.7109375" customWidth="1"/>
    <col min="236" max="239" width="6.7109375" customWidth="1"/>
    <col min="240" max="242" width="10.7109375" customWidth="1"/>
    <col min="243" max="243" width="17.42578125" customWidth="1"/>
    <col min="244" max="244" width="10.7109375" customWidth="1"/>
    <col min="245" max="248" width="6.7109375" customWidth="1"/>
    <col min="249" max="251" width="10.7109375" customWidth="1"/>
    <col min="252" max="252" width="17.42578125" customWidth="1"/>
    <col min="253" max="253" width="10.7109375" customWidth="1"/>
    <col min="254" max="257" width="6.7109375" customWidth="1"/>
    <col min="258" max="260" width="10.7109375" customWidth="1"/>
    <col min="261" max="261" width="17.42578125" customWidth="1"/>
    <col min="262" max="262" width="10.7109375" customWidth="1"/>
    <col min="263" max="266" width="6.7109375" customWidth="1"/>
    <col min="267" max="269" width="10.7109375" customWidth="1"/>
    <col min="270" max="270" width="17.42578125" customWidth="1"/>
    <col min="271" max="271" width="10.7109375" customWidth="1"/>
    <col min="272" max="275" width="6.7109375" customWidth="1"/>
    <col min="276" max="278" width="10.7109375" customWidth="1"/>
    <col min="279" max="279" width="17.42578125" customWidth="1"/>
    <col min="280" max="280" width="10.7109375" customWidth="1"/>
    <col min="281" max="284" width="6.7109375" customWidth="1"/>
    <col min="285" max="287" width="10.7109375" customWidth="1"/>
    <col min="288" max="288" width="17.42578125" customWidth="1"/>
    <col min="289" max="289" width="10.7109375" customWidth="1"/>
    <col min="290" max="293" width="6.7109375" customWidth="1"/>
    <col min="294" max="296" width="10.7109375" customWidth="1"/>
    <col min="297" max="297" width="17.42578125" customWidth="1"/>
    <col min="298" max="298" width="10.7109375" customWidth="1"/>
    <col min="299" max="302" width="6.7109375" customWidth="1"/>
    <col min="303" max="305" width="10.7109375" customWidth="1"/>
    <col min="306" max="306" width="17.42578125" customWidth="1"/>
    <col min="307" max="307" width="10.7109375" customWidth="1"/>
    <col min="308" max="311" width="6.7109375" customWidth="1"/>
    <col min="312" max="314" width="10.7109375" customWidth="1"/>
    <col min="315" max="315" width="17.42578125" customWidth="1"/>
    <col min="316" max="316" width="10.7109375" customWidth="1"/>
    <col min="317" max="320" width="6.7109375" customWidth="1"/>
    <col min="321" max="323" width="10.7109375" customWidth="1"/>
    <col min="324" max="324" width="17.42578125" customWidth="1"/>
    <col min="325" max="325" width="10.7109375" customWidth="1"/>
    <col min="326" max="329" width="6.7109375" customWidth="1"/>
    <col min="330" max="332" width="10.7109375" customWidth="1"/>
    <col min="333" max="333" width="17.42578125" customWidth="1"/>
    <col min="334" max="334" width="10.7109375" customWidth="1"/>
    <col min="335" max="338" width="6.7109375" customWidth="1"/>
    <col min="339" max="341" width="10.7109375" customWidth="1"/>
    <col min="342" max="342" width="17.42578125" customWidth="1"/>
    <col min="343" max="343" width="10.7109375" customWidth="1"/>
    <col min="344" max="347" width="6.7109375" customWidth="1"/>
    <col min="348" max="350" width="10.7109375" customWidth="1"/>
    <col min="351" max="351" width="17.42578125" customWidth="1"/>
    <col min="352" max="352" width="10.7109375" customWidth="1"/>
    <col min="353" max="356" width="6.7109375" customWidth="1"/>
    <col min="357" max="359" width="10.7109375" customWidth="1"/>
    <col min="360" max="360" width="17.42578125" customWidth="1"/>
    <col min="361" max="361" width="10.7109375" customWidth="1"/>
    <col min="362" max="365" width="6.7109375" customWidth="1"/>
    <col min="366" max="368" width="10.7109375" customWidth="1"/>
    <col min="369" max="369" width="17.42578125" customWidth="1"/>
    <col min="370" max="370" width="10.7109375" customWidth="1"/>
    <col min="371" max="374" width="6.7109375" customWidth="1"/>
    <col min="375" max="377" width="10.7109375" customWidth="1"/>
    <col min="378" max="378" width="17.42578125" customWidth="1"/>
    <col min="379" max="379" width="10.7109375" customWidth="1"/>
    <col min="380" max="383" width="6.7109375" customWidth="1"/>
    <col min="384" max="386" width="10.7109375" customWidth="1"/>
    <col min="387" max="387" width="17.42578125" customWidth="1"/>
    <col min="388" max="388" width="10.7109375" customWidth="1"/>
    <col min="389" max="392" width="6.7109375" customWidth="1"/>
    <col min="393" max="395" width="10.7109375" customWidth="1"/>
    <col min="396" max="396" width="17.42578125" customWidth="1"/>
    <col min="397" max="397" width="10.7109375" customWidth="1"/>
    <col min="398" max="401" width="6.7109375" customWidth="1"/>
    <col min="402" max="404" width="10.7109375" customWidth="1"/>
    <col min="405" max="405" width="17.42578125" customWidth="1"/>
    <col min="406" max="406" width="10.7109375" customWidth="1"/>
    <col min="407" max="410" width="6.7109375" customWidth="1"/>
    <col min="411" max="413" width="10.7109375" customWidth="1"/>
    <col min="414" max="414" width="17.42578125" customWidth="1"/>
    <col min="415" max="415" width="10.7109375" customWidth="1"/>
    <col min="416" max="419" width="6.7109375" customWidth="1"/>
    <col min="420" max="422" width="10.7109375" customWidth="1"/>
    <col min="423" max="423" width="17.42578125" customWidth="1"/>
    <col min="424" max="424" width="10.7109375" customWidth="1"/>
    <col min="425" max="428" width="6.7109375" customWidth="1"/>
    <col min="429" max="431" width="10.7109375" customWidth="1"/>
    <col min="432" max="432" width="17.42578125" customWidth="1"/>
    <col min="433" max="433" width="10.7109375" customWidth="1"/>
    <col min="434" max="437" width="6.7109375" customWidth="1"/>
    <col min="438" max="440" width="10.7109375" customWidth="1"/>
    <col min="441" max="441" width="17.42578125" customWidth="1"/>
    <col min="442" max="442" width="10.7109375" customWidth="1"/>
    <col min="443" max="446" width="6.7109375" customWidth="1"/>
    <col min="447" max="449" width="10.7109375" customWidth="1"/>
    <col min="450" max="450" width="17.42578125" customWidth="1"/>
    <col min="451" max="451" width="10.7109375" customWidth="1"/>
    <col min="452" max="455" width="6.7109375" customWidth="1"/>
    <col min="456" max="458" width="10.7109375" customWidth="1"/>
    <col min="459" max="459" width="17.42578125" customWidth="1"/>
    <col min="460" max="460" width="10.7109375" customWidth="1"/>
    <col min="461" max="464" width="6.7109375" customWidth="1"/>
    <col min="465" max="467" width="10.7109375" customWidth="1"/>
    <col min="468" max="468" width="17.42578125" customWidth="1"/>
    <col min="469" max="469" width="10.7109375" customWidth="1"/>
    <col min="470" max="473" width="6.7109375" customWidth="1"/>
    <col min="474" max="476" width="10.7109375" customWidth="1"/>
    <col min="477" max="477" width="17.42578125" customWidth="1"/>
    <col min="478" max="478" width="10.7109375" customWidth="1"/>
    <col min="479" max="482" width="6.7109375" customWidth="1"/>
    <col min="483" max="485" width="10.7109375" customWidth="1"/>
    <col min="486" max="486" width="17.42578125" customWidth="1"/>
    <col min="487" max="487" width="10.7109375" customWidth="1"/>
    <col min="488" max="491" width="6.7109375" customWidth="1"/>
    <col min="492" max="494" width="10.7109375" customWidth="1"/>
    <col min="495" max="495" width="17.42578125" customWidth="1"/>
    <col min="496" max="496" width="10.7109375" customWidth="1"/>
    <col min="497" max="500" width="6.7109375" customWidth="1"/>
    <col min="501" max="503" width="10.7109375" customWidth="1"/>
    <col min="504" max="504" width="17.42578125" customWidth="1"/>
    <col min="505" max="505" width="10.7109375" customWidth="1"/>
    <col min="506" max="509" width="6.7109375" customWidth="1"/>
    <col min="510" max="512" width="10.7109375" customWidth="1"/>
    <col min="513" max="513" width="17.42578125" customWidth="1"/>
    <col min="514" max="514" width="10.7109375" customWidth="1"/>
    <col min="515" max="518" width="6.7109375" customWidth="1"/>
    <col min="519" max="521" width="10.7109375" customWidth="1"/>
    <col min="522" max="522" width="17.42578125" customWidth="1"/>
    <col min="523" max="523" width="10.7109375" customWidth="1"/>
    <col min="524" max="527" width="6.7109375" customWidth="1"/>
    <col min="528" max="530" width="10.7109375" customWidth="1"/>
    <col min="531" max="531" width="17.42578125" customWidth="1"/>
    <col min="532" max="532" width="10.7109375" customWidth="1"/>
    <col min="533" max="536" width="6.7109375" customWidth="1"/>
    <col min="537" max="539" width="10.7109375" customWidth="1"/>
    <col min="540" max="540" width="17.42578125" customWidth="1"/>
    <col min="541" max="541" width="10.7109375" customWidth="1"/>
    <col min="542" max="545" width="6.7109375" customWidth="1"/>
    <col min="546" max="548" width="10.7109375" customWidth="1"/>
    <col min="549" max="549" width="17.42578125" customWidth="1"/>
    <col min="550" max="550" width="10.7109375" customWidth="1"/>
    <col min="551" max="554" width="6.7109375" customWidth="1"/>
    <col min="555" max="557" width="10.7109375" customWidth="1"/>
    <col min="558" max="558" width="17.42578125" customWidth="1"/>
    <col min="559" max="559" width="10.7109375" customWidth="1"/>
    <col min="560" max="563" width="6.7109375" customWidth="1"/>
    <col min="564" max="566" width="10.7109375" customWidth="1"/>
    <col min="567" max="567" width="17.42578125" customWidth="1"/>
    <col min="568" max="568" width="10.7109375" customWidth="1"/>
    <col min="569" max="572" width="6.7109375" customWidth="1"/>
    <col min="573" max="575" width="10.7109375" customWidth="1"/>
    <col min="576" max="576" width="17.42578125" customWidth="1"/>
    <col min="577" max="577" width="10.7109375" customWidth="1"/>
    <col min="578" max="581" width="6.7109375" customWidth="1"/>
    <col min="582" max="584" width="10.7109375" customWidth="1"/>
    <col min="585" max="585" width="17.42578125" customWidth="1"/>
    <col min="586" max="586" width="10.7109375" customWidth="1"/>
    <col min="587" max="590" width="6.7109375" customWidth="1"/>
    <col min="591" max="593" width="10.7109375" customWidth="1"/>
    <col min="594" max="594" width="17.42578125" customWidth="1"/>
    <col min="595" max="595" width="10.7109375" customWidth="1"/>
    <col min="596" max="599" width="6.7109375" customWidth="1"/>
    <col min="600" max="602" width="10.7109375" customWidth="1"/>
    <col min="603" max="603" width="17.42578125" customWidth="1"/>
    <col min="604" max="604" width="10.7109375" customWidth="1"/>
    <col min="605" max="608" width="6.7109375" customWidth="1"/>
    <col min="609" max="611" width="10.7109375" customWidth="1"/>
    <col min="612" max="612" width="17.42578125" customWidth="1"/>
    <col min="613" max="613" width="10.7109375" customWidth="1"/>
    <col min="614" max="617" width="6.7109375" customWidth="1"/>
    <col min="618" max="620" width="10.7109375" customWidth="1"/>
    <col min="621" max="621" width="17.42578125" customWidth="1"/>
    <col min="622" max="622" width="10.7109375" customWidth="1"/>
    <col min="623" max="626" width="6.7109375" customWidth="1"/>
    <col min="627" max="629" width="10.7109375" customWidth="1"/>
    <col min="630" max="630" width="17.42578125" customWidth="1"/>
    <col min="631" max="631" width="10.7109375" customWidth="1"/>
    <col min="632" max="635" width="6.7109375" customWidth="1"/>
    <col min="636" max="638" width="10.7109375" customWidth="1"/>
    <col min="639" max="639" width="17.42578125" customWidth="1"/>
    <col min="640" max="640" width="10.7109375" customWidth="1"/>
    <col min="641" max="644" width="6.7109375" customWidth="1"/>
    <col min="645" max="647" width="10.7109375" customWidth="1"/>
    <col min="648" max="648" width="17.42578125" customWidth="1"/>
    <col min="649" max="649" width="10.7109375" customWidth="1"/>
    <col min="650" max="653" width="6.7109375" customWidth="1"/>
    <col min="654" max="656" width="10.7109375" customWidth="1"/>
    <col min="657" max="657" width="17.42578125" customWidth="1"/>
    <col min="658" max="658" width="10.7109375" customWidth="1"/>
    <col min="659" max="662" width="6.7109375" customWidth="1"/>
    <col min="663" max="665" width="10.7109375" customWidth="1"/>
    <col min="666" max="666" width="17.42578125" customWidth="1"/>
    <col min="667" max="667" width="10.7109375" customWidth="1"/>
    <col min="668" max="671" width="6.7109375" customWidth="1"/>
    <col min="672" max="674" width="10.7109375" customWidth="1"/>
    <col min="675" max="675" width="17.42578125" customWidth="1"/>
    <col min="676" max="676" width="10.7109375" customWidth="1"/>
    <col min="677" max="680" width="6.7109375" customWidth="1"/>
    <col min="681" max="683" width="10.7109375" customWidth="1"/>
    <col min="684" max="684" width="17.42578125" customWidth="1"/>
    <col min="685" max="685" width="10.7109375" customWidth="1"/>
    <col min="686" max="689" width="6.7109375" customWidth="1"/>
    <col min="690" max="692" width="10.7109375" customWidth="1"/>
    <col min="693" max="693" width="17.42578125" customWidth="1"/>
    <col min="694" max="694" width="10.7109375" customWidth="1"/>
    <col min="695" max="698" width="6.7109375" customWidth="1"/>
    <col min="699" max="701" width="10.7109375" customWidth="1"/>
    <col min="702" max="702" width="17.42578125" customWidth="1"/>
  </cols>
  <sheetData>
    <row r="1" spans="1:11" ht="20.45" customHeight="1">
      <c r="A1" s="174" t="s">
        <v>0</v>
      </c>
      <c r="B1" s="175"/>
      <c r="C1" s="176">
        <v>45496</v>
      </c>
      <c r="D1" s="177"/>
      <c r="E1" s="178"/>
      <c r="F1" s="174" t="s">
        <v>1</v>
      </c>
      <c r="G1" s="175"/>
      <c r="H1" s="179" t="s">
        <v>80</v>
      </c>
      <c r="I1" s="180"/>
      <c r="J1" s="180"/>
      <c r="K1" s="181"/>
    </row>
    <row r="2" spans="1:11" ht="11.25" customHeight="1">
      <c r="A2" s="1"/>
      <c r="B2" s="2"/>
      <c r="C2" s="2"/>
      <c r="D2" s="2"/>
      <c r="E2" s="3"/>
      <c r="F2" s="3"/>
      <c r="G2" s="3"/>
      <c r="H2" s="2"/>
      <c r="I2" s="2"/>
      <c r="J2" s="2"/>
      <c r="K2" s="2"/>
    </row>
    <row r="3" spans="1:11" ht="27" customHeight="1">
      <c r="A3" s="182" t="s">
        <v>2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20.45" customHeight="1">
      <c r="A4" s="183" t="s">
        <v>88</v>
      </c>
      <c r="B4" s="184"/>
      <c r="C4" s="184"/>
      <c r="D4" s="184"/>
      <c r="E4" s="184"/>
      <c r="F4" s="184"/>
      <c r="G4" s="184"/>
      <c r="H4" s="184"/>
      <c r="I4" s="184"/>
      <c r="J4" s="184"/>
      <c r="K4" s="185"/>
    </row>
    <row r="5" spans="1:11" s="5" customFormat="1" ht="26.25" customHeight="1">
      <c r="A5" s="186" t="s">
        <v>4</v>
      </c>
      <c r="B5" s="188" t="s">
        <v>5</v>
      </c>
      <c r="C5" s="189"/>
      <c r="D5" s="189"/>
      <c r="E5" s="190"/>
      <c r="F5" s="191" t="s">
        <v>6</v>
      </c>
      <c r="G5" s="192"/>
      <c r="H5" s="192"/>
      <c r="I5" s="192"/>
      <c r="J5" s="192"/>
      <c r="K5" s="193"/>
    </row>
    <row r="6" spans="1:11" ht="20.25" customHeight="1">
      <c r="A6" s="187"/>
      <c r="B6" s="6" t="s">
        <v>7</v>
      </c>
      <c r="C6" s="6" t="s">
        <v>8</v>
      </c>
      <c r="D6" s="4" t="s">
        <v>9</v>
      </c>
      <c r="E6" s="7" t="s">
        <v>10</v>
      </c>
      <c r="F6" s="194"/>
      <c r="G6" s="195"/>
      <c r="H6" s="195"/>
      <c r="I6" s="195"/>
      <c r="J6" s="195"/>
      <c r="K6" s="196"/>
    </row>
    <row r="7" spans="1:11" ht="20.45" customHeight="1">
      <c r="A7" s="8">
        <v>85</v>
      </c>
      <c r="B7" s="9"/>
      <c r="C7" s="9">
        <v>50000</v>
      </c>
      <c r="D7" s="10"/>
      <c r="E7" s="11"/>
      <c r="F7" s="155" t="s">
        <v>89</v>
      </c>
      <c r="G7" s="156"/>
      <c r="H7" s="156"/>
      <c r="I7" s="156"/>
      <c r="J7" s="156"/>
      <c r="K7" s="157"/>
    </row>
    <row r="8" spans="1:11" ht="20.45" customHeight="1">
      <c r="A8" s="8">
        <v>86</v>
      </c>
      <c r="B8" s="9"/>
      <c r="C8" s="9">
        <v>152100</v>
      </c>
      <c r="D8" s="10"/>
      <c r="E8" s="11"/>
      <c r="F8" s="155" t="s">
        <v>90</v>
      </c>
      <c r="G8" s="156"/>
      <c r="H8" s="156"/>
      <c r="I8" s="156"/>
      <c r="J8" s="156"/>
      <c r="K8" s="157"/>
    </row>
    <row r="9" spans="1:11" ht="20.45" customHeight="1">
      <c r="A9" s="8">
        <v>87</v>
      </c>
      <c r="B9" s="9"/>
      <c r="C9" s="9">
        <v>10000</v>
      </c>
      <c r="D9" s="10"/>
      <c r="E9" s="11"/>
      <c r="F9" s="155" t="s">
        <v>91</v>
      </c>
      <c r="G9" s="156"/>
      <c r="H9" s="156"/>
      <c r="I9" s="156"/>
      <c r="J9" s="156"/>
      <c r="K9" s="157"/>
    </row>
    <row r="10" spans="1:11" ht="20.45" customHeight="1">
      <c r="A10" s="8">
        <v>88</v>
      </c>
      <c r="B10" s="9"/>
      <c r="C10" s="9"/>
      <c r="D10" s="10">
        <v>151690</v>
      </c>
      <c r="E10" s="11"/>
      <c r="F10" s="155" t="s">
        <v>92</v>
      </c>
      <c r="G10" s="156"/>
      <c r="H10" s="156"/>
      <c r="I10" s="156"/>
      <c r="J10" s="156"/>
      <c r="K10" s="157"/>
    </row>
    <row r="11" spans="1:11" ht="20.45" customHeight="1">
      <c r="A11" s="8">
        <v>89</v>
      </c>
      <c r="B11" s="9"/>
      <c r="C11" s="9">
        <v>17990</v>
      </c>
      <c r="D11" s="10"/>
      <c r="E11" s="11"/>
      <c r="F11" s="155" t="s">
        <v>93</v>
      </c>
      <c r="G11" s="156"/>
      <c r="H11" s="156"/>
      <c r="I11" s="156"/>
      <c r="J11" s="156"/>
      <c r="K11" s="157"/>
    </row>
    <row r="12" spans="1:11" ht="20.45" customHeight="1">
      <c r="A12" s="8">
        <v>90</v>
      </c>
      <c r="B12" s="9"/>
      <c r="C12" s="9">
        <v>10000</v>
      </c>
      <c r="D12" s="10"/>
      <c r="E12" s="11"/>
      <c r="F12" s="155" t="s">
        <v>94</v>
      </c>
      <c r="G12" s="156"/>
      <c r="H12" s="156"/>
      <c r="I12" s="156"/>
      <c r="J12" s="156"/>
      <c r="K12" s="157"/>
    </row>
    <row r="13" spans="1:11" ht="20.45" customHeight="1">
      <c r="A13" s="8"/>
      <c r="B13" s="9">
        <v>7500</v>
      </c>
      <c r="C13" s="9"/>
      <c r="D13" s="10"/>
      <c r="E13" s="11"/>
      <c r="F13" s="155" t="s">
        <v>95</v>
      </c>
      <c r="G13" s="156"/>
      <c r="H13" s="156"/>
      <c r="I13" s="156"/>
      <c r="J13" s="156"/>
      <c r="K13" s="157"/>
    </row>
    <row r="14" spans="1:11" ht="20.45" customHeight="1">
      <c r="A14" s="8"/>
      <c r="B14" s="9"/>
      <c r="C14" s="9"/>
      <c r="D14" s="10"/>
      <c r="E14" s="11"/>
      <c r="F14" s="155"/>
      <c r="G14" s="156"/>
      <c r="H14" s="156"/>
      <c r="I14" s="156"/>
      <c r="J14" s="156"/>
      <c r="K14" s="157"/>
    </row>
    <row r="15" spans="1:11" ht="20.45" customHeight="1">
      <c r="A15" s="8"/>
      <c r="B15" s="9"/>
      <c r="C15" s="9"/>
      <c r="D15" s="10"/>
      <c r="E15" s="11"/>
      <c r="F15" s="155"/>
      <c r="G15" s="156"/>
      <c r="H15" s="156"/>
      <c r="I15" s="156"/>
      <c r="J15" s="156"/>
      <c r="K15" s="157"/>
    </row>
    <row r="16" spans="1:11" ht="20.45" customHeight="1">
      <c r="A16" s="8"/>
      <c r="B16" s="9"/>
      <c r="C16" s="9"/>
      <c r="D16" s="10"/>
      <c r="E16" s="11"/>
      <c r="F16" s="155"/>
      <c r="G16" s="156"/>
      <c r="H16" s="156"/>
      <c r="I16" s="156"/>
      <c r="J16" s="156"/>
      <c r="K16" s="157"/>
    </row>
    <row r="17" spans="1:11" ht="20.45" customHeight="1">
      <c r="A17" s="8"/>
      <c r="B17" s="9"/>
      <c r="C17" s="9"/>
      <c r="D17" s="10"/>
      <c r="E17" s="11"/>
      <c r="F17" s="155"/>
      <c r="G17" s="156"/>
      <c r="H17" s="156"/>
      <c r="I17" s="156"/>
      <c r="J17" s="156"/>
      <c r="K17" s="157"/>
    </row>
    <row r="18" spans="1:11" s="12" customFormat="1" ht="20.45" customHeight="1">
      <c r="A18" s="8"/>
      <c r="B18" s="9"/>
      <c r="C18" s="9"/>
      <c r="D18" s="10"/>
      <c r="E18" s="11"/>
      <c r="F18" s="155"/>
      <c r="G18" s="156"/>
      <c r="H18" s="156"/>
      <c r="I18" s="156"/>
      <c r="J18" s="156"/>
      <c r="K18" s="157"/>
    </row>
    <row r="19" spans="1:11" ht="20.45" customHeight="1">
      <c r="A19" s="8"/>
      <c r="B19" s="9"/>
      <c r="C19" s="9"/>
      <c r="D19" s="10"/>
      <c r="E19" s="11"/>
      <c r="F19" s="155"/>
      <c r="G19" s="156"/>
      <c r="H19" s="156"/>
      <c r="I19" s="156"/>
      <c r="J19" s="156"/>
      <c r="K19" s="157"/>
    </row>
    <row r="20" spans="1:11" s="12" customFormat="1" ht="20.45" customHeight="1">
      <c r="A20" s="8"/>
      <c r="B20" s="9"/>
      <c r="C20" s="9"/>
      <c r="D20" s="10"/>
      <c r="E20" s="11"/>
      <c r="F20" s="155"/>
      <c r="G20" s="156"/>
      <c r="H20" s="156"/>
      <c r="I20" s="156"/>
      <c r="J20" s="156"/>
      <c r="K20" s="157"/>
    </row>
    <row r="21" spans="1:11" ht="20.45" customHeight="1">
      <c r="A21" s="8"/>
      <c r="B21" s="9"/>
      <c r="C21" s="9"/>
      <c r="D21" s="10"/>
      <c r="E21" s="11"/>
      <c r="F21" s="155"/>
      <c r="G21" s="156"/>
      <c r="H21" s="156"/>
      <c r="I21" s="156"/>
      <c r="J21" s="156"/>
      <c r="K21" s="157"/>
    </row>
    <row r="22" spans="1:11" ht="20.45" customHeight="1">
      <c r="A22" s="8"/>
      <c r="B22" s="9"/>
      <c r="C22" s="9"/>
      <c r="D22" s="10"/>
      <c r="E22" s="11"/>
      <c r="F22" s="155"/>
      <c r="G22" s="156"/>
      <c r="H22" s="156"/>
      <c r="I22" s="156"/>
      <c r="J22" s="156"/>
      <c r="K22" s="157"/>
    </row>
    <row r="23" spans="1:11" ht="20.45" customHeight="1">
      <c r="A23" s="8"/>
      <c r="B23" s="9"/>
      <c r="C23" s="9"/>
      <c r="D23" s="10"/>
      <c r="E23" s="11"/>
      <c r="F23" s="155"/>
      <c r="G23" s="156"/>
      <c r="H23" s="156"/>
      <c r="I23" s="156"/>
      <c r="J23" s="156"/>
      <c r="K23" s="157"/>
    </row>
    <row r="24" spans="1:11" ht="20.25" customHeight="1">
      <c r="A24" s="14" t="s">
        <v>11</v>
      </c>
      <c r="B24" s="15">
        <f>SUM($B7:$B23)</f>
        <v>7500</v>
      </c>
      <c r="C24" s="15">
        <f>SUM($C7:$C23)</f>
        <v>240090</v>
      </c>
      <c r="D24" s="15">
        <f>SUM($D7:$D23)</f>
        <v>151690</v>
      </c>
      <c r="E24" s="15">
        <f>SUM($E7:$E23)</f>
        <v>0</v>
      </c>
      <c r="F24" s="106"/>
      <c r="G24" s="107"/>
      <c r="H24" s="108"/>
      <c r="I24" s="108"/>
      <c r="J24" s="108"/>
      <c r="K24" s="108"/>
    </row>
    <row r="25" spans="1:11" ht="3.75" customHeight="1">
      <c r="A25" s="13"/>
      <c r="B25" s="17"/>
      <c r="C25" s="17"/>
      <c r="D25" s="17"/>
      <c r="E25" s="18"/>
      <c r="F25" s="16"/>
      <c r="G25" s="16"/>
      <c r="H25" s="19"/>
      <c r="I25" s="19"/>
      <c r="J25" s="105"/>
      <c r="K25" s="19"/>
    </row>
    <row r="26" spans="1:11" ht="21.75" customHeight="1">
      <c r="A26" s="13"/>
      <c r="B26" s="17"/>
      <c r="C26" s="17"/>
      <c r="D26" s="17"/>
      <c r="E26" s="18"/>
      <c r="F26" s="16"/>
      <c r="G26" s="16"/>
      <c r="H26" s="19"/>
      <c r="I26" s="20"/>
      <c r="J26" s="21" t="s">
        <v>12</v>
      </c>
      <c r="K26" s="22">
        <f>$B$24+$C$24+$D$24+$E$24</f>
        <v>399280</v>
      </c>
    </row>
    <row r="27" spans="1:11" ht="12" customHeight="1">
      <c r="A27" s="13"/>
      <c r="B27" s="17"/>
      <c r="C27" s="17"/>
      <c r="D27" s="17"/>
      <c r="E27" s="18"/>
      <c r="F27" s="23"/>
      <c r="G27" s="23"/>
      <c r="H27" s="17"/>
      <c r="I27" s="17"/>
      <c r="J27" s="17"/>
      <c r="K27" s="24"/>
    </row>
    <row r="28" spans="1:11" ht="26.25" customHeight="1">
      <c r="A28" s="25"/>
      <c r="B28" s="27"/>
      <c r="C28" s="27"/>
      <c r="D28" s="27"/>
      <c r="E28" s="28"/>
      <c r="F28" s="26"/>
      <c r="G28" s="28" t="s">
        <v>13</v>
      </c>
      <c r="H28" s="27"/>
      <c r="I28" s="27"/>
      <c r="J28" s="27"/>
      <c r="K28" s="27"/>
    </row>
    <row r="29" spans="1:11" ht="19.5" customHeight="1">
      <c r="A29" s="158" t="s">
        <v>14</v>
      </c>
      <c r="B29" s="159"/>
      <c r="C29" s="29"/>
      <c r="D29" s="30" t="s">
        <v>15</v>
      </c>
      <c r="E29" s="31"/>
      <c r="F29" s="164" t="s">
        <v>16</v>
      </c>
      <c r="G29" s="164"/>
      <c r="H29" s="159"/>
      <c r="I29" s="166" t="s">
        <v>17</v>
      </c>
      <c r="J29" s="167"/>
      <c r="K29" s="168"/>
    </row>
    <row r="30" spans="1:11" ht="18.75" customHeight="1">
      <c r="A30" s="160"/>
      <c r="B30" s="161"/>
      <c r="C30" s="169" t="s">
        <v>18</v>
      </c>
      <c r="D30" s="170"/>
      <c r="E30" s="32" t="s">
        <v>19</v>
      </c>
      <c r="F30" s="165"/>
      <c r="G30" s="165"/>
      <c r="H30" s="161"/>
      <c r="I30" s="169" t="s">
        <v>18</v>
      </c>
      <c r="J30" s="170"/>
      <c r="K30" s="32" t="s">
        <v>19</v>
      </c>
    </row>
    <row r="31" spans="1:11" ht="15.75" customHeight="1">
      <c r="A31" s="160"/>
      <c r="B31" s="161"/>
      <c r="C31" s="33" t="s">
        <v>20</v>
      </c>
      <c r="D31" s="34"/>
      <c r="E31" s="35">
        <f>B24</f>
        <v>7500</v>
      </c>
      <c r="F31" s="165"/>
      <c r="G31" s="165"/>
      <c r="H31" s="161"/>
      <c r="I31" s="33" t="s">
        <v>7</v>
      </c>
      <c r="J31" s="34"/>
      <c r="K31" s="36">
        <v>30000</v>
      </c>
    </row>
    <row r="32" spans="1:11" ht="15.75" customHeight="1">
      <c r="A32" s="160"/>
      <c r="B32" s="161"/>
      <c r="C32" s="33" t="s">
        <v>21</v>
      </c>
      <c r="D32" s="37"/>
      <c r="E32" s="35">
        <f>C24</f>
        <v>240090</v>
      </c>
      <c r="F32" s="165"/>
      <c r="G32" s="165"/>
      <c r="H32" s="161"/>
      <c r="I32" s="38" t="s">
        <v>22</v>
      </c>
      <c r="J32" s="39"/>
      <c r="K32" s="40"/>
    </row>
    <row r="33" spans="1:11" ht="15.75" customHeight="1">
      <c r="A33" s="160"/>
      <c r="B33" s="161"/>
      <c r="C33" s="33" t="s">
        <v>23</v>
      </c>
      <c r="D33" s="37"/>
      <c r="E33" s="35">
        <f>D24</f>
        <v>151690</v>
      </c>
      <c r="F33" s="165"/>
      <c r="G33" s="165"/>
      <c r="H33" s="161"/>
      <c r="I33" s="38" t="s">
        <v>24</v>
      </c>
      <c r="J33" s="39"/>
      <c r="K33" s="40"/>
    </row>
    <row r="34" spans="1:11" ht="15.75" customHeight="1">
      <c r="A34" s="160"/>
      <c r="B34" s="161"/>
      <c r="C34" s="33" t="s">
        <v>25</v>
      </c>
      <c r="D34" s="37"/>
      <c r="E34" s="35">
        <f>E24</f>
        <v>0</v>
      </c>
      <c r="F34" s="165"/>
      <c r="G34" s="165"/>
      <c r="H34" s="161"/>
      <c r="I34" s="38"/>
      <c r="J34" s="39"/>
      <c r="K34" s="40"/>
    </row>
    <row r="35" spans="1:11" ht="15.75" customHeight="1">
      <c r="A35" s="160"/>
      <c r="B35" s="161"/>
      <c r="C35" s="41" t="s">
        <v>12</v>
      </c>
      <c r="D35" s="42"/>
      <c r="E35" s="43">
        <f>SUM(E31:E34)</f>
        <v>399280</v>
      </c>
      <c r="F35" s="165"/>
      <c r="G35" s="165"/>
      <c r="H35" s="161"/>
      <c r="I35" s="38"/>
      <c r="J35" s="39"/>
      <c r="K35" s="40"/>
    </row>
    <row r="36" spans="1:11" ht="15.75" customHeight="1">
      <c r="A36" s="160"/>
      <c r="B36" s="161"/>
      <c r="C36" s="171" t="s">
        <v>26</v>
      </c>
      <c r="D36" s="172"/>
      <c r="E36" s="173"/>
      <c r="F36" s="165"/>
      <c r="G36" s="165"/>
      <c r="H36" s="161"/>
      <c r="I36" s="38"/>
      <c r="J36" s="39"/>
      <c r="K36" s="40"/>
    </row>
    <row r="37" spans="1:11" ht="15.75" customHeight="1">
      <c r="A37" s="160"/>
      <c r="B37" s="161"/>
      <c r="C37" s="169" t="s">
        <v>18</v>
      </c>
      <c r="D37" s="170"/>
      <c r="E37" s="32" t="s">
        <v>19</v>
      </c>
      <c r="F37" s="165"/>
      <c r="G37" s="165"/>
      <c r="H37" s="161"/>
      <c r="I37" s="38"/>
      <c r="J37" s="39"/>
      <c r="K37" s="40"/>
    </row>
    <row r="38" spans="1:11" ht="15.75" customHeight="1">
      <c r="A38" s="160"/>
      <c r="B38" s="161"/>
      <c r="C38" s="44" t="s">
        <v>7</v>
      </c>
      <c r="D38" s="45"/>
      <c r="E38" s="46"/>
      <c r="F38" s="165"/>
      <c r="G38" s="165"/>
      <c r="H38" s="161"/>
      <c r="I38" s="41" t="s">
        <v>27</v>
      </c>
      <c r="J38" s="42"/>
      <c r="K38" s="43">
        <f>SUM(K31:K37)</f>
        <v>30000</v>
      </c>
    </row>
    <row r="39" spans="1:11" ht="15.75" customHeight="1">
      <c r="A39" s="160"/>
      <c r="B39" s="161"/>
      <c r="C39" s="47" t="s">
        <v>24</v>
      </c>
      <c r="D39" s="48"/>
      <c r="E39" s="49"/>
      <c r="F39" s="165"/>
      <c r="G39" s="165"/>
      <c r="H39" s="161"/>
      <c r="I39" s="166" t="s">
        <v>28</v>
      </c>
      <c r="J39" s="167"/>
      <c r="K39" s="168"/>
    </row>
    <row r="40" spans="1:11" ht="18.75" customHeight="1">
      <c r="A40" s="162"/>
      <c r="B40" s="163"/>
      <c r="C40" s="41" t="s">
        <v>29</v>
      </c>
      <c r="D40" s="42"/>
      <c r="E40" s="43">
        <f>SUM(E38:E39)</f>
        <v>0</v>
      </c>
      <c r="F40" s="165"/>
      <c r="G40" s="165"/>
      <c r="H40" s="161"/>
      <c r="I40" s="38" t="s">
        <v>30</v>
      </c>
      <c r="J40" s="48"/>
      <c r="K40" s="49"/>
    </row>
    <row r="41" spans="1:11" ht="15.75" customHeight="1">
      <c r="A41" s="13"/>
      <c r="B41" s="50"/>
      <c r="C41" s="51"/>
      <c r="D41" s="52" t="s">
        <v>31</v>
      </c>
      <c r="E41" s="53">
        <f>E35+E40</f>
        <v>399280</v>
      </c>
      <c r="F41" s="54"/>
      <c r="G41" s="54"/>
      <c r="H41" s="55"/>
      <c r="I41" s="51"/>
      <c r="J41" s="52" t="s">
        <v>32</v>
      </c>
      <c r="K41" s="53">
        <f>K38+K40</f>
        <v>30000</v>
      </c>
    </row>
    <row r="42" spans="1:11" ht="11.25" customHeight="1">
      <c r="A42" s="13"/>
      <c r="B42" s="18"/>
      <c r="C42" s="18"/>
      <c r="D42" s="18"/>
      <c r="E42" s="18"/>
      <c r="F42" s="57"/>
      <c r="G42" s="57"/>
      <c r="H42" s="135"/>
      <c r="I42" s="135"/>
      <c r="J42" s="17"/>
      <c r="K42" s="17"/>
    </row>
    <row r="43" spans="1:11" ht="28.5">
      <c r="A43" s="25"/>
      <c r="B43" s="27"/>
      <c r="C43" s="27"/>
      <c r="D43" s="27"/>
      <c r="E43" s="28"/>
      <c r="F43" s="26"/>
      <c r="G43" s="28" t="s">
        <v>33</v>
      </c>
      <c r="H43" s="27"/>
      <c r="I43" s="27"/>
      <c r="J43" s="27"/>
      <c r="K43" s="27"/>
    </row>
    <row r="44" spans="1:11" ht="17.100000000000001" customHeight="1">
      <c r="A44" s="136" t="s">
        <v>34</v>
      </c>
      <c r="B44" s="137"/>
      <c r="C44" s="58" t="s">
        <v>35</v>
      </c>
      <c r="D44" s="58" t="s">
        <v>36</v>
      </c>
      <c r="E44" s="59" t="s">
        <v>19</v>
      </c>
      <c r="F44" s="142" t="s">
        <v>37</v>
      </c>
      <c r="G44" s="143"/>
      <c r="H44" s="137"/>
      <c r="I44" s="58" t="s">
        <v>35</v>
      </c>
      <c r="J44" s="58" t="s">
        <v>36</v>
      </c>
      <c r="K44" s="58" t="s">
        <v>19</v>
      </c>
    </row>
    <row r="45" spans="1:11" ht="17.100000000000001" customHeight="1">
      <c r="A45" s="138"/>
      <c r="B45" s="139"/>
      <c r="C45" s="60">
        <v>20000</v>
      </c>
      <c r="D45" s="61"/>
      <c r="E45" s="62">
        <f>C45*D45</f>
        <v>0</v>
      </c>
      <c r="F45" s="144"/>
      <c r="G45" s="145"/>
      <c r="H45" s="139"/>
      <c r="I45" s="60">
        <v>500</v>
      </c>
      <c r="J45" s="61">
        <v>2</v>
      </c>
      <c r="K45" s="63">
        <f>I45*J45</f>
        <v>1000</v>
      </c>
    </row>
    <row r="46" spans="1:11" ht="17.100000000000001" customHeight="1">
      <c r="A46" s="138"/>
      <c r="B46" s="139"/>
      <c r="C46" s="60">
        <v>10000</v>
      </c>
      <c r="D46" s="61">
        <v>5</v>
      </c>
      <c r="E46" s="62">
        <f>C46*D46</f>
        <v>50000</v>
      </c>
      <c r="F46" s="144"/>
      <c r="G46" s="145"/>
      <c r="H46" s="139"/>
      <c r="I46" s="60">
        <v>100</v>
      </c>
      <c r="J46" s="61">
        <v>31</v>
      </c>
      <c r="K46" s="63">
        <f>I46*J46</f>
        <v>3100</v>
      </c>
    </row>
    <row r="47" spans="1:11" ht="17.100000000000001" customHeight="1">
      <c r="A47" s="138"/>
      <c r="B47" s="139"/>
      <c r="C47" s="60">
        <v>5000</v>
      </c>
      <c r="D47" s="61"/>
      <c r="E47" s="62">
        <f>C47*D47</f>
        <v>0</v>
      </c>
      <c r="F47" s="144"/>
      <c r="G47" s="145"/>
      <c r="H47" s="139"/>
      <c r="I47" s="60">
        <v>50</v>
      </c>
      <c r="J47" s="61">
        <v>8</v>
      </c>
      <c r="K47" s="63">
        <f>I47*J47</f>
        <v>400</v>
      </c>
    </row>
    <row r="48" spans="1:11" ht="17.100000000000001" customHeight="1">
      <c r="A48" s="138"/>
      <c r="B48" s="139"/>
      <c r="C48" s="60">
        <v>2000</v>
      </c>
      <c r="D48" s="61"/>
      <c r="E48" s="62">
        <f>C48*D48</f>
        <v>0</v>
      </c>
      <c r="F48" s="144"/>
      <c r="G48" s="145"/>
      <c r="H48" s="139"/>
      <c r="I48" s="60">
        <v>10</v>
      </c>
      <c r="J48" s="61">
        <v>13</v>
      </c>
      <c r="K48" s="63">
        <f>I48*J48</f>
        <v>130</v>
      </c>
    </row>
    <row r="49" spans="1:11" ht="17.100000000000001" customHeight="1">
      <c r="A49" s="140"/>
      <c r="B49" s="141"/>
      <c r="C49" s="60">
        <v>1000</v>
      </c>
      <c r="D49" s="61"/>
      <c r="E49" s="62">
        <f>C49*D49</f>
        <v>0</v>
      </c>
      <c r="F49" s="146"/>
      <c r="G49" s="147"/>
      <c r="H49" s="141"/>
      <c r="I49" s="60"/>
      <c r="J49" s="64"/>
      <c r="K49" s="63"/>
    </row>
    <row r="50" spans="1:11" ht="18.75">
      <c r="A50" s="13"/>
      <c r="B50" s="65"/>
      <c r="C50" s="66"/>
      <c r="D50" s="67" t="s">
        <v>38</v>
      </c>
      <c r="E50" s="68">
        <f>SUM(E45:E49)</f>
        <v>50000</v>
      </c>
      <c r="F50" s="54"/>
      <c r="G50" s="54"/>
      <c r="H50" s="55"/>
      <c r="I50" s="66"/>
      <c r="J50" s="67" t="s">
        <v>39</v>
      </c>
      <c r="K50" s="68">
        <f>SUM(K45:K49)</f>
        <v>4630</v>
      </c>
    </row>
    <row r="51" spans="1:11" ht="18.75">
      <c r="A51" s="13"/>
      <c r="B51" s="18"/>
      <c r="C51" s="18"/>
      <c r="D51" s="18"/>
      <c r="E51" s="18"/>
      <c r="F51" s="16"/>
      <c r="G51" s="16"/>
      <c r="H51" s="65"/>
      <c r="I51" s="65"/>
      <c r="J51" s="17"/>
      <c r="K51" s="17"/>
    </row>
    <row r="52" spans="1:11" ht="18" customHeight="1">
      <c r="A52" s="13"/>
      <c r="B52" s="18"/>
      <c r="C52" s="18"/>
      <c r="D52" s="18"/>
      <c r="E52" s="18"/>
      <c r="F52" s="69"/>
      <c r="G52" s="69"/>
      <c r="H52" s="70" t="s">
        <v>40</v>
      </c>
      <c r="I52" s="71"/>
      <c r="J52" s="69"/>
      <c r="K52" s="17"/>
    </row>
    <row r="53" spans="1:11" ht="4.5" customHeight="1">
      <c r="A53" s="13"/>
      <c r="B53" s="18"/>
      <c r="C53" s="18"/>
      <c r="D53" s="18"/>
      <c r="E53" s="18"/>
      <c r="F53" s="16"/>
      <c r="G53" s="16"/>
      <c r="H53" s="17"/>
      <c r="I53" s="17"/>
      <c r="J53" s="17"/>
      <c r="K53" s="17"/>
    </row>
    <row r="54" spans="1:11" ht="15" customHeight="1">
      <c r="A54" s="72"/>
      <c r="B54" s="148" t="s">
        <v>41</v>
      </c>
      <c r="C54" s="149"/>
      <c r="D54" s="150"/>
      <c r="E54" s="18"/>
      <c r="F54" s="73"/>
      <c r="G54" s="73"/>
      <c r="H54" s="74" t="s">
        <v>42</v>
      </c>
      <c r="I54" s="75">
        <v>77130</v>
      </c>
      <c r="J54" s="76"/>
      <c r="K54" s="17"/>
    </row>
    <row r="55" spans="1:11" ht="4.5" customHeight="1">
      <c r="A55" s="72"/>
      <c r="B55" s="151"/>
      <c r="C55" s="152"/>
      <c r="D55" s="153"/>
      <c r="E55" s="18"/>
      <c r="F55" s="16"/>
      <c r="G55" s="16"/>
      <c r="H55" s="17"/>
      <c r="I55" s="77"/>
      <c r="J55" s="17"/>
      <c r="K55" s="17"/>
    </row>
    <row r="56" spans="1:11" ht="18.75" customHeight="1">
      <c r="A56" s="78"/>
      <c r="B56" s="154" t="s">
        <v>96</v>
      </c>
      <c r="C56" s="154"/>
      <c r="D56" s="154"/>
      <c r="E56" s="18"/>
      <c r="F56" s="79"/>
      <c r="G56" s="79"/>
      <c r="H56" s="80" t="s">
        <v>43</v>
      </c>
      <c r="I56" s="81">
        <f>E50+K50</f>
        <v>54630</v>
      </c>
      <c r="J56" s="82"/>
      <c r="K56" s="17"/>
    </row>
    <row r="57" spans="1:11" ht="4.5" customHeight="1">
      <c r="A57" s="78"/>
      <c r="B57" s="154"/>
      <c r="C57" s="154"/>
      <c r="D57" s="154"/>
      <c r="E57" s="18"/>
      <c r="F57" s="56"/>
      <c r="G57" s="56"/>
      <c r="H57" s="57"/>
      <c r="I57" s="83"/>
      <c r="J57" s="65"/>
      <c r="K57" s="17"/>
    </row>
    <row r="58" spans="1:11" ht="18.75">
      <c r="A58" s="78"/>
      <c r="B58" s="154"/>
      <c r="C58" s="154"/>
      <c r="D58" s="154"/>
      <c r="E58" s="18"/>
      <c r="F58" s="79"/>
      <c r="G58" s="79"/>
      <c r="H58" s="80" t="s">
        <v>12</v>
      </c>
      <c r="I58" s="81">
        <f>K26</f>
        <v>399280</v>
      </c>
      <c r="J58" s="82"/>
      <c r="K58" s="24"/>
    </row>
    <row r="59" spans="1:11" ht="4.5" customHeight="1">
      <c r="A59" s="78"/>
      <c r="B59" s="154"/>
      <c r="C59" s="154"/>
      <c r="D59" s="154"/>
      <c r="E59" s="18"/>
      <c r="F59" s="56"/>
      <c r="G59" s="56"/>
      <c r="H59" s="57"/>
      <c r="I59" s="83"/>
      <c r="J59" s="18"/>
      <c r="K59" s="17"/>
    </row>
    <row r="60" spans="1:11" ht="18.75">
      <c r="A60" s="78"/>
      <c r="B60" s="154"/>
      <c r="C60" s="154"/>
      <c r="D60" s="154"/>
      <c r="E60" s="18"/>
      <c r="F60" s="84"/>
      <c r="G60" s="84"/>
      <c r="H60" s="85" t="s">
        <v>26</v>
      </c>
      <c r="I60" s="86">
        <f>E38</f>
        <v>0</v>
      </c>
      <c r="J60" s="82"/>
      <c r="K60" s="17"/>
    </row>
    <row r="61" spans="1:11" ht="4.5" customHeight="1">
      <c r="A61" s="78"/>
      <c r="B61" s="154"/>
      <c r="C61" s="154"/>
      <c r="D61" s="154"/>
      <c r="E61" s="18"/>
      <c r="F61" s="13"/>
      <c r="G61" s="13"/>
      <c r="H61" s="16"/>
      <c r="I61" s="77"/>
      <c r="J61" s="17"/>
      <c r="K61" s="17"/>
    </row>
    <row r="62" spans="1:11" ht="18.75">
      <c r="A62" s="78"/>
      <c r="B62" s="154"/>
      <c r="C62" s="154"/>
      <c r="D62" s="154"/>
      <c r="E62" s="18"/>
      <c r="F62" s="84"/>
      <c r="G62" s="84"/>
      <c r="H62" s="85" t="s">
        <v>17</v>
      </c>
      <c r="I62" s="86">
        <f>K31+K40</f>
        <v>30000</v>
      </c>
      <c r="J62" s="82"/>
      <c r="K62" s="17"/>
    </row>
    <row r="63" spans="1:11" ht="4.5" customHeight="1">
      <c r="A63" s="78"/>
      <c r="B63" s="154"/>
      <c r="C63" s="154"/>
      <c r="D63" s="154"/>
      <c r="E63" s="18"/>
      <c r="F63" s="13"/>
      <c r="G63" s="13"/>
      <c r="H63" s="16"/>
      <c r="I63" s="77"/>
      <c r="J63" s="17"/>
      <c r="K63" s="17"/>
    </row>
    <row r="64" spans="1:11" ht="18.75">
      <c r="A64" s="78"/>
      <c r="B64" s="154"/>
      <c r="C64" s="154"/>
      <c r="D64" s="154"/>
      <c r="E64" s="18"/>
      <c r="F64" s="84"/>
      <c r="G64" s="84"/>
      <c r="H64" s="85" t="s">
        <v>44</v>
      </c>
      <c r="I64" s="86">
        <f>I54+I58+I60-I62</f>
        <v>446410</v>
      </c>
      <c r="J64" s="87"/>
      <c r="K64" s="17"/>
    </row>
    <row r="65" spans="1:11" ht="4.5" customHeight="1">
      <c r="A65" s="13"/>
      <c r="B65" s="154"/>
      <c r="C65" s="154"/>
      <c r="D65" s="154"/>
      <c r="E65" s="18"/>
      <c r="F65" s="16"/>
      <c r="G65" s="16"/>
      <c r="H65" s="18"/>
      <c r="I65" s="77"/>
      <c r="J65" s="17"/>
      <c r="K65" s="17"/>
    </row>
    <row r="66" spans="1:11" ht="18.75">
      <c r="A66" s="13"/>
      <c r="B66" s="154"/>
      <c r="C66" s="154"/>
      <c r="D66" s="154"/>
      <c r="E66" s="18"/>
      <c r="F66" s="73"/>
      <c r="G66" s="73"/>
      <c r="H66" s="74" t="s">
        <v>45</v>
      </c>
      <c r="I66" s="86">
        <f>I64-I54</f>
        <v>369280</v>
      </c>
      <c r="J66" s="88"/>
      <c r="K66" s="17"/>
    </row>
    <row r="67" spans="1:11" ht="4.5" customHeight="1">
      <c r="A67" s="78"/>
      <c r="B67" s="154"/>
      <c r="C67" s="154"/>
      <c r="D67" s="154"/>
      <c r="E67" s="18"/>
      <c r="F67" s="16"/>
      <c r="G67" s="16"/>
      <c r="H67" s="16"/>
      <c r="I67" s="77"/>
      <c r="J67" s="17"/>
      <c r="K67" s="17"/>
    </row>
    <row r="68" spans="1:11" ht="18.75">
      <c r="A68" s="13"/>
      <c r="B68" s="154"/>
      <c r="C68" s="154"/>
      <c r="D68" s="154"/>
      <c r="E68" s="18"/>
      <c r="F68" s="79"/>
      <c r="G68" s="79"/>
      <c r="H68" s="80" t="s">
        <v>46</v>
      </c>
      <c r="I68" s="86">
        <f>I54+E31+(E38-(K31+K40))</f>
        <v>54630</v>
      </c>
      <c r="J68" s="88"/>
      <c r="K68" s="17"/>
    </row>
    <row r="69" spans="1:11" ht="4.5" customHeight="1">
      <c r="A69" s="78"/>
      <c r="B69" s="154"/>
      <c r="C69" s="154"/>
      <c r="D69" s="154"/>
      <c r="E69" s="18"/>
      <c r="F69" s="16"/>
      <c r="G69" s="16"/>
      <c r="H69" s="16"/>
      <c r="I69" s="77"/>
      <c r="J69" s="17"/>
      <c r="K69" s="17"/>
    </row>
    <row r="70" spans="1:11" ht="18.75" customHeight="1">
      <c r="A70" s="78"/>
      <c r="B70" s="154"/>
      <c r="C70" s="154"/>
      <c r="D70" s="154"/>
      <c r="E70" s="18"/>
      <c r="F70" s="79"/>
      <c r="G70" s="79"/>
      <c r="H70" s="80" t="s">
        <v>47</v>
      </c>
      <c r="I70" s="89">
        <f>I56-I68</f>
        <v>0</v>
      </c>
      <c r="J70" s="90"/>
      <c r="K70" s="17"/>
    </row>
    <row r="71" spans="1:11" ht="15" customHeight="1">
      <c r="A71" s="91"/>
      <c r="B71" s="92"/>
      <c r="C71" s="92"/>
      <c r="D71" s="92"/>
      <c r="E71" s="93"/>
      <c r="F71" s="94"/>
      <c r="G71" s="94"/>
      <c r="H71" s="95"/>
      <c r="I71" s="95"/>
      <c r="J71" s="95"/>
      <c r="K71" s="95"/>
    </row>
    <row r="72" spans="1:11" ht="15" customHeight="1">
      <c r="A72" s="91"/>
      <c r="B72" s="92"/>
      <c r="C72" s="92"/>
      <c r="D72" s="92"/>
      <c r="E72" s="93"/>
      <c r="F72" s="94"/>
      <c r="G72" s="94"/>
      <c r="H72" s="95"/>
      <c r="I72" s="95"/>
      <c r="J72" s="95"/>
      <c r="K72" s="95"/>
    </row>
    <row r="73" spans="1:11" ht="15" customHeight="1">
      <c r="A73" s="91"/>
      <c r="B73" s="92"/>
      <c r="C73" s="92"/>
      <c r="D73" s="92"/>
      <c r="E73" s="93"/>
      <c r="F73" s="94"/>
      <c r="G73" s="94"/>
      <c r="H73" s="95"/>
      <c r="I73" s="95"/>
      <c r="J73" s="95"/>
      <c r="K73" s="95"/>
    </row>
    <row r="74" spans="1:11" ht="15" customHeight="1">
      <c r="A74" s="91"/>
      <c r="B74" s="92"/>
      <c r="C74" s="92"/>
      <c r="D74" s="92"/>
      <c r="E74" s="93"/>
      <c r="F74" s="94"/>
      <c r="G74" s="94"/>
      <c r="H74" s="95"/>
      <c r="I74" s="95"/>
      <c r="J74" s="95"/>
      <c r="K74" s="95"/>
    </row>
    <row r="75" spans="1:11" ht="15.75" customHeight="1">
      <c r="A75" s="91"/>
      <c r="B75" s="92"/>
      <c r="C75" s="92"/>
      <c r="D75" s="92"/>
      <c r="E75" s="93"/>
      <c r="F75" s="94"/>
      <c r="G75" s="94"/>
      <c r="H75" s="95"/>
      <c r="I75" s="95"/>
      <c r="J75" s="95"/>
      <c r="K75" s="95"/>
    </row>
    <row r="76" spans="1:11" ht="14.25" customHeight="1">
      <c r="A76" s="91"/>
      <c r="B76" s="92"/>
      <c r="C76" s="92"/>
      <c r="D76" s="92"/>
      <c r="E76" s="93"/>
      <c r="F76" s="94"/>
      <c r="G76" s="94"/>
      <c r="H76" s="95"/>
      <c r="I76" s="95"/>
      <c r="J76" s="95"/>
      <c r="K76" s="95"/>
    </row>
    <row r="77" spans="1:11">
      <c r="A77" s="96"/>
      <c r="B77" s="98"/>
      <c r="C77" s="98"/>
      <c r="D77" s="98"/>
      <c r="E77" s="98"/>
      <c r="F77" s="97"/>
      <c r="G77" s="97"/>
      <c r="H77" s="99"/>
      <c r="I77" s="99"/>
      <c r="J77" s="99"/>
      <c r="K77" s="99"/>
    </row>
    <row r="78" spans="1:11">
      <c r="D78" s="102"/>
      <c r="E78" s="102"/>
    </row>
    <row r="79" spans="1:11">
      <c r="D79" s="102"/>
      <c r="E79" s="102"/>
      <c r="H79" s="102"/>
    </row>
    <row r="80" spans="1:11">
      <c r="D80" s="102"/>
      <c r="E80" s="102"/>
      <c r="H80" s="102"/>
    </row>
    <row r="81" spans="4:11">
      <c r="D81" s="102"/>
      <c r="E81" s="102"/>
      <c r="H81" s="102"/>
      <c r="I81" s="102"/>
      <c r="J81" s="102"/>
      <c r="K81" s="102"/>
    </row>
    <row r="82" spans="4:11">
      <c r="D82" s="102"/>
      <c r="E82" s="102"/>
      <c r="H82" s="102"/>
      <c r="I82" s="102"/>
      <c r="J82" s="102"/>
      <c r="K82" s="102"/>
    </row>
    <row r="83" spans="4:11">
      <c r="D83" s="102"/>
      <c r="E83" s="102"/>
      <c r="H83" s="102"/>
      <c r="I83" s="102"/>
      <c r="J83" s="102"/>
      <c r="K83" s="102"/>
    </row>
    <row r="84" spans="4:11">
      <c r="D84" s="102"/>
      <c r="E84" s="102"/>
      <c r="H84" s="102"/>
      <c r="I84" s="102"/>
      <c r="J84" s="102"/>
      <c r="K84" s="102"/>
    </row>
    <row r="85" spans="4:11">
      <c r="D85" s="102"/>
      <c r="E85" s="102"/>
      <c r="H85" s="102"/>
      <c r="I85" s="102"/>
      <c r="J85" s="102"/>
      <c r="K85" s="102"/>
    </row>
    <row r="86" spans="4:11">
      <c r="D86" s="102"/>
      <c r="E86" s="102"/>
      <c r="H86" s="102"/>
      <c r="I86" s="102"/>
      <c r="J86" s="102"/>
      <c r="K86" s="102"/>
    </row>
    <row r="87" spans="4:11">
      <c r="D87" s="102"/>
      <c r="E87" s="102"/>
      <c r="H87" s="102"/>
      <c r="I87" s="102"/>
      <c r="J87" s="102"/>
      <c r="K87" s="102"/>
    </row>
    <row r="88" spans="4:11">
      <c r="D88" s="102"/>
      <c r="E88" s="102"/>
      <c r="H88" s="102"/>
      <c r="I88" s="102"/>
      <c r="J88" s="102"/>
      <c r="K88" s="102"/>
    </row>
  </sheetData>
  <mergeCells count="39">
    <mergeCell ref="H42:I42"/>
    <mergeCell ref="A44:B49"/>
    <mergeCell ref="F44:H49"/>
    <mergeCell ref="B54:D55"/>
    <mergeCell ref="B56:D70"/>
    <mergeCell ref="F22:K22"/>
    <mergeCell ref="F23:K23"/>
    <mergeCell ref="A29:B40"/>
    <mergeCell ref="F29:H40"/>
    <mergeCell ref="I29:K29"/>
    <mergeCell ref="C30:D30"/>
    <mergeCell ref="I30:J30"/>
    <mergeCell ref="C36:E36"/>
    <mergeCell ref="C37:D37"/>
    <mergeCell ref="I39:K39"/>
    <mergeCell ref="F21:K21"/>
    <mergeCell ref="F10:K10"/>
    <mergeCell ref="F11:K11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9:K9"/>
    <mergeCell ref="A1:B1"/>
    <mergeCell ref="C1:E1"/>
    <mergeCell ref="F1:G1"/>
    <mergeCell ref="H1:K1"/>
    <mergeCell ref="A3:K3"/>
    <mergeCell ref="A4:K4"/>
    <mergeCell ref="A5:A6"/>
    <mergeCell ref="B5:E5"/>
    <mergeCell ref="F5:K6"/>
    <mergeCell ref="F7:K7"/>
    <mergeCell ref="F8:K8"/>
  </mergeCells>
  <conditionalFormatting sqref="I70">
    <cfRule type="expression" dxfId="38" priority="1">
      <formula>$I70=0</formula>
    </cfRule>
    <cfRule type="expression" dxfId="37" priority="2">
      <formula>$I70&gt;=1</formula>
    </cfRule>
    <cfRule type="expression" dxfId="36" priority="3">
      <formula>$I70&lt;=-1</formula>
    </cfRule>
  </conditionalFormatting>
  <pageMargins left="0.25" right="0.25" top="0.75" bottom="0.75" header="0.3" footer="0.3"/>
  <pageSetup paperSize="9" scale="6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2532-7165-4608-A035-F6FAAC827AA1}">
  <sheetPr>
    <tabColor theme="7"/>
    <pageSetUpPr fitToPage="1"/>
  </sheetPr>
  <dimension ref="A1:K88"/>
  <sheetViews>
    <sheetView showWhiteSpace="0" view="pageLayout" topLeftCell="A41" zoomScale="80" zoomScaleNormal="80" zoomScalePageLayoutView="80" workbookViewId="0">
      <selection activeCell="F71" sqref="F71"/>
    </sheetView>
  </sheetViews>
  <sheetFormatPr defaultColWidth="20.7109375" defaultRowHeight="15"/>
  <cols>
    <col min="1" max="1" width="13.5703125" style="100" customWidth="1"/>
    <col min="2" max="3" width="13.7109375" style="102" customWidth="1"/>
    <col min="4" max="4" width="13.7109375" style="103" customWidth="1"/>
    <col min="5" max="5" width="14.7109375" style="104" customWidth="1"/>
    <col min="6" max="7" width="13.7109375" style="101" customWidth="1"/>
    <col min="8" max="10" width="13.7109375" style="103" customWidth="1"/>
    <col min="11" max="11" width="28.140625" style="103" customWidth="1"/>
    <col min="12" max="14" width="6.7109375" customWidth="1"/>
    <col min="15" max="17" width="10.7109375" customWidth="1"/>
    <col min="18" max="18" width="17.42578125" customWidth="1"/>
    <col min="19" max="19" width="10.7109375" customWidth="1"/>
    <col min="20" max="23" width="6.7109375" customWidth="1"/>
    <col min="24" max="26" width="10.7109375" customWidth="1"/>
    <col min="27" max="27" width="17.42578125" customWidth="1"/>
    <col min="28" max="28" width="10.7109375" customWidth="1"/>
    <col min="29" max="32" width="6.7109375" customWidth="1"/>
    <col min="33" max="35" width="10.7109375" customWidth="1"/>
    <col min="36" max="36" width="17.42578125" customWidth="1"/>
    <col min="37" max="37" width="10.7109375" customWidth="1"/>
    <col min="38" max="41" width="6.7109375" customWidth="1"/>
    <col min="42" max="44" width="10.7109375" customWidth="1"/>
    <col min="45" max="45" width="17.42578125" customWidth="1"/>
    <col min="46" max="46" width="10.7109375" customWidth="1"/>
    <col min="47" max="50" width="6.7109375" customWidth="1"/>
    <col min="51" max="53" width="10.7109375" customWidth="1"/>
    <col min="54" max="54" width="17.42578125" customWidth="1"/>
    <col min="55" max="55" width="10.7109375" customWidth="1"/>
    <col min="56" max="59" width="6.7109375" customWidth="1"/>
    <col min="60" max="62" width="10.7109375" customWidth="1"/>
    <col min="63" max="63" width="17.42578125" customWidth="1"/>
    <col min="64" max="64" width="10.7109375" customWidth="1"/>
    <col min="65" max="68" width="6.7109375" customWidth="1"/>
    <col min="69" max="71" width="10.7109375" customWidth="1"/>
    <col min="72" max="72" width="17.42578125" customWidth="1"/>
    <col min="73" max="73" width="10.7109375" customWidth="1"/>
    <col min="74" max="77" width="6.7109375" customWidth="1"/>
    <col min="78" max="80" width="10.7109375" customWidth="1"/>
    <col min="81" max="81" width="17.42578125" customWidth="1"/>
    <col min="82" max="82" width="10.7109375" customWidth="1"/>
    <col min="83" max="86" width="6.7109375" customWidth="1"/>
    <col min="87" max="89" width="10.7109375" customWidth="1"/>
    <col min="90" max="90" width="17.42578125" customWidth="1"/>
    <col min="91" max="91" width="10.7109375" customWidth="1"/>
    <col min="92" max="95" width="6.7109375" customWidth="1"/>
    <col min="96" max="98" width="10.7109375" customWidth="1"/>
    <col min="99" max="99" width="17.42578125" customWidth="1"/>
    <col min="100" max="100" width="10.7109375" customWidth="1"/>
    <col min="101" max="104" width="6.7109375" customWidth="1"/>
    <col min="105" max="107" width="10.7109375" customWidth="1"/>
    <col min="108" max="108" width="17.42578125" customWidth="1"/>
    <col min="109" max="109" width="10.7109375" customWidth="1"/>
    <col min="110" max="113" width="6.7109375" customWidth="1"/>
    <col min="114" max="116" width="10.7109375" customWidth="1"/>
    <col min="117" max="117" width="17.42578125" customWidth="1"/>
    <col min="118" max="118" width="10.7109375" customWidth="1"/>
    <col min="119" max="122" width="6.7109375" customWidth="1"/>
    <col min="123" max="125" width="10.7109375" customWidth="1"/>
    <col min="126" max="126" width="17.42578125" customWidth="1"/>
    <col min="127" max="127" width="10.7109375" customWidth="1"/>
    <col min="128" max="131" width="6.7109375" customWidth="1"/>
    <col min="132" max="134" width="10.7109375" customWidth="1"/>
    <col min="135" max="135" width="17.42578125" customWidth="1"/>
    <col min="136" max="136" width="10.7109375" customWidth="1"/>
    <col min="137" max="140" width="6.7109375" customWidth="1"/>
    <col min="141" max="143" width="10.7109375" customWidth="1"/>
    <col min="144" max="144" width="17.42578125" customWidth="1"/>
    <col min="145" max="145" width="10.7109375" customWidth="1"/>
    <col min="146" max="149" width="6.7109375" customWidth="1"/>
    <col min="150" max="152" width="10.7109375" customWidth="1"/>
    <col min="153" max="153" width="17.42578125" customWidth="1"/>
    <col min="154" max="154" width="10.7109375" customWidth="1"/>
    <col min="155" max="158" width="6.7109375" customWidth="1"/>
    <col min="159" max="161" width="10.7109375" customWidth="1"/>
    <col min="162" max="162" width="17.42578125" customWidth="1"/>
    <col min="163" max="163" width="10.7109375" customWidth="1"/>
    <col min="164" max="167" width="6.7109375" customWidth="1"/>
    <col min="168" max="170" width="10.7109375" customWidth="1"/>
    <col min="171" max="171" width="17.42578125" customWidth="1"/>
    <col min="172" max="172" width="10.7109375" customWidth="1"/>
    <col min="173" max="176" width="6.7109375" customWidth="1"/>
    <col min="177" max="179" width="10.7109375" customWidth="1"/>
    <col min="180" max="180" width="17.42578125" customWidth="1"/>
    <col min="181" max="181" width="10.7109375" customWidth="1"/>
    <col min="182" max="185" width="6.7109375" customWidth="1"/>
    <col min="186" max="188" width="10.7109375" customWidth="1"/>
    <col min="189" max="189" width="17.42578125" customWidth="1"/>
    <col min="190" max="190" width="10.7109375" customWidth="1"/>
    <col min="191" max="194" width="6.7109375" customWidth="1"/>
    <col min="195" max="197" width="10.7109375" customWidth="1"/>
    <col min="198" max="198" width="17.42578125" customWidth="1"/>
    <col min="199" max="199" width="10.7109375" customWidth="1"/>
    <col min="200" max="203" width="6.7109375" customWidth="1"/>
    <col min="204" max="206" width="10.7109375" customWidth="1"/>
    <col min="207" max="207" width="17.42578125" customWidth="1"/>
    <col min="208" max="208" width="10.7109375" customWidth="1"/>
    <col min="209" max="212" width="6.7109375" customWidth="1"/>
    <col min="213" max="215" width="10.7109375" customWidth="1"/>
    <col min="216" max="216" width="17.42578125" customWidth="1"/>
    <col min="217" max="217" width="10.7109375" customWidth="1"/>
    <col min="218" max="221" width="6.7109375" customWidth="1"/>
    <col min="222" max="224" width="10.7109375" customWidth="1"/>
    <col min="225" max="225" width="17.42578125" customWidth="1"/>
    <col min="226" max="226" width="10.7109375" customWidth="1"/>
    <col min="227" max="230" width="6.7109375" customWidth="1"/>
    <col min="231" max="233" width="10.7109375" customWidth="1"/>
    <col min="234" max="234" width="17.42578125" customWidth="1"/>
    <col min="235" max="235" width="10.7109375" customWidth="1"/>
    <col min="236" max="239" width="6.7109375" customWidth="1"/>
    <col min="240" max="242" width="10.7109375" customWidth="1"/>
    <col min="243" max="243" width="17.42578125" customWidth="1"/>
    <col min="244" max="244" width="10.7109375" customWidth="1"/>
    <col min="245" max="248" width="6.7109375" customWidth="1"/>
    <col min="249" max="251" width="10.7109375" customWidth="1"/>
    <col min="252" max="252" width="17.42578125" customWidth="1"/>
    <col min="253" max="253" width="10.7109375" customWidth="1"/>
    <col min="254" max="257" width="6.7109375" customWidth="1"/>
    <col min="258" max="260" width="10.7109375" customWidth="1"/>
    <col min="261" max="261" width="17.42578125" customWidth="1"/>
    <col min="262" max="262" width="10.7109375" customWidth="1"/>
    <col min="263" max="266" width="6.7109375" customWidth="1"/>
    <col min="267" max="269" width="10.7109375" customWidth="1"/>
    <col min="270" max="270" width="17.42578125" customWidth="1"/>
    <col min="271" max="271" width="10.7109375" customWidth="1"/>
    <col min="272" max="275" width="6.7109375" customWidth="1"/>
    <col min="276" max="278" width="10.7109375" customWidth="1"/>
    <col min="279" max="279" width="17.42578125" customWidth="1"/>
    <col min="280" max="280" width="10.7109375" customWidth="1"/>
    <col min="281" max="284" width="6.7109375" customWidth="1"/>
    <col min="285" max="287" width="10.7109375" customWidth="1"/>
    <col min="288" max="288" width="17.42578125" customWidth="1"/>
    <col min="289" max="289" width="10.7109375" customWidth="1"/>
    <col min="290" max="293" width="6.7109375" customWidth="1"/>
    <col min="294" max="296" width="10.7109375" customWidth="1"/>
    <col min="297" max="297" width="17.42578125" customWidth="1"/>
    <col min="298" max="298" width="10.7109375" customWidth="1"/>
    <col min="299" max="302" width="6.7109375" customWidth="1"/>
    <col min="303" max="305" width="10.7109375" customWidth="1"/>
    <col min="306" max="306" width="17.42578125" customWidth="1"/>
    <col min="307" max="307" width="10.7109375" customWidth="1"/>
    <col min="308" max="311" width="6.7109375" customWidth="1"/>
    <col min="312" max="314" width="10.7109375" customWidth="1"/>
    <col min="315" max="315" width="17.42578125" customWidth="1"/>
    <col min="316" max="316" width="10.7109375" customWidth="1"/>
    <col min="317" max="320" width="6.7109375" customWidth="1"/>
    <col min="321" max="323" width="10.7109375" customWidth="1"/>
    <col min="324" max="324" width="17.42578125" customWidth="1"/>
    <col min="325" max="325" width="10.7109375" customWidth="1"/>
    <col min="326" max="329" width="6.7109375" customWidth="1"/>
    <col min="330" max="332" width="10.7109375" customWidth="1"/>
    <col min="333" max="333" width="17.42578125" customWidth="1"/>
    <col min="334" max="334" width="10.7109375" customWidth="1"/>
    <col min="335" max="338" width="6.7109375" customWidth="1"/>
    <col min="339" max="341" width="10.7109375" customWidth="1"/>
    <col min="342" max="342" width="17.42578125" customWidth="1"/>
    <col min="343" max="343" width="10.7109375" customWidth="1"/>
    <col min="344" max="347" width="6.7109375" customWidth="1"/>
    <col min="348" max="350" width="10.7109375" customWidth="1"/>
    <col min="351" max="351" width="17.42578125" customWidth="1"/>
    <col min="352" max="352" width="10.7109375" customWidth="1"/>
    <col min="353" max="356" width="6.7109375" customWidth="1"/>
    <col min="357" max="359" width="10.7109375" customWidth="1"/>
    <col min="360" max="360" width="17.42578125" customWidth="1"/>
    <col min="361" max="361" width="10.7109375" customWidth="1"/>
    <col min="362" max="365" width="6.7109375" customWidth="1"/>
    <col min="366" max="368" width="10.7109375" customWidth="1"/>
    <col min="369" max="369" width="17.42578125" customWidth="1"/>
    <col min="370" max="370" width="10.7109375" customWidth="1"/>
    <col min="371" max="374" width="6.7109375" customWidth="1"/>
    <col min="375" max="377" width="10.7109375" customWidth="1"/>
    <col min="378" max="378" width="17.42578125" customWidth="1"/>
    <col min="379" max="379" width="10.7109375" customWidth="1"/>
    <col min="380" max="383" width="6.7109375" customWidth="1"/>
    <col min="384" max="386" width="10.7109375" customWidth="1"/>
    <col min="387" max="387" width="17.42578125" customWidth="1"/>
    <col min="388" max="388" width="10.7109375" customWidth="1"/>
    <col min="389" max="392" width="6.7109375" customWidth="1"/>
    <col min="393" max="395" width="10.7109375" customWidth="1"/>
    <col min="396" max="396" width="17.42578125" customWidth="1"/>
    <col min="397" max="397" width="10.7109375" customWidth="1"/>
    <col min="398" max="401" width="6.7109375" customWidth="1"/>
    <col min="402" max="404" width="10.7109375" customWidth="1"/>
    <col min="405" max="405" width="17.42578125" customWidth="1"/>
    <col min="406" max="406" width="10.7109375" customWidth="1"/>
    <col min="407" max="410" width="6.7109375" customWidth="1"/>
    <col min="411" max="413" width="10.7109375" customWidth="1"/>
    <col min="414" max="414" width="17.42578125" customWidth="1"/>
    <col min="415" max="415" width="10.7109375" customWidth="1"/>
    <col min="416" max="419" width="6.7109375" customWidth="1"/>
    <col min="420" max="422" width="10.7109375" customWidth="1"/>
    <col min="423" max="423" width="17.42578125" customWidth="1"/>
    <col min="424" max="424" width="10.7109375" customWidth="1"/>
    <col min="425" max="428" width="6.7109375" customWidth="1"/>
    <col min="429" max="431" width="10.7109375" customWidth="1"/>
    <col min="432" max="432" width="17.42578125" customWidth="1"/>
    <col min="433" max="433" width="10.7109375" customWidth="1"/>
    <col min="434" max="437" width="6.7109375" customWidth="1"/>
    <col min="438" max="440" width="10.7109375" customWidth="1"/>
    <col min="441" max="441" width="17.42578125" customWidth="1"/>
    <col min="442" max="442" width="10.7109375" customWidth="1"/>
    <col min="443" max="446" width="6.7109375" customWidth="1"/>
    <col min="447" max="449" width="10.7109375" customWidth="1"/>
    <col min="450" max="450" width="17.42578125" customWidth="1"/>
    <col min="451" max="451" width="10.7109375" customWidth="1"/>
    <col min="452" max="455" width="6.7109375" customWidth="1"/>
    <col min="456" max="458" width="10.7109375" customWidth="1"/>
    <col min="459" max="459" width="17.42578125" customWidth="1"/>
    <col min="460" max="460" width="10.7109375" customWidth="1"/>
    <col min="461" max="464" width="6.7109375" customWidth="1"/>
    <col min="465" max="467" width="10.7109375" customWidth="1"/>
    <col min="468" max="468" width="17.42578125" customWidth="1"/>
    <col min="469" max="469" width="10.7109375" customWidth="1"/>
    <col min="470" max="473" width="6.7109375" customWidth="1"/>
    <col min="474" max="476" width="10.7109375" customWidth="1"/>
    <col min="477" max="477" width="17.42578125" customWidth="1"/>
    <col min="478" max="478" width="10.7109375" customWidth="1"/>
    <col min="479" max="482" width="6.7109375" customWidth="1"/>
    <col min="483" max="485" width="10.7109375" customWidth="1"/>
    <col min="486" max="486" width="17.42578125" customWidth="1"/>
    <col min="487" max="487" width="10.7109375" customWidth="1"/>
    <col min="488" max="491" width="6.7109375" customWidth="1"/>
    <col min="492" max="494" width="10.7109375" customWidth="1"/>
    <col min="495" max="495" width="17.42578125" customWidth="1"/>
    <col min="496" max="496" width="10.7109375" customWidth="1"/>
    <col min="497" max="500" width="6.7109375" customWidth="1"/>
    <col min="501" max="503" width="10.7109375" customWidth="1"/>
    <col min="504" max="504" width="17.42578125" customWidth="1"/>
    <col min="505" max="505" width="10.7109375" customWidth="1"/>
    <col min="506" max="509" width="6.7109375" customWidth="1"/>
    <col min="510" max="512" width="10.7109375" customWidth="1"/>
    <col min="513" max="513" width="17.42578125" customWidth="1"/>
    <col min="514" max="514" width="10.7109375" customWidth="1"/>
    <col min="515" max="518" width="6.7109375" customWidth="1"/>
    <col min="519" max="521" width="10.7109375" customWidth="1"/>
    <col min="522" max="522" width="17.42578125" customWidth="1"/>
    <col min="523" max="523" width="10.7109375" customWidth="1"/>
    <col min="524" max="527" width="6.7109375" customWidth="1"/>
    <col min="528" max="530" width="10.7109375" customWidth="1"/>
    <col min="531" max="531" width="17.42578125" customWidth="1"/>
    <col min="532" max="532" width="10.7109375" customWidth="1"/>
    <col min="533" max="536" width="6.7109375" customWidth="1"/>
    <col min="537" max="539" width="10.7109375" customWidth="1"/>
    <col min="540" max="540" width="17.42578125" customWidth="1"/>
    <col min="541" max="541" width="10.7109375" customWidth="1"/>
    <col min="542" max="545" width="6.7109375" customWidth="1"/>
    <col min="546" max="548" width="10.7109375" customWidth="1"/>
    <col min="549" max="549" width="17.42578125" customWidth="1"/>
    <col min="550" max="550" width="10.7109375" customWidth="1"/>
    <col min="551" max="554" width="6.7109375" customWidth="1"/>
    <col min="555" max="557" width="10.7109375" customWidth="1"/>
    <col min="558" max="558" width="17.42578125" customWidth="1"/>
    <col min="559" max="559" width="10.7109375" customWidth="1"/>
    <col min="560" max="563" width="6.7109375" customWidth="1"/>
    <col min="564" max="566" width="10.7109375" customWidth="1"/>
    <col min="567" max="567" width="17.42578125" customWidth="1"/>
    <col min="568" max="568" width="10.7109375" customWidth="1"/>
    <col min="569" max="572" width="6.7109375" customWidth="1"/>
    <col min="573" max="575" width="10.7109375" customWidth="1"/>
    <col min="576" max="576" width="17.42578125" customWidth="1"/>
    <col min="577" max="577" width="10.7109375" customWidth="1"/>
    <col min="578" max="581" width="6.7109375" customWidth="1"/>
    <col min="582" max="584" width="10.7109375" customWidth="1"/>
    <col min="585" max="585" width="17.42578125" customWidth="1"/>
    <col min="586" max="586" width="10.7109375" customWidth="1"/>
    <col min="587" max="590" width="6.7109375" customWidth="1"/>
    <col min="591" max="593" width="10.7109375" customWidth="1"/>
    <col min="594" max="594" width="17.42578125" customWidth="1"/>
    <col min="595" max="595" width="10.7109375" customWidth="1"/>
    <col min="596" max="599" width="6.7109375" customWidth="1"/>
    <col min="600" max="602" width="10.7109375" customWidth="1"/>
    <col min="603" max="603" width="17.42578125" customWidth="1"/>
    <col min="604" max="604" width="10.7109375" customWidth="1"/>
    <col min="605" max="608" width="6.7109375" customWidth="1"/>
    <col min="609" max="611" width="10.7109375" customWidth="1"/>
    <col min="612" max="612" width="17.42578125" customWidth="1"/>
    <col min="613" max="613" width="10.7109375" customWidth="1"/>
    <col min="614" max="617" width="6.7109375" customWidth="1"/>
    <col min="618" max="620" width="10.7109375" customWidth="1"/>
    <col min="621" max="621" width="17.42578125" customWidth="1"/>
    <col min="622" max="622" width="10.7109375" customWidth="1"/>
    <col min="623" max="626" width="6.7109375" customWidth="1"/>
    <col min="627" max="629" width="10.7109375" customWidth="1"/>
    <col min="630" max="630" width="17.42578125" customWidth="1"/>
    <col min="631" max="631" width="10.7109375" customWidth="1"/>
    <col min="632" max="635" width="6.7109375" customWidth="1"/>
    <col min="636" max="638" width="10.7109375" customWidth="1"/>
    <col min="639" max="639" width="17.42578125" customWidth="1"/>
    <col min="640" max="640" width="10.7109375" customWidth="1"/>
    <col min="641" max="644" width="6.7109375" customWidth="1"/>
    <col min="645" max="647" width="10.7109375" customWidth="1"/>
    <col min="648" max="648" width="17.42578125" customWidth="1"/>
    <col min="649" max="649" width="10.7109375" customWidth="1"/>
    <col min="650" max="653" width="6.7109375" customWidth="1"/>
    <col min="654" max="656" width="10.7109375" customWidth="1"/>
    <col min="657" max="657" width="17.42578125" customWidth="1"/>
    <col min="658" max="658" width="10.7109375" customWidth="1"/>
    <col min="659" max="662" width="6.7109375" customWidth="1"/>
    <col min="663" max="665" width="10.7109375" customWidth="1"/>
    <col min="666" max="666" width="17.42578125" customWidth="1"/>
    <col min="667" max="667" width="10.7109375" customWidth="1"/>
    <col min="668" max="671" width="6.7109375" customWidth="1"/>
    <col min="672" max="674" width="10.7109375" customWidth="1"/>
    <col min="675" max="675" width="17.42578125" customWidth="1"/>
    <col min="676" max="676" width="10.7109375" customWidth="1"/>
    <col min="677" max="680" width="6.7109375" customWidth="1"/>
    <col min="681" max="683" width="10.7109375" customWidth="1"/>
    <col min="684" max="684" width="17.42578125" customWidth="1"/>
    <col min="685" max="685" width="10.7109375" customWidth="1"/>
    <col min="686" max="689" width="6.7109375" customWidth="1"/>
    <col min="690" max="692" width="10.7109375" customWidth="1"/>
    <col min="693" max="693" width="17.42578125" customWidth="1"/>
    <col min="694" max="694" width="10.7109375" customWidth="1"/>
    <col min="695" max="698" width="6.7109375" customWidth="1"/>
    <col min="699" max="701" width="10.7109375" customWidth="1"/>
    <col min="702" max="702" width="17.42578125" customWidth="1"/>
  </cols>
  <sheetData>
    <row r="1" spans="1:11" ht="20.45" customHeight="1">
      <c r="A1" s="174" t="s">
        <v>0</v>
      </c>
      <c r="B1" s="175"/>
      <c r="C1" s="176"/>
      <c r="D1" s="177"/>
      <c r="E1" s="178"/>
      <c r="F1" s="174" t="s">
        <v>1</v>
      </c>
      <c r="G1" s="175"/>
      <c r="H1" s="179"/>
      <c r="I1" s="180"/>
      <c r="J1" s="180"/>
      <c r="K1" s="181"/>
    </row>
    <row r="2" spans="1:11" ht="11.25" customHeight="1">
      <c r="A2" s="1"/>
      <c r="B2" s="2"/>
      <c r="C2" s="2"/>
      <c r="D2" s="2"/>
      <c r="E2" s="3"/>
      <c r="F2" s="3"/>
      <c r="G2" s="3"/>
      <c r="H2" s="2"/>
      <c r="I2" s="2"/>
      <c r="J2" s="2"/>
      <c r="K2" s="2"/>
    </row>
    <row r="3" spans="1:11" ht="27" customHeight="1">
      <c r="A3" s="182" t="s">
        <v>2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20.45" customHeight="1">
      <c r="A4" s="183" t="s">
        <v>88</v>
      </c>
      <c r="B4" s="184"/>
      <c r="C4" s="184"/>
      <c r="D4" s="184"/>
      <c r="E4" s="184"/>
      <c r="F4" s="184"/>
      <c r="G4" s="184"/>
      <c r="H4" s="184"/>
      <c r="I4" s="184"/>
      <c r="J4" s="184"/>
      <c r="K4" s="185"/>
    </row>
    <row r="5" spans="1:11" s="5" customFormat="1" ht="26.25" customHeight="1">
      <c r="A5" s="186" t="s">
        <v>4</v>
      </c>
      <c r="B5" s="188" t="s">
        <v>5</v>
      </c>
      <c r="C5" s="189"/>
      <c r="D5" s="189"/>
      <c r="E5" s="190"/>
      <c r="F5" s="191" t="s">
        <v>6</v>
      </c>
      <c r="G5" s="192"/>
      <c r="H5" s="192"/>
      <c r="I5" s="192"/>
      <c r="J5" s="192"/>
      <c r="K5" s="193"/>
    </row>
    <row r="6" spans="1:11" ht="20.25" customHeight="1">
      <c r="A6" s="187"/>
      <c r="B6" s="6" t="s">
        <v>7</v>
      </c>
      <c r="C6" s="6" t="s">
        <v>8</v>
      </c>
      <c r="D6" s="4" t="s">
        <v>9</v>
      </c>
      <c r="E6" s="7" t="s">
        <v>10</v>
      </c>
      <c r="F6" s="194"/>
      <c r="G6" s="195"/>
      <c r="H6" s="195"/>
      <c r="I6" s="195"/>
      <c r="J6" s="195"/>
      <c r="K6" s="196"/>
    </row>
    <row r="7" spans="1:11" ht="20.45" customHeight="1">
      <c r="A7" s="8">
        <v>83</v>
      </c>
      <c r="B7" s="9"/>
      <c r="C7" s="9">
        <v>27500</v>
      </c>
      <c r="D7" s="10"/>
      <c r="E7" s="11"/>
      <c r="F7" s="155" t="s">
        <v>97</v>
      </c>
      <c r="G7" s="156"/>
      <c r="H7" s="156"/>
      <c r="I7" s="156"/>
      <c r="J7" s="156"/>
      <c r="K7" s="157"/>
    </row>
    <row r="8" spans="1:11" ht="20.45" customHeight="1">
      <c r="A8" s="8">
        <v>86</v>
      </c>
      <c r="B8" s="9"/>
      <c r="C8" s="9">
        <v>28600</v>
      </c>
      <c r="D8" s="10"/>
      <c r="E8" s="11"/>
      <c r="F8" s="155" t="s">
        <v>98</v>
      </c>
      <c r="G8" s="156"/>
      <c r="H8" s="156"/>
      <c r="I8" s="156"/>
      <c r="J8" s="156"/>
      <c r="K8" s="157"/>
    </row>
    <row r="9" spans="1:11" ht="20.45" customHeight="1">
      <c r="A9" s="8">
        <v>84</v>
      </c>
      <c r="B9" s="9"/>
      <c r="C9" s="9">
        <v>10000</v>
      </c>
      <c r="D9" s="10"/>
      <c r="E9" s="11"/>
      <c r="F9" s="155" t="s">
        <v>99</v>
      </c>
      <c r="G9" s="156"/>
      <c r="H9" s="156"/>
      <c r="I9" s="156"/>
      <c r="J9" s="156"/>
      <c r="K9" s="157"/>
    </row>
    <row r="10" spans="1:11" ht="20.45" customHeight="1">
      <c r="A10" s="8">
        <v>87</v>
      </c>
      <c r="B10" s="9"/>
      <c r="C10" s="9">
        <v>16700</v>
      </c>
      <c r="D10" s="10"/>
      <c r="E10" s="11"/>
      <c r="F10" s="155" t="s">
        <v>100</v>
      </c>
      <c r="G10" s="156"/>
      <c r="H10" s="156"/>
      <c r="I10" s="156"/>
      <c r="J10" s="156"/>
      <c r="K10" s="157"/>
    </row>
    <row r="11" spans="1:11" ht="20.45" customHeight="1">
      <c r="A11" s="8"/>
      <c r="B11" s="9"/>
      <c r="C11" s="9"/>
      <c r="D11" s="10"/>
      <c r="E11" s="11"/>
      <c r="F11" s="155"/>
      <c r="G11" s="156"/>
      <c r="H11" s="156"/>
      <c r="I11" s="156"/>
      <c r="J11" s="156"/>
      <c r="K11" s="157"/>
    </row>
    <row r="12" spans="1:11" ht="20.45" customHeight="1">
      <c r="A12" s="8"/>
      <c r="B12" s="9"/>
      <c r="C12" s="9"/>
      <c r="D12" s="10"/>
      <c r="E12" s="11"/>
      <c r="F12" s="155"/>
      <c r="G12" s="156"/>
      <c r="H12" s="156"/>
      <c r="I12" s="156"/>
      <c r="J12" s="156"/>
      <c r="K12" s="157"/>
    </row>
    <row r="13" spans="1:11" ht="20.45" customHeight="1">
      <c r="A13" s="8"/>
      <c r="B13" s="9"/>
      <c r="C13" s="9"/>
      <c r="D13" s="10"/>
      <c r="E13" s="11"/>
      <c r="F13" s="155"/>
      <c r="G13" s="156"/>
      <c r="H13" s="156"/>
      <c r="I13" s="156"/>
      <c r="J13" s="156"/>
      <c r="K13" s="157"/>
    </row>
    <row r="14" spans="1:11" ht="20.45" customHeight="1">
      <c r="A14" s="8"/>
      <c r="B14" s="9"/>
      <c r="C14" s="9"/>
      <c r="D14" s="10"/>
      <c r="E14" s="11"/>
      <c r="F14" s="155"/>
      <c r="G14" s="156"/>
      <c r="H14" s="156"/>
      <c r="I14" s="156"/>
      <c r="J14" s="156"/>
      <c r="K14" s="157"/>
    </row>
    <row r="15" spans="1:11" ht="20.45" customHeight="1">
      <c r="A15" s="8"/>
      <c r="B15" s="9"/>
      <c r="C15" s="9"/>
      <c r="D15" s="10"/>
      <c r="E15" s="11"/>
      <c r="F15" s="155"/>
      <c r="G15" s="156"/>
      <c r="H15" s="156"/>
      <c r="I15" s="156"/>
      <c r="J15" s="156"/>
      <c r="K15" s="157"/>
    </row>
    <row r="16" spans="1:11" ht="20.45" customHeight="1">
      <c r="A16" s="8"/>
      <c r="B16" s="9"/>
      <c r="C16" s="9"/>
      <c r="D16" s="10"/>
      <c r="E16" s="11"/>
      <c r="F16" s="155"/>
      <c r="G16" s="156"/>
      <c r="H16" s="156"/>
      <c r="I16" s="156"/>
      <c r="J16" s="156"/>
      <c r="K16" s="157"/>
    </row>
    <row r="17" spans="1:11" ht="20.45" customHeight="1">
      <c r="A17" s="8"/>
      <c r="B17" s="9"/>
      <c r="C17" s="9"/>
      <c r="D17" s="10"/>
      <c r="E17" s="11"/>
      <c r="F17" s="155"/>
      <c r="G17" s="156"/>
      <c r="H17" s="156"/>
      <c r="I17" s="156"/>
      <c r="J17" s="156"/>
      <c r="K17" s="157"/>
    </row>
    <row r="18" spans="1:11" s="12" customFormat="1" ht="20.45" customHeight="1">
      <c r="A18" s="8"/>
      <c r="B18" s="9"/>
      <c r="C18" s="9"/>
      <c r="D18" s="10"/>
      <c r="E18" s="11"/>
      <c r="F18" s="155"/>
      <c r="G18" s="156"/>
      <c r="H18" s="156"/>
      <c r="I18" s="156"/>
      <c r="J18" s="156"/>
      <c r="K18" s="157"/>
    </row>
    <row r="19" spans="1:11" ht="20.45" customHeight="1">
      <c r="A19" s="8"/>
      <c r="B19" s="9"/>
      <c r="C19" s="9"/>
      <c r="D19" s="10"/>
      <c r="E19" s="11"/>
      <c r="F19" s="155"/>
      <c r="G19" s="156"/>
      <c r="H19" s="156"/>
      <c r="I19" s="156"/>
      <c r="J19" s="156"/>
      <c r="K19" s="157"/>
    </row>
    <row r="20" spans="1:11" s="12" customFormat="1" ht="20.45" customHeight="1">
      <c r="A20" s="8"/>
      <c r="B20" s="9"/>
      <c r="C20" s="9"/>
      <c r="D20" s="10"/>
      <c r="E20" s="11"/>
      <c r="F20" s="155"/>
      <c r="G20" s="156"/>
      <c r="H20" s="156"/>
      <c r="I20" s="156"/>
      <c r="J20" s="156"/>
      <c r="K20" s="157"/>
    </row>
    <row r="21" spans="1:11" ht="20.45" customHeight="1">
      <c r="A21" s="8"/>
      <c r="B21" s="9"/>
      <c r="C21" s="9"/>
      <c r="D21" s="10"/>
      <c r="E21" s="11"/>
      <c r="F21" s="155"/>
      <c r="G21" s="156"/>
      <c r="H21" s="156"/>
      <c r="I21" s="156"/>
      <c r="J21" s="156"/>
      <c r="K21" s="157"/>
    </row>
    <row r="22" spans="1:11" ht="20.45" customHeight="1">
      <c r="A22" s="8"/>
      <c r="B22" s="9"/>
      <c r="C22" s="9"/>
      <c r="D22" s="10"/>
      <c r="E22" s="11"/>
      <c r="F22" s="155"/>
      <c r="G22" s="156"/>
      <c r="H22" s="156"/>
      <c r="I22" s="156"/>
      <c r="J22" s="156"/>
      <c r="K22" s="157"/>
    </row>
    <row r="23" spans="1:11" ht="20.45" customHeight="1">
      <c r="A23" s="8"/>
      <c r="B23" s="9"/>
      <c r="C23" s="9"/>
      <c r="D23" s="10"/>
      <c r="E23" s="11"/>
      <c r="F23" s="155"/>
      <c r="G23" s="156"/>
      <c r="H23" s="156"/>
      <c r="I23" s="156"/>
      <c r="J23" s="156"/>
      <c r="K23" s="157"/>
    </row>
    <row r="24" spans="1:11" ht="20.25" customHeight="1">
      <c r="A24" s="14" t="s">
        <v>11</v>
      </c>
      <c r="B24" s="15">
        <f>SUM($B7:$B23)</f>
        <v>0</v>
      </c>
      <c r="C24" s="15">
        <f>SUM($C7:$C23)</f>
        <v>82800</v>
      </c>
      <c r="D24" s="15">
        <f>SUM($D7:$D23)</f>
        <v>0</v>
      </c>
      <c r="E24" s="15">
        <f>SUM($E7:$E23)</f>
        <v>0</v>
      </c>
      <c r="F24" s="106"/>
      <c r="G24" s="107"/>
      <c r="H24" s="108"/>
      <c r="I24" s="108"/>
      <c r="J24" s="108"/>
      <c r="K24" s="108"/>
    </row>
    <row r="25" spans="1:11" ht="3.75" customHeight="1">
      <c r="A25" s="13"/>
      <c r="B25" s="17"/>
      <c r="C25" s="17"/>
      <c r="D25" s="17"/>
      <c r="E25" s="18"/>
      <c r="F25" s="16"/>
      <c r="G25" s="16"/>
      <c r="H25" s="19"/>
      <c r="I25" s="19"/>
      <c r="J25" s="105"/>
      <c r="K25" s="19"/>
    </row>
    <row r="26" spans="1:11" ht="21.75" customHeight="1">
      <c r="A26" s="13"/>
      <c r="B26" s="17"/>
      <c r="C26" s="17"/>
      <c r="D26" s="17"/>
      <c r="E26" s="18"/>
      <c r="F26" s="16"/>
      <c r="G26" s="16"/>
      <c r="H26" s="19"/>
      <c r="I26" s="20"/>
      <c r="J26" s="21" t="s">
        <v>12</v>
      </c>
      <c r="K26" s="22">
        <f>$B$24+$C$24+$D$24+$E$24</f>
        <v>82800</v>
      </c>
    </row>
    <row r="27" spans="1:11" ht="12" customHeight="1">
      <c r="A27" s="13"/>
      <c r="B27" s="17"/>
      <c r="C27" s="17"/>
      <c r="D27" s="17"/>
      <c r="E27" s="18"/>
      <c r="F27" s="23"/>
      <c r="G27" s="23"/>
      <c r="H27" s="17"/>
      <c r="I27" s="17"/>
      <c r="J27" s="17"/>
      <c r="K27" s="24"/>
    </row>
    <row r="28" spans="1:11" ht="26.25" customHeight="1">
      <c r="A28" s="25"/>
      <c r="B28" s="27"/>
      <c r="C28" s="27"/>
      <c r="D28" s="27"/>
      <c r="E28" s="28"/>
      <c r="F28" s="26"/>
      <c r="G28" s="28" t="s">
        <v>13</v>
      </c>
      <c r="H28" s="27"/>
      <c r="I28" s="27"/>
      <c r="J28" s="27"/>
      <c r="K28" s="27"/>
    </row>
    <row r="29" spans="1:11" ht="19.5" customHeight="1">
      <c r="A29" s="158" t="s">
        <v>14</v>
      </c>
      <c r="B29" s="159"/>
      <c r="C29" s="29"/>
      <c r="D29" s="30" t="s">
        <v>15</v>
      </c>
      <c r="E29" s="31"/>
      <c r="F29" s="164" t="s">
        <v>16</v>
      </c>
      <c r="G29" s="164"/>
      <c r="H29" s="159"/>
      <c r="I29" s="166" t="s">
        <v>17</v>
      </c>
      <c r="J29" s="167"/>
      <c r="K29" s="168"/>
    </row>
    <row r="30" spans="1:11" ht="18.75" customHeight="1">
      <c r="A30" s="160"/>
      <c r="B30" s="161"/>
      <c r="C30" s="169" t="s">
        <v>18</v>
      </c>
      <c r="D30" s="170"/>
      <c r="E30" s="32" t="s">
        <v>19</v>
      </c>
      <c r="F30" s="165"/>
      <c r="G30" s="165"/>
      <c r="H30" s="161"/>
      <c r="I30" s="169" t="s">
        <v>18</v>
      </c>
      <c r="J30" s="170"/>
      <c r="K30" s="32" t="s">
        <v>19</v>
      </c>
    </row>
    <row r="31" spans="1:11" ht="15.75" customHeight="1">
      <c r="A31" s="160"/>
      <c r="B31" s="161"/>
      <c r="C31" s="33" t="s">
        <v>20</v>
      </c>
      <c r="D31" s="34"/>
      <c r="E31" s="35">
        <f>B24</f>
        <v>0</v>
      </c>
      <c r="F31" s="165"/>
      <c r="G31" s="165"/>
      <c r="H31" s="161"/>
      <c r="I31" s="33" t="s">
        <v>7</v>
      </c>
      <c r="J31" s="34"/>
      <c r="K31" s="36"/>
    </row>
    <row r="32" spans="1:11" ht="15.75" customHeight="1">
      <c r="A32" s="160"/>
      <c r="B32" s="161"/>
      <c r="C32" s="33" t="s">
        <v>21</v>
      </c>
      <c r="D32" s="37"/>
      <c r="E32" s="35">
        <f>C24</f>
        <v>82800</v>
      </c>
      <c r="F32" s="165"/>
      <c r="G32" s="165"/>
      <c r="H32" s="161"/>
      <c r="I32" s="38" t="s">
        <v>22</v>
      </c>
      <c r="J32" s="39"/>
      <c r="K32" s="40"/>
    </row>
    <row r="33" spans="1:11" ht="15.75" customHeight="1">
      <c r="A33" s="160"/>
      <c r="B33" s="161"/>
      <c r="C33" s="33" t="s">
        <v>23</v>
      </c>
      <c r="D33" s="37"/>
      <c r="E33" s="35">
        <f>D24</f>
        <v>0</v>
      </c>
      <c r="F33" s="165"/>
      <c r="G33" s="165"/>
      <c r="H33" s="161"/>
      <c r="I33" s="38" t="s">
        <v>24</v>
      </c>
      <c r="J33" s="39"/>
      <c r="K33" s="40"/>
    </row>
    <row r="34" spans="1:11" ht="15.75" customHeight="1">
      <c r="A34" s="160"/>
      <c r="B34" s="161"/>
      <c r="C34" s="33" t="s">
        <v>25</v>
      </c>
      <c r="D34" s="37"/>
      <c r="E34" s="35">
        <f>E24</f>
        <v>0</v>
      </c>
      <c r="F34" s="165"/>
      <c r="G34" s="165"/>
      <c r="H34" s="161"/>
      <c r="I34" s="38"/>
      <c r="J34" s="39"/>
      <c r="K34" s="40"/>
    </row>
    <row r="35" spans="1:11" ht="15.75" customHeight="1">
      <c r="A35" s="160"/>
      <c r="B35" s="161"/>
      <c r="C35" s="41" t="s">
        <v>12</v>
      </c>
      <c r="D35" s="42"/>
      <c r="E35" s="43">
        <f>SUM(E31:E34)</f>
        <v>82800</v>
      </c>
      <c r="F35" s="165"/>
      <c r="G35" s="165"/>
      <c r="H35" s="161"/>
      <c r="I35" s="38"/>
      <c r="J35" s="39"/>
      <c r="K35" s="40"/>
    </row>
    <row r="36" spans="1:11" ht="15.75" customHeight="1">
      <c r="A36" s="160"/>
      <c r="B36" s="161"/>
      <c r="C36" s="171" t="s">
        <v>26</v>
      </c>
      <c r="D36" s="172"/>
      <c r="E36" s="173"/>
      <c r="F36" s="165"/>
      <c r="G36" s="165"/>
      <c r="H36" s="161"/>
      <c r="I36" s="38"/>
      <c r="J36" s="39"/>
      <c r="K36" s="40"/>
    </row>
    <row r="37" spans="1:11" ht="15.75" customHeight="1">
      <c r="A37" s="160"/>
      <c r="B37" s="161"/>
      <c r="C37" s="169" t="s">
        <v>18</v>
      </c>
      <c r="D37" s="170"/>
      <c r="E37" s="32" t="s">
        <v>19</v>
      </c>
      <c r="F37" s="165"/>
      <c r="G37" s="165"/>
      <c r="H37" s="161"/>
      <c r="I37" s="38"/>
      <c r="J37" s="39"/>
      <c r="K37" s="40"/>
    </row>
    <row r="38" spans="1:11" ht="15.75" customHeight="1">
      <c r="A38" s="160"/>
      <c r="B38" s="161"/>
      <c r="C38" s="44" t="s">
        <v>7</v>
      </c>
      <c r="D38" s="45"/>
      <c r="E38" s="46"/>
      <c r="F38" s="165"/>
      <c r="G38" s="165"/>
      <c r="H38" s="161"/>
      <c r="I38" s="41" t="s">
        <v>27</v>
      </c>
      <c r="J38" s="42"/>
      <c r="K38" s="43">
        <f>SUM(K31:K37)</f>
        <v>0</v>
      </c>
    </row>
    <row r="39" spans="1:11" ht="15.75" customHeight="1">
      <c r="A39" s="160"/>
      <c r="B39" s="161"/>
      <c r="C39" s="47" t="s">
        <v>24</v>
      </c>
      <c r="D39" s="48"/>
      <c r="E39" s="49"/>
      <c r="F39" s="165"/>
      <c r="G39" s="165"/>
      <c r="H39" s="161"/>
      <c r="I39" s="166" t="s">
        <v>28</v>
      </c>
      <c r="J39" s="167"/>
      <c r="K39" s="168"/>
    </row>
    <row r="40" spans="1:11" ht="18.75" customHeight="1">
      <c r="A40" s="162"/>
      <c r="B40" s="163"/>
      <c r="C40" s="41" t="s">
        <v>29</v>
      </c>
      <c r="D40" s="42"/>
      <c r="E40" s="43">
        <f>SUM(E38:E39)</f>
        <v>0</v>
      </c>
      <c r="F40" s="165"/>
      <c r="G40" s="165"/>
      <c r="H40" s="161"/>
      <c r="I40" s="38" t="s">
        <v>30</v>
      </c>
      <c r="J40" s="48"/>
      <c r="K40" s="49"/>
    </row>
    <row r="41" spans="1:11" ht="15.75" customHeight="1">
      <c r="A41" s="13"/>
      <c r="B41" s="50"/>
      <c r="C41" s="51"/>
      <c r="D41" s="52" t="s">
        <v>31</v>
      </c>
      <c r="E41" s="53">
        <f>E35+E40</f>
        <v>82800</v>
      </c>
      <c r="F41" s="54"/>
      <c r="G41" s="54"/>
      <c r="H41" s="55"/>
      <c r="I41" s="51"/>
      <c r="J41" s="52" t="s">
        <v>32</v>
      </c>
      <c r="K41" s="53">
        <f>K38+K40</f>
        <v>0</v>
      </c>
    </row>
    <row r="42" spans="1:11" ht="11.25" customHeight="1">
      <c r="A42" s="13"/>
      <c r="B42" s="18"/>
      <c r="C42" s="18"/>
      <c r="D42" s="18"/>
      <c r="E42" s="18"/>
      <c r="F42" s="57"/>
      <c r="G42" s="57"/>
      <c r="H42" s="135"/>
      <c r="I42" s="135"/>
      <c r="J42" s="17"/>
      <c r="K42" s="17"/>
    </row>
    <row r="43" spans="1:11" ht="28.5">
      <c r="A43" s="25"/>
      <c r="B43" s="27"/>
      <c r="C43" s="27"/>
      <c r="D43" s="27"/>
      <c r="E43" s="28"/>
      <c r="F43" s="26"/>
      <c r="G43" s="28" t="s">
        <v>33</v>
      </c>
      <c r="H43" s="27"/>
      <c r="I43" s="27"/>
      <c r="J43" s="27"/>
      <c r="K43" s="27"/>
    </row>
    <row r="44" spans="1:11" ht="17.100000000000001" customHeight="1">
      <c r="A44" s="136" t="s">
        <v>34</v>
      </c>
      <c r="B44" s="137"/>
      <c r="C44" s="58" t="s">
        <v>35</v>
      </c>
      <c r="D44" s="58" t="s">
        <v>36</v>
      </c>
      <c r="E44" s="59" t="s">
        <v>19</v>
      </c>
      <c r="F44" s="142" t="s">
        <v>37</v>
      </c>
      <c r="G44" s="143"/>
      <c r="H44" s="137"/>
      <c r="I44" s="58" t="s">
        <v>35</v>
      </c>
      <c r="J44" s="58" t="s">
        <v>36</v>
      </c>
      <c r="K44" s="58" t="s">
        <v>19</v>
      </c>
    </row>
    <row r="45" spans="1:11" ht="17.100000000000001" customHeight="1">
      <c r="A45" s="138"/>
      <c r="B45" s="139"/>
      <c r="C45" s="60">
        <v>20000</v>
      </c>
      <c r="D45" s="61"/>
      <c r="E45" s="62">
        <f>C45*D45</f>
        <v>0</v>
      </c>
      <c r="F45" s="144"/>
      <c r="G45" s="145"/>
      <c r="H45" s="139"/>
      <c r="I45" s="60">
        <v>500</v>
      </c>
      <c r="J45" s="61">
        <v>3</v>
      </c>
      <c r="K45" s="63">
        <f>I45*J45</f>
        <v>1500</v>
      </c>
    </row>
    <row r="46" spans="1:11" ht="17.100000000000001" customHeight="1">
      <c r="A46" s="138"/>
      <c r="B46" s="139"/>
      <c r="C46" s="60">
        <v>10000</v>
      </c>
      <c r="D46" s="61">
        <v>7</v>
      </c>
      <c r="E46" s="62">
        <f>C46*D46</f>
        <v>70000</v>
      </c>
      <c r="F46" s="144"/>
      <c r="G46" s="145"/>
      <c r="H46" s="139"/>
      <c r="I46" s="60">
        <v>100</v>
      </c>
      <c r="J46" s="61">
        <v>31</v>
      </c>
      <c r="K46" s="63">
        <f>I46*J46</f>
        <v>3100</v>
      </c>
    </row>
    <row r="47" spans="1:11" ht="17.100000000000001" customHeight="1">
      <c r="A47" s="138"/>
      <c r="B47" s="139"/>
      <c r="C47" s="60">
        <v>5000</v>
      </c>
      <c r="D47" s="61"/>
      <c r="E47" s="62">
        <f>C47*D47</f>
        <v>0</v>
      </c>
      <c r="F47" s="144"/>
      <c r="G47" s="145"/>
      <c r="H47" s="139"/>
      <c r="I47" s="60">
        <v>50</v>
      </c>
      <c r="J47" s="61">
        <v>8</v>
      </c>
      <c r="K47" s="63">
        <f>I47*J47</f>
        <v>400</v>
      </c>
    </row>
    <row r="48" spans="1:11" ht="17.100000000000001" customHeight="1">
      <c r="A48" s="138"/>
      <c r="B48" s="139"/>
      <c r="C48" s="60">
        <v>2000</v>
      </c>
      <c r="D48" s="61">
        <v>1</v>
      </c>
      <c r="E48" s="62">
        <f>C48*D48</f>
        <v>2000</v>
      </c>
      <c r="F48" s="144"/>
      <c r="G48" s="145"/>
      <c r="H48" s="139"/>
      <c r="I48" s="60">
        <v>10</v>
      </c>
      <c r="J48" s="61">
        <v>13</v>
      </c>
      <c r="K48" s="63">
        <f>I48*J48</f>
        <v>130</v>
      </c>
    </row>
    <row r="49" spans="1:11" ht="17.100000000000001" customHeight="1">
      <c r="A49" s="140"/>
      <c r="B49" s="141"/>
      <c r="C49" s="60">
        <v>1000</v>
      </c>
      <c r="D49" s="61"/>
      <c r="E49" s="62">
        <f>C49*D49</f>
        <v>0</v>
      </c>
      <c r="F49" s="146"/>
      <c r="G49" s="147"/>
      <c r="H49" s="141"/>
      <c r="I49" s="60"/>
      <c r="J49" s="64"/>
      <c r="K49" s="63"/>
    </row>
    <row r="50" spans="1:11" ht="18.75">
      <c r="A50" s="13"/>
      <c r="B50" s="65"/>
      <c r="C50" s="66"/>
      <c r="D50" s="67" t="s">
        <v>38</v>
      </c>
      <c r="E50" s="68">
        <f>SUM(E45:E49)</f>
        <v>72000</v>
      </c>
      <c r="F50" s="54"/>
      <c r="G50" s="54"/>
      <c r="H50" s="55"/>
      <c r="I50" s="66"/>
      <c r="J50" s="67" t="s">
        <v>39</v>
      </c>
      <c r="K50" s="68">
        <f>SUM(K45:K49)</f>
        <v>5130</v>
      </c>
    </row>
    <row r="51" spans="1:11" ht="18.75">
      <c r="A51" s="13"/>
      <c r="B51" s="18"/>
      <c r="C51" s="18"/>
      <c r="D51" s="18"/>
      <c r="E51" s="18"/>
      <c r="F51" s="16"/>
      <c r="G51" s="16"/>
      <c r="H51" s="65"/>
      <c r="I51" s="65"/>
      <c r="J51" s="17"/>
      <c r="K51" s="17"/>
    </row>
    <row r="52" spans="1:11" ht="18" customHeight="1">
      <c r="A52" s="13"/>
      <c r="B52" s="18"/>
      <c r="C52" s="18"/>
      <c r="D52" s="18"/>
      <c r="E52" s="18"/>
      <c r="F52" s="69"/>
      <c r="G52" s="69"/>
      <c r="H52" s="70" t="s">
        <v>40</v>
      </c>
      <c r="I52" s="71"/>
      <c r="J52" s="69"/>
      <c r="K52" s="17"/>
    </row>
    <row r="53" spans="1:11" ht="4.5" customHeight="1">
      <c r="A53" s="13"/>
      <c r="B53" s="18"/>
      <c r="C53" s="18"/>
      <c r="D53" s="18"/>
      <c r="E53" s="18"/>
      <c r="F53" s="16"/>
      <c r="G53" s="16"/>
      <c r="H53" s="17"/>
      <c r="I53" s="17"/>
      <c r="J53" s="17"/>
      <c r="K53" s="17"/>
    </row>
    <row r="54" spans="1:11" ht="15" customHeight="1">
      <c r="A54" s="72"/>
      <c r="B54" s="148" t="s">
        <v>41</v>
      </c>
      <c r="C54" s="149"/>
      <c r="D54" s="150"/>
      <c r="E54" s="18"/>
      <c r="F54" s="73"/>
      <c r="G54" s="73"/>
      <c r="H54" s="74" t="s">
        <v>42</v>
      </c>
      <c r="I54" s="75">
        <v>77130</v>
      </c>
      <c r="J54" s="76"/>
      <c r="K54" s="17"/>
    </row>
    <row r="55" spans="1:11" ht="4.5" customHeight="1">
      <c r="A55" s="72"/>
      <c r="B55" s="151"/>
      <c r="C55" s="152"/>
      <c r="D55" s="153"/>
      <c r="E55" s="18"/>
      <c r="F55" s="16"/>
      <c r="G55" s="16"/>
      <c r="H55" s="17"/>
      <c r="I55" s="77"/>
      <c r="J55" s="17"/>
      <c r="K55" s="17"/>
    </row>
    <row r="56" spans="1:11" ht="18.75" customHeight="1">
      <c r="A56" s="78"/>
      <c r="B56" s="154"/>
      <c r="C56" s="154"/>
      <c r="D56" s="154"/>
      <c r="E56" s="18"/>
      <c r="F56" s="79"/>
      <c r="G56" s="79"/>
      <c r="H56" s="80" t="s">
        <v>43</v>
      </c>
      <c r="I56" s="81">
        <f>E50+K50</f>
        <v>77130</v>
      </c>
      <c r="J56" s="82"/>
      <c r="K56" s="17"/>
    </row>
    <row r="57" spans="1:11" ht="4.5" customHeight="1">
      <c r="A57" s="78"/>
      <c r="B57" s="154"/>
      <c r="C57" s="154"/>
      <c r="D57" s="154"/>
      <c r="E57" s="18"/>
      <c r="F57" s="56"/>
      <c r="G57" s="56"/>
      <c r="H57" s="57"/>
      <c r="I57" s="83"/>
      <c r="J57" s="65"/>
      <c r="K57" s="17"/>
    </row>
    <row r="58" spans="1:11" ht="18.75">
      <c r="A58" s="78"/>
      <c r="B58" s="154"/>
      <c r="C58" s="154"/>
      <c r="D58" s="154"/>
      <c r="E58" s="18"/>
      <c r="F58" s="79"/>
      <c r="G58" s="79"/>
      <c r="H58" s="80" t="s">
        <v>12</v>
      </c>
      <c r="I58" s="81">
        <f>K26</f>
        <v>82800</v>
      </c>
      <c r="J58" s="82"/>
      <c r="K58" s="24"/>
    </row>
    <row r="59" spans="1:11" ht="4.5" customHeight="1">
      <c r="A59" s="78"/>
      <c r="B59" s="154"/>
      <c r="C59" s="154"/>
      <c r="D59" s="154"/>
      <c r="E59" s="18"/>
      <c r="F59" s="56"/>
      <c r="G59" s="56"/>
      <c r="H59" s="57"/>
      <c r="I59" s="83"/>
      <c r="J59" s="18"/>
      <c r="K59" s="17"/>
    </row>
    <row r="60" spans="1:11" ht="18.75">
      <c r="A60" s="78"/>
      <c r="B60" s="154"/>
      <c r="C60" s="154"/>
      <c r="D60" s="154"/>
      <c r="E60" s="18"/>
      <c r="F60" s="84"/>
      <c r="G60" s="84"/>
      <c r="H60" s="85" t="s">
        <v>26</v>
      </c>
      <c r="I60" s="86">
        <f>E38</f>
        <v>0</v>
      </c>
      <c r="J60" s="82"/>
      <c r="K60" s="17"/>
    </row>
    <row r="61" spans="1:11" ht="4.5" customHeight="1">
      <c r="A61" s="78"/>
      <c r="B61" s="154"/>
      <c r="C61" s="154"/>
      <c r="D61" s="154"/>
      <c r="E61" s="18"/>
      <c r="F61" s="13"/>
      <c r="G61" s="13"/>
      <c r="H61" s="16"/>
      <c r="I61" s="77"/>
      <c r="J61" s="17"/>
      <c r="K61" s="17"/>
    </row>
    <row r="62" spans="1:11" ht="18.75">
      <c r="A62" s="78"/>
      <c r="B62" s="154"/>
      <c r="C62" s="154"/>
      <c r="D62" s="154"/>
      <c r="E62" s="18"/>
      <c r="F62" s="84"/>
      <c r="G62" s="84"/>
      <c r="H62" s="85" t="s">
        <v>17</v>
      </c>
      <c r="I62" s="86">
        <f>K31+K40</f>
        <v>0</v>
      </c>
      <c r="J62" s="82"/>
      <c r="K62" s="17"/>
    </row>
    <row r="63" spans="1:11" ht="4.5" customHeight="1">
      <c r="A63" s="78"/>
      <c r="B63" s="154"/>
      <c r="C63" s="154"/>
      <c r="D63" s="154"/>
      <c r="E63" s="18"/>
      <c r="F63" s="13"/>
      <c r="G63" s="13"/>
      <c r="H63" s="16"/>
      <c r="I63" s="77"/>
      <c r="J63" s="17"/>
      <c r="K63" s="17"/>
    </row>
    <row r="64" spans="1:11" ht="18.75">
      <c r="A64" s="78"/>
      <c r="B64" s="154"/>
      <c r="C64" s="154"/>
      <c r="D64" s="154"/>
      <c r="E64" s="18"/>
      <c r="F64" s="84"/>
      <c r="G64" s="84"/>
      <c r="H64" s="85" t="s">
        <v>44</v>
      </c>
      <c r="I64" s="86">
        <f>I54+I58+I60-I62</f>
        <v>159930</v>
      </c>
      <c r="J64" s="87"/>
      <c r="K64" s="17"/>
    </row>
    <row r="65" spans="1:11" ht="4.5" customHeight="1">
      <c r="A65" s="13"/>
      <c r="B65" s="154"/>
      <c r="C65" s="154"/>
      <c r="D65" s="154"/>
      <c r="E65" s="18"/>
      <c r="F65" s="16"/>
      <c r="G65" s="16"/>
      <c r="H65" s="18"/>
      <c r="I65" s="77"/>
      <c r="J65" s="17"/>
      <c r="K65" s="17"/>
    </row>
    <row r="66" spans="1:11" ht="18.75">
      <c r="A66" s="13"/>
      <c r="B66" s="154"/>
      <c r="C66" s="154"/>
      <c r="D66" s="154"/>
      <c r="E66" s="18"/>
      <c r="F66" s="73"/>
      <c r="G66" s="73"/>
      <c r="H66" s="74" t="s">
        <v>45</v>
      </c>
      <c r="I66" s="86">
        <f>I64-I54</f>
        <v>82800</v>
      </c>
      <c r="J66" s="88"/>
      <c r="K66" s="17"/>
    </row>
    <row r="67" spans="1:11" ht="4.5" customHeight="1">
      <c r="A67" s="78"/>
      <c r="B67" s="154"/>
      <c r="C67" s="154"/>
      <c r="D67" s="154"/>
      <c r="E67" s="18"/>
      <c r="F67" s="16"/>
      <c r="G67" s="16"/>
      <c r="H67" s="16"/>
      <c r="I67" s="77"/>
      <c r="J67" s="17"/>
      <c r="K67" s="17"/>
    </row>
    <row r="68" spans="1:11" ht="18.75">
      <c r="A68" s="13"/>
      <c r="B68" s="154"/>
      <c r="C68" s="154"/>
      <c r="D68" s="154"/>
      <c r="E68" s="18"/>
      <c r="F68" s="79"/>
      <c r="G68" s="79"/>
      <c r="H68" s="80" t="s">
        <v>46</v>
      </c>
      <c r="I68" s="86">
        <f>I54+E31+(E38-(K31+K40))</f>
        <v>77130</v>
      </c>
      <c r="J68" s="88"/>
      <c r="K68" s="17"/>
    </row>
    <row r="69" spans="1:11" ht="4.5" customHeight="1">
      <c r="A69" s="78"/>
      <c r="B69" s="154"/>
      <c r="C69" s="154"/>
      <c r="D69" s="154"/>
      <c r="E69" s="18"/>
      <c r="F69" s="16"/>
      <c r="G69" s="16"/>
      <c r="H69" s="16"/>
      <c r="I69" s="77"/>
      <c r="J69" s="17"/>
      <c r="K69" s="17"/>
    </row>
    <row r="70" spans="1:11" ht="18.75" customHeight="1">
      <c r="A70" s="78"/>
      <c r="B70" s="154"/>
      <c r="C70" s="154"/>
      <c r="D70" s="154"/>
      <c r="E70" s="18"/>
      <c r="F70" s="79"/>
      <c r="G70" s="79"/>
      <c r="H70" s="80" t="s">
        <v>47</v>
      </c>
      <c r="I70" s="89">
        <f>I56-I68</f>
        <v>0</v>
      </c>
      <c r="J70" s="90"/>
      <c r="K70" s="17"/>
    </row>
    <row r="71" spans="1:11" ht="15" customHeight="1">
      <c r="A71" s="91"/>
      <c r="B71" s="92"/>
      <c r="C71" s="92"/>
      <c r="D71" s="92"/>
      <c r="E71" s="93"/>
      <c r="F71" s="94"/>
      <c r="G71" s="94"/>
      <c r="H71" s="95"/>
      <c r="I71" s="95"/>
      <c r="J71" s="95"/>
      <c r="K71" s="95"/>
    </row>
    <row r="72" spans="1:11" ht="15" customHeight="1">
      <c r="A72" s="91"/>
      <c r="B72" s="92"/>
      <c r="C72" s="92"/>
      <c r="D72" s="92"/>
      <c r="E72" s="93"/>
      <c r="F72" s="94"/>
      <c r="G72" s="94"/>
      <c r="H72" s="95"/>
      <c r="I72" s="95"/>
      <c r="J72" s="95"/>
      <c r="K72" s="95"/>
    </row>
    <row r="73" spans="1:11" ht="15" customHeight="1">
      <c r="A73" s="91"/>
      <c r="B73" s="92"/>
      <c r="C73" s="92"/>
      <c r="D73" s="92"/>
      <c r="E73" s="93"/>
      <c r="F73" s="94"/>
      <c r="G73" s="94"/>
      <c r="H73" s="95"/>
      <c r="I73" s="95"/>
      <c r="J73" s="95"/>
      <c r="K73" s="95"/>
    </row>
    <row r="74" spans="1:11" ht="15" customHeight="1">
      <c r="A74" s="91"/>
      <c r="B74" s="92"/>
      <c r="C74" s="92"/>
      <c r="D74" s="92"/>
      <c r="E74" s="93"/>
      <c r="F74" s="94"/>
      <c r="G74" s="94"/>
      <c r="H74" s="95"/>
      <c r="I74" s="95"/>
      <c r="J74" s="95"/>
      <c r="K74" s="95"/>
    </row>
    <row r="75" spans="1:11" ht="15.75" customHeight="1">
      <c r="A75" s="91"/>
      <c r="B75" s="92"/>
      <c r="C75" s="92"/>
      <c r="D75" s="92"/>
      <c r="E75" s="93"/>
      <c r="F75" s="94"/>
      <c r="G75" s="94"/>
      <c r="H75" s="95"/>
      <c r="I75" s="95"/>
      <c r="J75" s="95"/>
      <c r="K75" s="95"/>
    </row>
    <row r="76" spans="1:11" ht="14.25" customHeight="1">
      <c r="A76" s="91"/>
      <c r="B76" s="92"/>
      <c r="C76" s="92"/>
      <c r="D76" s="92"/>
      <c r="E76" s="93"/>
      <c r="F76" s="94"/>
      <c r="G76" s="94"/>
      <c r="H76" s="95"/>
      <c r="I76" s="95"/>
      <c r="J76" s="95"/>
      <c r="K76" s="95"/>
    </row>
    <row r="77" spans="1:11">
      <c r="A77" s="96"/>
      <c r="B77" s="98"/>
      <c r="C77" s="98"/>
      <c r="D77" s="98"/>
      <c r="E77" s="98"/>
      <c r="F77" s="97"/>
      <c r="G77" s="97"/>
      <c r="H77" s="99"/>
      <c r="I77" s="99"/>
      <c r="J77" s="99"/>
      <c r="K77" s="99"/>
    </row>
    <row r="78" spans="1:11">
      <c r="D78" s="102"/>
      <c r="E78" s="102"/>
    </row>
    <row r="79" spans="1:11">
      <c r="D79" s="102"/>
      <c r="E79" s="102"/>
      <c r="H79" s="102"/>
    </row>
    <row r="80" spans="1:11">
      <c r="D80" s="102"/>
      <c r="E80" s="102"/>
      <c r="H80" s="102"/>
    </row>
    <row r="81" spans="4:11">
      <c r="D81" s="102"/>
      <c r="E81" s="102"/>
      <c r="H81" s="102"/>
      <c r="I81" s="102"/>
      <c r="J81" s="102"/>
      <c r="K81" s="102"/>
    </row>
    <row r="82" spans="4:11">
      <c r="D82" s="102"/>
      <c r="E82" s="102"/>
      <c r="H82" s="102"/>
      <c r="I82" s="102"/>
      <c r="J82" s="102"/>
      <c r="K82" s="102"/>
    </row>
    <row r="83" spans="4:11">
      <c r="D83" s="102"/>
      <c r="E83" s="102"/>
      <c r="H83" s="102"/>
      <c r="I83" s="102"/>
      <c r="J83" s="102"/>
      <c r="K83" s="102"/>
    </row>
    <row r="84" spans="4:11">
      <c r="D84" s="102"/>
      <c r="E84" s="102"/>
      <c r="H84" s="102"/>
      <c r="I84" s="102"/>
      <c r="J84" s="102"/>
      <c r="K84" s="102"/>
    </row>
    <row r="85" spans="4:11">
      <c r="D85" s="102"/>
      <c r="E85" s="102"/>
      <c r="H85" s="102"/>
      <c r="I85" s="102"/>
      <c r="J85" s="102"/>
      <c r="K85" s="102"/>
    </row>
    <row r="86" spans="4:11">
      <c r="D86" s="102"/>
      <c r="E86" s="102"/>
      <c r="H86" s="102"/>
      <c r="I86" s="102"/>
      <c r="J86" s="102"/>
      <c r="K86" s="102"/>
    </row>
    <row r="87" spans="4:11">
      <c r="D87" s="102"/>
      <c r="E87" s="102"/>
      <c r="H87" s="102"/>
      <c r="I87" s="102"/>
      <c r="J87" s="102"/>
      <c r="K87" s="102"/>
    </row>
    <row r="88" spans="4:11">
      <c r="D88" s="102"/>
      <c r="E88" s="102"/>
      <c r="H88" s="102"/>
      <c r="I88" s="102"/>
      <c r="J88" s="102"/>
      <c r="K88" s="102"/>
    </row>
  </sheetData>
  <mergeCells count="39">
    <mergeCell ref="F9:K9"/>
    <mergeCell ref="A1:B1"/>
    <mergeCell ref="C1:E1"/>
    <mergeCell ref="F1:G1"/>
    <mergeCell ref="H1:K1"/>
    <mergeCell ref="A3:K3"/>
    <mergeCell ref="A4:K4"/>
    <mergeCell ref="A5:A6"/>
    <mergeCell ref="B5:E5"/>
    <mergeCell ref="F5:K6"/>
    <mergeCell ref="F7:K7"/>
    <mergeCell ref="F8:K8"/>
    <mergeCell ref="F21:K21"/>
    <mergeCell ref="F10:K10"/>
    <mergeCell ref="F11:K11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22:K22"/>
    <mergeCell ref="F23:K23"/>
    <mergeCell ref="A29:B40"/>
    <mergeCell ref="F29:H40"/>
    <mergeCell ref="I29:K29"/>
    <mergeCell ref="C30:D30"/>
    <mergeCell ref="I30:J30"/>
    <mergeCell ref="C36:E36"/>
    <mergeCell ref="C37:D37"/>
    <mergeCell ref="I39:K39"/>
    <mergeCell ref="H42:I42"/>
    <mergeCell ref="A44:B49"/>
    <mergeCell ref="F44:H49"/>
    <mergeCell ref="B54:D55"/>
    <mergeCell ref="B56:D70"/>
  </mergeCells>
  <conditionalFormatting sqref="I70">
    <cfRule type="expression" dxfId="35" priority="1">
      <formula>$I70=0</formula>
    </cfRule>
    <cfRule type="expression" dxfId="34" priority="2">
      <formula>$I70&gt;=1</formula>
    </cfRule>
    <cfRule type="expression" dxfId="33" priority="3">
      <formula>$I70&lt;=-1</formula>
    </cfRule>
  </conditionalFormatting>
  <pageMargins left="0.25" right="0.25" top="0.75" bottom="0.75" header="0.3" footer="0.3"/>
  <pageSetup paperSize="9" scale="6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5AF5-FB44-4120-9796-6658F1C3AACB}">
  <sheetPr>
    <tabColor theme="7"/>
    <pageSetUpPr fitToPage="1"/>
  </sheetPr>
  <dimension ref="A1:K88"/>
  <sheetViews>
    <sheetView showWhiteSpace="0" view="pageLayout" zoomScale="80" zoomScaleNormal="80" zoomScalePageLayoutView="80" workbookViewId="0">
      <selection activeCell="A4" sqref="A4"/>
    </sheetView>
  </sheetViews>
  <sheetFormatPr defaultColWidth="20.7109375" defaultRowHeight="15"/>
  <cols>
    <col min="1" max="1" width="13.5703125" style="100" customWidth="1"/>
    <col min="2" max="3" width="13.7109375" style="102" customWidth="1"/>
    <col min="4" max="4" width="13.7109375" style="103" customWidth="1"/>
    <col min="5" max="5" width="14.7109375" style="104" customWidth="1"/>
    <col min="6" max="7" width="13.7109375" style="101" customWidth="1"/>
    <col min="8" max="10" width="13.7109375" style="103" customWidth="1"/>
    <col min="11" max="11" width="28.140625" style="103" customWidth="1"/>
    <col min="12" max="14" width="6.7109375" customWidth="1"/>
    <col min="15" max="17" width="10.7109375" customWidth="1"/>
    <col min="18" max="18" width="17.42578125" customWidth="1"/>
    <col min="19" max="19" width="10.7109375" customWidth="1"/>
    <col min="20" max="23" width="6.7109375" customWidth="1"/>
    <col min="24" max="26" width="10.7109375" customWidth="1"/>
    <col min="27" max="27" width="17.42578125" customWidth="1"/>
    <col min="28" max="28" width="10.7109375" customWidth="1"/>
    <col min="29" max="32" width="6.7109375" customWidth="1"/>
    <col min="33" max="35" width="10.7109375" customWidth="1"/>
    <col min="36" max="36" width="17.42578125" customWidth="1"/>
    <col min="37" max="37" width="10.7109375" customWidth="1"/>
    <col min="38" max="41" width="6.7109375" customWidth="1"/>
    <col min="42" max="44" width="10.7109375" customWidth="1"/>
    <col min="45" max="45" width="17.42578125" customWidth="1"/>
    <col min="46" max="46" width="10.7109375" customWidth="1"/>
    <col min="47" max="50" width="6.7109375" customWidth="1"/>
    <col min="51" max="53" width="10.7109375" customWidth="1"/>
    <col min="54" max="54" width="17.42578125" customWidth="1"/>
    <col min="55" max="55" width="10.7109375" customWidth="1"/>
    <col min="56" max="59" width="6.7109375" customWidth="1"/>
    <col min="60" max="62" width="10.7109375" customWidth="1"/>
    <col min="63" max="63" width="17.42578125" customWidth="1"/>
    <col min="64" max="64" width="10.7109375" customWidth="1"/>
    <col min="65" max="68" width="6.7109375" customWidth="1"/>
    <col min="69" max="71" width="10.7109375" customWidth="1"/>
    <col min="72" max="72" width="17.42578125" customWidth="1"/>
    <col min="73" max="73" width="10.7109375" customWidth="1"/>
    <col min="74" max="77" width="6.7109375" customWidth="1"/>
    <col min="78" max="80" width="10.7109375" customWidth="1"/>
    <col min="81" max="81" width="17.42578125" customWidth="1"/>
    <col min="82" max="82" width="10.7109375" customWidth="1"/>
    <col min="83" max="86" width="6.7109375" customWidth="1"/>
    <col min="87" max="89" width="10.7109375" customWidth="1"/>
    <col min="90" max="90" width="17.42578125" customWidth="1"/>
    <col min="91" max="91" width="10.7109375" customWidth="1"/>
    <col min="92" max="95" width="6.7109375" customWidth="1"/>
    <col min="96" max="98" width="10.7109375" customWidth="1"/>
    <col min="99" max="99" width="17.42578125" customWidth="1"/>
    <col min="100" max="100" width="10.7109375" customWidth="1"/>
    <col min="101" max="104" width="6.7109375" customWidth="1"/>
    <col min="105" max="107" width="10.7109375" customWidth="1"/>
    <col min="108" max="108" width="17.42578125" customWidth="1"/>
    <col min="109" max="109" width="10.7109375" customWidth="1"/>
    <col min="110" max="113" width="6.7109375" customWidth="1"/>
    <col min="114" max="116" width="10.7109375" customWidth="1"/>
    <col min="117" max="117" width="17.42578125" customWidth="1"/>
    <col min="118" max="118" width="10.7109375" customWidth="1"/>
    <col min="119" max="122" width="6.7109375" customWidth="1"/>
    <col min="123" max="125" width="10.7109375" customWidth="1"/>
    <col min="126" max="126" width="17.42578125" customWidth="1"/>
    <col min="127" max="127" width="10.7109375" customWidth="1"/>
    <col min="128" max="131" width="6.7109375" customWidth="1"/>
    <col min="132" max="134" width="10.7109375" customWidth="1"/>
    <col min="135" max="135" width="17.42578125" customWidth="1"/>
    <col min="136" max="136" width="10.7109375" customWidth="1"/>
    <col min="137" max="140" width="6.7109375" customWidth="1"/>
    <col min="141" max="143" width="10.7109375" customWidth="1"/>
    <col min="144" max="144" width="17.42578125" customWidth="1"/>
    <col min="145" max="145" width="10.7109375" customWidth="1"/>
    <col min="146" max="149" width="6.7109375" customWidth="1"/>
    <col min="150" max="152" width="10.7109375" customWidth="1"/>
    <col min="153" max="153" width="17.42578125" customWidth="1"/>
    <col min="154" max="154" width="10.7109375" customWidth="1"/>
    <col min="155" max="158" width="6.7109375" customWidth="1"/>
    <col min="159" max="161" width="10.7109375" customWidth="1"/>
    <col min="162" max="162" width="17.42578125" customWidth="1"/>
    <col min="163" max="163" width="10.7109375" customWidth="1"/>
    <col min="164" max="167" width="6.7109375" customWidth="1"/>
    <col min="168" max="170" width="10.7109375" customWidth="1"/>
    <col min="171" max="171" width="17.42578125" customWidth="1"/>
    <col min="172" max="172" width="10.7109375" customWidth="1"/>
    <col min="173" max="176" width="6.7109375" customWidth="1"/>
    <col min="177" max="179" width="10.7109375" customWidth="1"/>
    <col min="180" max="180" width="17.42578125" customWidth="1"/>
    <col min="181" max="181" width="10.7109375" customWidth="1"/>
    <col min="182" max="185" width="6.7109375" customWidth="1"/>
    <col min="186" max="188" width="10.7109375" customWidth="1"/>
    <col min="189" max="189" width="17.42578125" customWidth="1"/>
    <col min="190" max="190" width="10.7109375" customWidth="1"/>
    <col min="191" max="194" width="6.7109375" customWidth="1"/>
    <col min="195" max="197" width="10.7109375" customWidth="1"/>
    <col min="198" max="198" width="17.42578125" customWidth="1"/>
    <col min="199" max="199" width="10.7109375" customWidth="1"/>
    <col min="200" max="203" width="6.7109375" customWidth="1"/>
    <col min="204" max="206" width="10.7109375" customWidth="1"/>
    <col min="207" max="207" width="17.42578125" customWidth="1"/>
    <col min="208" max="208" width="10.7109375" customWidth="1"/>
    <col min="209" max="212" width="6.7109375" customWidth="1"/>
    <col min="213" max="215" width="10.7109375" customWidth="1"/>
    <col min="216" max="216" width="17.42578125" customWidth="1"/>
    <col min="217" max="217" width="10.7109375" customWidth="1"/>
    <col min="218" max="221" width="6.7109375" customWidth="1"/>
    <col min="222" max="224" width="10.7109375" customWidth="1"/>
    <col min="225" max="225" width="17.42578125" customWidth="1"/>
    <col min="226" max="226" width="10.7109375" customWidth="1"/>
    <col min="227" max="230" width="6.7109375" customWidth="1"/>
    <col min="231" max="233" width="10.7109375" customWidth="1"/>
    <col min="234" max="234" width="17.42578125" customWidth="1"/>
    <col min="235" max="235" width="10.7109375" customWidth="1"/>
    <col min="236" max="239" width="6.7109375" customWidth="1"/>
    <col min="240" max="242" width="10.7109375" customWidth="1"/>
    <col min="243" max="243" width="17.42578125" customWidth="1"/>
    <col min="244" max="244" width="10.7109375" customWidth="1"/>
    <col min="245" max="248" width="6.7109375" customWidth="1"/>
    <col min="249" max="251" width="10.7109375" customWidth="1"/>
    <col min="252" max="252" width="17.42578125" customWidth="1"/>
    <col min="253" max="253" width="10.7109375" customWidth="1"/>
    <col min="254" max="257" width="6.7109375" customWidth="1"/>
    <col min="258" max="260" width="10.7109375" customWidth="1"/>
    <col min="261" max="261" width="17.42578125" customWidth="1"/>
    <col min="262" max="262" width="10.7109375" customWidth="1"/>
    <col min="263" max="266" width="6.7109375" customWidth="1"/>
    <col min="267" max="269" width="10.7109375" customWidth="1"/>
    <col min="270" max="270" width="17.42578125" customWidth="1"/>
    <col min="271" max="271" width="10.7109375" customWidth="1"/>
    <col min="272" max="275" width="6.7109375" customWidth="1"/>
    <col min="276" max="278" width="10.7109375" customWidth="1"/>
    <col min="279" max="279" width="17.42578125" customWidth="1"/>
    <col min="280" max="280" width="10.7109375" customWidth="1"/>
    <col min="281" max="284" width="6.7109375" customWidth="1"/>
    <col min="285" max="287" width="10.7109375" customWidth="1"/>
    <col min="288" max="288" width="17.42578125" customWidth="1"/>
    <col min="289" max="289" width="10.7109375" customWidth="1"/>
    <col min="290" max="293" width="6.7109375" customWidth="1"/>
    <col min="294" max="296" width="10.7109375" customWidth="1"/>
    <col min="297" max="297" width="17.42578125" customWidth="1"/>
    <col min="298" max="298" width="10.7109375" customWidth="1"/>
    <col min="299" max="302" width="6.7109375" customWidth="1"/>
    <col min="303" max="305" width="10.7109375" customWidth="1"/>
    <col min="306" max="306" width="17.42578125" customWidth="1"/>
    <col min="307" max="307" width="10.7109375" customWidth="1"/>
    <col min="308" max="311" width="6.7109375" customWidth="1"/>
    <col min="312" max="314" width="10.7109375" customWidth="1"/>
    <col min="315" max="315" width="17.42578125" customWidth="1"/>
    <col min="316" max="316" width="10.7109375" customWidth="1"/>
    <col min="317" max="320" width="6.7109375" customWidth="1"/>
    <col min="321" max="323" width="10.7109375" customWidth="1"/>
    <col min="324" max="324" width="17.42578125" customWidth="1"/>
    <col min="325" max="325" width="10.7109375" customWidth="1"/>
    <col min="326" max="329" width="6.7109375" customWidth="1"/>
    <col min="330" max="332" width="10.7109375" customWidth="1"/>
    <col min="333" max="333" width="17.42578125" customWidth="1"/>
    <col min="334" max="334" width="10.7109375" customWidth="1"/>
    <col min="335" max="338" width="6.7109375" customWidth="1"/>
    <col min="339" max="341" width="10.7109375" customWidth="1"/>
    <col min="342" max="342" width="17.42578125" customWidth="1"/>
    <col min="343" max="343" width="10.7109375" customWidth="1"/>
    <col min="344" max="347" width="6.7109375" customWidth="1"/>
    <col min="348" max="350" width="10.7109375" customWidth="1"/>
    <col min="351" max="351" width="17.42578125" customWidth="1"/>
    <col min="352" max="352" width="10.7109375" customWidth="1"/>
    <col min="353" max="356" width="6.7109375" customWidth="1"/>
    <col min="357" max="359" width="10.7109375" customWidth="1"/>
    <col min="360" max="360" width="17.42578125" customWidth="1"/>
    <col min="361" max="361" width="10.7109375" customWidth="1"/>
    <col min="362" max="365" width="6.7109375" customWidth="1"/>
    <col min="366" max="368" width="10.7109375" customWidth="1"/>
    <col min="369" max="369" width="17.42578125" customWidth="1"/>
    <col min="370" max="370" width="10.7109375" customWidth="1"/>
    <col min="371" max="374" width="6.7109375" customWidth="1"/>
    <col min="375" max="377" width="10.7109375" customWidth="1"/>
    <col min="378" max="378" width="17.42578125" customWidth="1"/>
    <col min="379" max="379" width="10.7109375" customWidth="1"/>
    <col min="380" max="383" width="6.7109375" customWidth="1"/>
    <col min="384" max="386" width="10.7109375" customWidth="1"/>
    <col min="387" max="387" width="17.42578125" customWidth="1"/>
    <col min="388" max="388" width="10.7109375" customWidth="1"/>
    <col min="389" max="392" width="6.7109375" customWidth="1"/>
    <col min="393" max="395" width="10.7109375" customWidth="1"/>
    <col min="396" max="396" width="17.42578125" customWidth="1"/>
    <col min="397" max="397" width="10.7109375" customWidth="1"/>
    <col min="398" max="401" width="6.7109375" customWidth="1"/>
    <col min="402" max="404" width="10.7109375" customWidth="1"/>
    <col min="405" max="405" width="17.42578125" customWidth="1"/>
    <col min="406" max="406" width="10.7109375" customWidth="1"/>
    <col min="407" max="410" width="6.7109375" customWidth="1"/>
    <col min="411" max="413" width="10.7109375" customWidth="1"/>
    <col min="414" max="414" width="17.42578125" customWidth="1"/>
    <col min="415" max="415" width="10.7109375" customWidth="1"/>
    <col min="416" max="419" width="6.7109375" customWidth="1"/>
    <col min="420" max="422" width="10.7109375" customWidth="1"/>
    <col min="423" max="423" width="17.42578125" customWidth="1"/>
    <col min="424" max="424" width="10.7109375" customWidth="1"/>
    <col min="425" max="428" width="6.7109375" customWidth="1"/>
    <col min="429" max="431" width="10.7109375" customWidth="1"/>
    <col min="432" max="432" width="17.42578125" customWidth="1"/>
    <col min="433" max="433" width="10.7109375" customWidth="1"/>
    <col min="434" max="437" width="6.7109375" customWidth="1"/>
    <col min="438" max="440" width="10.7109375" customWidth="1"/>
    <col min="441" max="441" width="17.42578125" customWidth="1"/>
    <col min="442" max="442" width="10.7109375" customWidth="1"/>
    <col min="443" max="446" width="6.7109375" customWidth="1"/>
    <col min="447" max="449" width="10.7109375" customWidth="1"/>
    <col min="450" max="450" width="17.42578125" customWidth="1"/>
    <col min="451" max="451" width="10.7109375" customWidth="1"/>
    <col min="452" max="455" width="6.7109375" customWidth="1"/>
    <col min="456" max="458" width="10.7109375" customWidth="1"/>
    <col min="459" max="459" width="17.42578125" customWidth="1"/>
    <col min="460" max="460" width="10.7109375" customWidth="1"/>
    <col min="461" max="464" width="6.7109375" customWidth="1"/>
    <col min="465" max="467" width="10.7109375" customWidth="1"/>
    <col min="468" max="468" width="17.42578125" customWidth="1"/>
    <col min="469" max="469" width="10.7109375" customWidth="1"/>
    <col min="470" max="473" width="6.7109375" customWidth="1"/>
    <col min="474" max="476" width="10.7109375" customWidth="1"/>
    <col min="477" max="477" width="17.42578125" customWidth="1"/>
    <col min="478" max="478" width="10.7109375" customWidth="1"/>
    <col min="479" max="482" width="6.7109375" customWidth="1"/>
    <col min="483" max="485" width="10.7109375" customWidth="1"/>
    <col min="486" max="486" width="17.42578125" customWidth="1"/>
    <col min="487" max="487" width="10.7109375" customWidth="1"/>
    <col min="488" max="491" width="6.7109375" customWidth="1"/>
    <col min="492" max="494" width="10.7109375" customWidth="1"/>
    <col min="495" max="495" width="17.42578125" customWidth="1"/>
    <col min="496" max="496" width="10.7109375" customWidth="1"/>
    <col min="497" max="500" width="6.7109375" customWidth="1"/>
    <col min="501" max="503" width="10.7109375" customWidth="1"/>
    <col min="504" max="504" width="17.42578125" customWidth="1"/>
    <col min="505" max="505" width="10.7109375" customWidth="1"/>
    <col min="506" max="509" width="6.7109375" customWidth="1"/>
    <col min="510" max="512" width="10.7109375" customWidth="1"/>
    <col min="513" max="513" width="17.42578125" customWidth="1"/>
    <col min="514" max="514" width="10.7109375" customWidth="1"/>
    <col min="515" max="518" width="6.7109375" customWidth="1"/>
    <col min="519" max="521" width="10.7109375" customWidth="1"/>
    <col min="522" max="522" width="17.42578125" customWidth="1"/>
    <col min="523" max="523" width="10.7109375" customWidth="1"/>
    <col min="524" max="527" width="6.7109375" customWidth="1"/>
    <col min="528" max="530" width="10.7109375" customWidth="1"/>
    <col min="531" max="531" width="17.42578125" customWidth="1"/>
    <col min="532" max="532" width="10.7109375" customWidth="1"/>
    <col min="533" max="536" width="6.7109375" customWidth="1"/>
    <col min="537" max="539" width="10.7109375" customWidth="1"/>
    <col min="540" max="540" width="17.42578125" customWidth="1"/>
    <col min="541" max="541" width="10.7109375" customWidth="1"/>
    <col min="542" max="545" width="6.7109375" customWidth="1"/>
    <col min="546" max="548" width="10.7109375" customWidth="1"/>
    <col min="549" max="549" width="17.42578125" customWidth="1"/>
    <col min="550" max="550" width="10.7109375" customWidth="1"/>
    <col min="551" max="554" width="6.7109375" customWidth="1"/>
    <col min="555" max="557" width="10.7109375" customWidth="1"/>
    <col min="558" max="558" width="17.42578125" customWidth="1"/>
    <col min="559" max="559" width="10.7109375" customWidth="1"/>
    <col min="560" max="563" width="6.7109375" customWidth="1"/>
    <col min="564" max="566" width="10.7109375" customWidth="1"/>
    <col min="567" max="567" width="17.42578125" customWidth="1"/>
    <col min="568" max="568" width="10.7109375" customWidth="1"/>
    <col min="569" max="572" width="6.7109375" customWidth="1"/>
    <col min="573" max="575" width="10.7109375" customWidth="1"/>
    <col min="576" max="576" width="17.42578125" customWidth="1"/>
    <col min="577" max="577" width="10.7109375" customWidth="1"/>
    <col min="578" max="581" width="6.7109375" customWidth="1"/>
    <col min="582" max="584" width="10.7109375" customWidth="1"/>
    <col min="585" max="585" width="17.42578125" customWidth="1"/>
    <col min="586" max="586" width="10.7109375" customWidth="1"/>
    <col min="587" max="590" width="6.7109375" customWidth="1"/>
    <col min="591" max="593" width="10.7109375" customWidth="1"/>
    <col min="594" max="594" width="17.42578125" customWidth="1"/>
    <col min="595" max="595" width="10.7109375" customWidth="1"/>
    <col min="596" max="599" width="6.7109375" customWidth="1"/>
    <col min="600" max="602" width="10.7109375" customWidth="1"/>
    <col min="603" max="603" width="17.42578125" customWidth="1"/>
    <col min="604" max="604" width="10.7109375" customWidth="1"/>
    <col min="605" max="608" width="6.7109375" customWidth="1"/>
    <col min="609" max="611" width="10.7109375" customWidth="1"/>
    <col min="612" max="612" width="17.42578125" customWidth="1"/>
    <col min="613" max="613" width="10.7109375" customWidth="1"/>
    <col min="614" max="617" width="6.7109375" customWidth="1"/>
    <col min="618" max="620" width="10.7109375" customWidth="1"/>
    <col min="621" max="621" width="17.42578125" customWidth="1"/>
    <col min="622" max="622" width="10.7109375" customWidth="1"/>
    <col min="623" max="626" width="6.7109375" customWidth="1"/>
    <col min="627" max="629" width="10.7109375" customWidth="1"/>
    <col min="630" max="630" width="17.42578125" customWidth="1"/>
    <col min="631" max="631" width="10.7109375" customWidth="1"/>
    <col min="632" max="635" width="6.7109375" customWidth="1"/>
    <col min="636" max="638" width="10.7109375" customWidth="1"/>
    <col min="639" max="639" width="17.42578125" customWidth="1"/>
    <col min="640" max="640" width="10.7109375" customWidth="1"/>
    <col min="641" max="644" width="6.7109375" customWidth="1"/>
    <col min="645" max="647" width="10.7109375" customWidth="1"/>
    <col min="648" max="648" width="17.42578125" customWidth="1"/>
    <col min="649" max="649" width="10.7109375" customWidth="1"/>
    <col min="650" max="653" width="6.7109375" customWidth="1"/>
    <col min="654" max="656" width="10.7109375" customWidth="1"/>
    <col min="657" max="657" width="17.42578125" customWidth="1"/>
    <col min="658" max="658" width="10.7109375" customWidth="1"/>
    <col min="659" max="662" width="6.7109375" customWidth="1"/>
    <col min="663" max="665" width="10.7109375" customWidth="1"/>
    <col min="666" max="666" width="17.42578125" customWidth="1"/>
    <col min="667" max="667" width="10.7109375" customWidth="1"/>
    <col min="668" max="671" width="6.7109375" customWidth="1"/>
    <col min="672" max="674" width="10.7109375" customWidth="1"/>
    <col min="675" max="675" width="17.42578125" customWidth="1"/>
    <col min="676" max="676" width="10.7109375" customWidth="1"/>
    <col min="677" max="680" width="6.7109375" customWidth="1"/>
    <col min="681" max="683" width="10.7109375" customWidth="1"/>
    <col min="684" max="684" width="17.42578125" customWidth="1"/>
    <col min="685" max="685" width="10.7109375" customWidth="1"/>
    <col min="686" max="689" width="6.7109375" customWidth="1"/>
    <col min="690" max="692" width="10.7109375" customWidth="1"/>
    <col min="693" max="693" width="17.42578125" customWidth="1"/>
    <col min="694" max="694" width="10.7109375" customWidth="1"/>
    <col min="695" max="698" width="6.7109375" customWidth="1"/>
    <col min="699" max="701" width="10.7109375" customWidth="1"/>
    <col min="702" max="702" width="17.42578125" customWidth="1"/>
  </cols>
  <sheetData>
    <row r="1" spans="1:11" ht="20.45" customHeight="1">
      <c r="A1" s="174" t="s">
        <v>0</v>
      </c>
      <c r="B1" s="175"/>
      <c r="C1" s="176">
        <v>45492</v>
      </c>
      <c r="D1" s="177"/>
      <c r="E1" s="178"/>
      <c r="F1" s="174" t="s">
        <v>1</v>
      </c>
      <c r="G1" s="175"/>
      <c r="H1" s="179" t="s">
        <v>101</v>
      </c>
      <c r="I1" s="180"/>
      <c r="J1" s="180"/>
      <c r="K1" s="181"/>
    </row>
    <row r="2" spans="1:11" ht="11.25" customHeight="1">
      <c r="A2" s="1"/>
      <c r="B2" s="2"/>
      <c r="C2" s="2"/>
      <c r="D2" s="2"/>
      <c r="E2" s="3"/>
      <c r="F2" s="3"/>
      <c r="G2" s="3"/>
      <c r="H2" s="2"/>
      <c r="I2" s="2"/>
      <c r="J2" s="2"/>
      <c r="K2" s="2"/>
    </row>
    <row r="3" spans="1:11" ht="27" customHeight="1">
      <c r="A3" s="182" t="s">
        <v>2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20.45" customHeight="1">
      <c r="A4" s="183" t="s">
        <v>88</v>
      </c>
      <c r="B4" s="184"/>
      <c r="C4" s="184"/>
      <c r="D4" s="184"/>
      <c r="E4" s="184"/>
      <c r="F4" s="184"/>
      <c r="G4" s="184"/>
      <c r="H4" s="184"/>
      <c r="I4" s="184"/>
      <c r="J4" s="184"/>
      <c r="K4" s="185"/>
    </row>
    <row r="5" spans="1:11" s="5" customFormat="1" ht="26.25" customHeight="1">
      <c r="A5" s="186" t="s">
        <v>4</v>
      </c>
      <c r="B5" s="188" t="s">
        <v>5</v>
      </c>
      <c r="C5" s="189"/>
      <c r="D5" s="189"/>
      <c r="E5" s="190"/>
      <c r="F5" s="191" t="s">
        <v>6</v>
      </c>
      <c r="G5" s="192"/>
      <c r="H5" s="192"/>
      <c r="I5" s="192"/>
      <c r="J5" s="192"/>
      <c r="K5" s="193"/>
    </row>
    <row r="6" spans="1:11" ht="20.25" customHeight="1">
      <c r="A6" s="187"/>
      <c r="B6" s="6" t="s">
        <v>7</v>
      </c>
      <c r="C6" s="6" t="s">
        <v>8</v>
      </c>
      <c r="D6" s="4" t="s">
        <v>9</v>
      </c>
      <c r="E6" s="7" t="s">
        <v>10</v>
      </c>
      <c r="F6" s="194"/>
      <c r="G6" s="195"/>
      <c r="H6" s="195"/>
      <c r="I6" s="195"/>
      <c r="J6" s="195"/>
      <c r="K6" s="196"/>
    </row>
    <row r="7" spans="1:11" ht="20.45" customHeight="1">
      <c r="A7" s="8"/>
      <c r="B7" s="9">
        <v>2800</v>
      </c>
      <c r="C7" s="9"/>
      <c r="D7" s="10"/>
      <c r="E7" s="11"/>
      <c r="F7" s="155" t="s">
        <v>102</v>
      </c>
      <c r="G7" s="156"/>
      <c r="H7" s="156"/>
      <c r="I7" s="156"/>
      <c r="J7" s="156"/>
      <c r="K7" s="157"/>
    </row>
    <row r="8" spans="1:11" ht="20.45" customHeight="1">
      <c r="A8" s="8">
        <v>80</v>
      </c>
      <c r="B8" s="9"/>
      <c r="C8" s="9"/>
      <c r="D8" s="10">
        <v>35980</v>
      </c>
      <c r="E8" s="11"/>
      <c r="F8" s="155" t="s">
        <v>103</v>
      </c>
      <c r="G8" s="156"/>
      <c r="H8" s="156"/>
      <c r="I8" s="156"/>
      <c r="J8" s="156"/>
      <c r="K8" s="157"/>
    </row>
    <row r="9" spans="1:11" ht="20.45" customHeight="1">
      <c r="A9" s="8">
        <v>81</v>
      </c>
      <c r="B9" s="9"/>
      <c r="C9" s="9"/>
      <c r="D9" s="10">
        <v>25490</v>
      </c>
      <c r="E9" s="11"/>
      <c r="F9" s="155" t="s">
        <v>104</v>
      </c>
      <c r="G9" s="156"/>
      <c r="H9" s="156"/>
      <c r="I9" s="156"/>
      <c r="J9" s="156"/>
      <c r="K9" s="157"/>
    </row>
    <row r="10" spans="1:11" ht="20.45" customHeight="1">
      <c r="A10" s="8">
        <v>83</v>
      </c>
      <c r="B10" s="9"/>
      <c r="C10" s="9"/>
      <c r="D10" s="10">
        <v>12500</v>
      </c>
      <c r="E10" s="11"/>
      <c r="F10" s="155" t="s">
        <v>105</v>
      </c>
      <c r="G10" s="156"/>
      <c r="H10" s="156"/>
      <c r="I10" s="156"/>
      <c r="J10" s="156"/>
      <c r="K10" s="157"/>
    </row>
    <row r="11" spans="1:11" ht="20.45" customHeight="1">
      <c r="A11" s="8">
        <v>82</v>
      </c>
      <c r="B11" s="9"/>
      <c r="C11" s="9"/>
      <c r="D11" s="10">
        <v>7500</v>
      </c>
      <c r="E11" s="11"/>
      <c r="F11" s="155" t="s">
        <v>106</v>
      </c>
      <c r="G11" s="156"/>
      <c r="H11" s="156"/>
      <c r="I11" s="156"/>
      <c r="J11" s="156"/>
      <c r="K11" s="157"/>
    </row>
    <row r="12" spans="1:11" ht="20.45" customHeight="1">
      <c r="A12" s="8">
        <v>84</v>
      </c>
      <c r="B12" s="9"/>
      <c r="C12" s="9">
        <v>8000</v>
      </c>
      <c r="D12" s="10"/>
      <c r="E12" s="11"/>
      <c r="F12" s="155" t="s">
        <v>107</v>
      </c>
      <c r="G12" s="156"/>
      <c r="H12" s="156"/>
      <c r="I12" s="156"/>
      <c r="J12" s="156"/>
      <c r="K12" s="157"/>
    </row>
    <row r="13" spans="1:11" ht="20.45" customHeight="1">
      <c r="A13" s="8"/>
      <c r="B13" s="9"/>
      <c r="C13" s="9"/>
      <c r="D13" s="10"/>
      <c r="E13" s="11"/>
      <c r="F13" s="155"/>
      <c r="G13" s="156"/>
      <c r="H13" s="156"/>
      <c r="I13" s="156"/>
      <c r="J13" s="156"/>
      <c r="K13" s="157"/>
    </row>
    <row r="14" spans="1:11" ht="20.45" customHeight="1">
      <c r="A14" s="8"/>
      <c r="B14" s="9"/>
      <c r="C14" s="9"/>
      <c r="D14" s="10"/>
      <c r="E14" s="11"/>
      <c r="F14" s="155"/>
      <c r="G14" s="156"/>
      <c r="H14" s="156"/>
      <c r="I14" s="156"/>
      <c r="J14" s="156"/>
      <c r="K14" s="157"/>
    </row>
    <row r="15" spans="1:11" ht="20.45" customHeight="1">
      <c r="A15" s="8"/>
      <c r="B15" s="9"/>
      <c r="C15" s="9"/>
      <c r="D15" s="10"/>
      <c r="E15" s="11"/>
      <c r="F15" s="155"/>
      <c r="G15" s="156"/>
      <c r="H15" s="156"/>
      <c r="I15" s="156"/>
      <c r="J15" s="156"/>
      <c r="K15" s="157"/>
    </row>
    <row r="16" spans="1:11" ht="20.45" customHeight="1">
      <c r="A16" s="8"/>
      <c r="B16" s="9"/>
      <c r="C16" s="9"/>
      <c r="D16" s="10"/>
      <c r="E16" s="11"/>
      <c r="F16" s="155"/>
      <c r="G16" s="156"/>
      <c r="H16" s="156"/>
      <c r="I16" s="156"/>
      <c r="J16" s="156"/>
      <c r="K16" s="157"/>
    </row>
    <row r="17" spans="1:11" ht="20.45" customHeight="1">
      <c r="A17" s="8"/>
      <c r="B17" s="9"/>
      <c r="C17" s="9"/>
      <c r="D17" s="10"/>
      <c r="E17" s="11"/>
      <c r="F17" s="155"/>
      <c r="G17" s="156"/>
      <c r="H17" s="156"/>
      <c r="I17" s="156"/>
      <c r="J17" s="156"/>
      <c r="K17" s="157"/>
    </row>
    <row r="18" spans="1:11" s="12" customFormat="1" ht="20.45" customHeight="1">
      <c r="A18" s="8"/>
      <c r="B18" s="9"/>
      <c r="C18" s="9"/>
      <c r="D18" s="10"/>
      <c r="E18" s="11"/>
      <c r="F18" s="155"/>
      <c r="G18" s="156"/>
      <c r="H18" s="156"/>
      <c r="I18" s="156"/>
      <c r="J18" s="156"/>
      <c r="K18" s="157"/>
    </row>
    <row r="19" spans="1:11" ht="20.45" customHeight="1">
      <c r="A19" s="8"/>
      <c r="B19" s="9"/>
      <c r="C19" s="9"/>
      <c r="D19" s="10"/>
      <c r="E19" s="11"/>
      <c r="F19" s="155"/>
      <c r="G19" s="156"/>
      <c r="H19" s="156"/>
      <c r="I19" s="156"/>
      <c r="J19" s="156"/>
      <c r="K19" s="157"/>
    </row>
    <row r="20" spans="1:11" s="12" customFormat="1" ht="20.45" customHeight="1">
      <c r="A20" s="8"/>
      <c r="B20" s="9"/>
      <c r="C20" s="9"/>
      <c r="D20" s="10"/>
      <c r="E20" s="11"/>
      <c r="F20" s="155"/>
      <c r="G20" s="156"/>
      <c r="H20" s="156"/>
      <c r="I20" s="156"/>
      <c r="J20" s="156"/>
      <c r="K20" s="157"/>
    </row>
    <row r="21" spans="1:11" ht="20.45" customHeight="1">
      <c r="A21" s="8"/>
      <c r="B21" s="9"/>
      <c r="C21" s="9"/>
      <c r="D21" s="10"/>
      <c r="E21" s="11"/>
      <c r="F21" s="155"/>
      <c r="G21" s="156"/>
      <c r="H21" s="156"/>
      <c r="I21" s="156"/>
      <c r="J21" s="156"/>
      <c r="K21" s="157"/>
    </row>
    <row r="22" spans="1:11" ht="20.45" customHeight="1">
      <c r="A22" s="8"/>
      <c r="B22" s="9"/>
      <c r="C22" s="9"/>
      <c r="D22" s="10"/>
      <c r="E22" s="11"/>
      <c r="F22" s="155"/>
      <c r="G22" s="156"/>
      <c r="H22" s="156"/>
      <c r="I22" s="156"/>
      <c r="J22" s="156"/>
      <c r="K22" s="157"/>
    </row>
    <row r="23" spans="1:11" ht="20.45" customHeight="1">
      <c r="A23" s="8"/>
      <c r="B23" s="9"/>
      <c r="C23" s="9"/>
      <c r="D23" s="10"/>
      <c r="E23" s="11"/>
      <c r="F23" s="155"/>
      <c r="G23" s="156"/>
      <c r="H23" s="156"/>
      <c r="I23" s="156"/>
      <c r="J23" s="156"/>
      <c r="K23" s="157"/>
    </row>
    <row r="24" spans="1:11" ht="20.25" customHeight="1">
      <c r="A24" s="14" t="s">
        <v>11</v>
      </c>
      <c r="B24" s="15">
        <f>SUM($B7:$B23)</f>
        <v>2800</v>
      </c>
      <c r="C24" s="15">
        <f>SUM($C7:$C23)</f>
        <v>8000</v>
      </c>
      <c r="D24" s="15">
        <f>SUM($D7:$D23)</f>
        <v>81470</v>
      </c>
      <c r="E24" s="15">
        <f>SUM($E7:$E23)</f>
        <v>0</v>
      </c>
      <c r="F24" s="106"/>
      <c r="G24" s="107"/>
      <c r="H24" s="108"/>
      <c r="I24" s="108"/>
      <c r="J24" s="108"/>
      <c r="K24" s="108"/>
    </row>
    <row r="25" spans="1:11" ht="3.75" customHeight="1">
      <c r="A25" s="13"/>
      <c r="B25" s="17"/>
      <c r="C25" s="17"/>
      <c r="D25" s="17"/>
      <c r="E25" s="18"/>
      <c r="F25" s="16"/>
      <c r="G25" s="16"/>
      <c r="H25" s="19"/>
      <c r="I25" s="19"/>
      <c r="J25" s="105"/>
      <c r="K25" s="19"/>
    </row>
    <row r="26" spans="1:11" ht="21.75" customHeight="1">
      <c r="A26" s="13"/>
      <c r="B26" s="17"/>
      <c r="C26" s="17"/>
      <c r="D26" s="17"/>
      <c r="E26" s="18"/>
      <c r="F26" s="16"/>
      <c r="G26" s="16"/>
      <c r="H26" s="19"/>
      <c r="I26" s="20"/>
      <c r="J26" s="21" t="s">
        <v>12</v>
      </c>
      <c r="K26" s="22">
        <f>$B$24+$C$24+$D$24+$E$24</f>
        <v>92270</v>
      </c>
    </row>
    <row r="27" spans="1:11" ht="12" customHeight="1">
      <c r="A27" s="13"/>
      <c r="B27" s="17"/>
      <c r="C27" s="17"/>
      <c r="D27" s="17"/>
      <c r="E27" s="18"/>
      <c r="F27" s="23"/>
      <c r="G27" s="23"/>
      <c r="H27" s="17"/>
      <c r="I27" s="17"/>
      <c r="J27" s="17"/>
      <c r="K27" s="24"/>
    </row>
    <row r="28" spans="1:11" ht="26.25" customHeight="1">
      <c r="A28" s="25"/>
      <c r="B28" s="27"/>
      <c r="C28" s="27"/>
      <c r="D28" s="27"/>
      <c r="E28" s="28"/>
      <c r="F28" s="26"/>
      <c r="G28" s="28" t="s">
        <v>13</v>
      </c>
      <c r="H28" s="27"/>
      <c r="I28" s="27"/>
      <c r="J28" s="27"/>
      <c r="K28" s="27"/>
    </row>
    <row r="29" spans="1:11" ht="19.5" customHeight="1">
      <c r="A29" s="158" t="s">
        <v>14</v>
      </c>
      <c r="B29" s="159"/>
      <c r="C29" s="29"/>
      <c r="D29" s="30" t="s">
        <v>15</v>
      </c>
      <c r="E29" s="31"/>
      <c r="F29" s="164" t="s">
        <v>16</v>
      </c>
      <c r="G29" s="164"/>
      <c r="H29" s="159"/>
      <c r="I29" s="166" t="s">
        <v>17</v>
      </c>
      <c r="J29" s="167"/>
      <c r="K29" s="168"/>
    </row>
    <row r="30" spans="1:11" ht="18.75" customHeight="1">
      <c r="A30" s="160"/>
      <c r="B30" s="161"/>
      <c r="C30" s="169" t="s">
        <v>18</v>
      </c>
      <c r="D30" s="170"/>
      <c r="E30" s="32" t="s">
        <v>19</v>
      </c>
      <c r="F30" s="165"/>
      <c r="G30" s="165"/>
      <c r="H30" s="161"/>
      <c r="I30" s="169" t="s">
        <v>18</v>
      </c>
      <c r="J30" s="170"/>
      <c r="K30" s="32" t="s">
        <v>19</v>
      </c>
    </row>
    <row r="31" spans="1:11" ht="15.75" customHeight="1">
      <c r="A31" s="160"/>
      <c r="B31" s="161"/>
      <c r="C31" s="33" t="s">
        <v>20</v>
      </c>
      <c r="D31" s="34"/>
      <c r="E31" s="35">
        <f>B24</f>
        <v>2800</v>
      </c>
      <c r="F31" s="165"/>
      <c r="G31" s="165"/>
      <c r="H31" s="161"/>
      <c r="I31" s="33" t="s">
        <v>7</v>
      </c>
      <c r="J31" s="34"/>
      <c r="K31" s="36"/>
    </row>
    <row r="32" spans="1:11" ht="15.75" customHeight="1">
      <c r="A32" s="160"/>
      <c r="B32" s="161"/>
      <c r="C32" s="33" t="s">
        <v>21</v>
      </c>
      <c r="D32" s="37"/>
      <c r="E32" s="35">
        <f>C24</f>
        <v>8000</v>
      </c>
      <c r="F32" s="165"/>
      <c r="G32" s="165"/>
      <c r="H32" s="161"/>
      <c r="I32" s="38" t="s">
        <v>22</v>
      </c>
      <c r="J32" s="39"/>
      <c r="K32" s="40"/>
    </row>
    <row r="33" spans="1:11" ht="15.75" customHeight="1">
      <c r="A33" s="160"/>
      <c r="B33" s="161"/>
      <c r="C33" s="33" t="s">
        <v>23</v>
      </c>
      <c r="D33" s="37"/>
      <c r="E33" s="35">
        <f>D24</f>
        <v>81470</v>
      </c>
      <c r="F33" s="165"/>
      <c r="G33" s="165"/>
      <c r="H33" s="161"/>
      <c r="I33" s="38" t="s">
        <v>24</v>
      </c>
      <c r="J33" s="39"/>
      <c r="K33" s="40"/>
    </row>
    <row r="34" spans="1:11" ht="15.75" customHeight="1">
      <c r="A34" s="160"/>
      <c r="B34" s="161"/>
      <c r="C34" s="33" t="s">
        <v>25</v>
      </c>
      <c r="D34" s="37"/>
      <c r="E34" s="35">
        <f>E24</f>
        <v>0</v>
      </c>
      <c r="F34" s="165"/>
      <c r="G34" s="165"/>
      <c r="H34" s="161"/>
      <c r="I34" s="38"/>
      <c r="J34" s="39"/>
      <c r="K34" s="40"/>
    </row>
    <row r="35" spans="1:11" ht="15.75" customHeight="1">
      <c r="A35" s="160"/>
      <c r="B35" s="161"/>
      <c r="C35" s="41" t="s">
        <v>12</v>
      </c>
      <c r="D35" s="42"/>
      <c r="E35" s="43">
        <f>SUM(E31:E34)</f>
        <v>92270</v>
      </c>
      <c r="F35" s="165"/>
      <c r="G35" s="165"/>
      <c r="H35" s="161"/>
      <c r="I35" s="38"/>
      <c r="J35" s="39"/>
      <c r="K35" s="40"/>
    </row>
    <row r="36" spans="1:11" ht="15.75" customHeight="1">
      <c r="A36" s="160"/>
      <c r="B36" s="161"/>
      <c r="C36" s="171" t="s">
        <v>26</v>
      </c>
      <c r="D36" s="172"/>
      <c r="E36" s="173"/>
      <c r="F36" s="165"/>
      <c r="G36" s="165"/>
      <c r="H36" s="161"/>
      <c r="I36" s="38"/>
      <c r="J36" s="39"/>
      <c r="K36" s="40"/>
    </row>
    <row r="37" spans="1:11" ht="15.75" customHeight="1">
      <c r="A37" s="160"/>
      <c r="B37" s="161"/>
      <c r="C37" s="169" t="s">
        <v>18</v>
      </c>
      <c r="D37" s="170"/>
      <c r="E37" s="32" t="s">
        <v>19</v>
      </c>
      <c r="F37" s="165"/>
      <c r="G37" s="165"/>
      <c r="H37" s="161"/>
      <c r="I37" s="38"/>
      <c r="J37" s="39"/>
      <c r="K37" s="40"/>
    </row>
    <row r="38" spans="1:11" ht="15.75" customHeight="1">
      <c r="A38" s="160"/>
      <c r="B38" s="161"/>
      <c r="C38" s="44" t="s">
        <v>7</v>
      </c>
      <c r="D38" s="45"/>
      <c r="E38" s="46"/>
      <c r="F38" s="165"/>
      <c r="G38" s="165"/>
      <c r="H38" s="161"/>
      <c r="I38" s="41" t="s">
        <v>27</v>
      </c>
      <c r="J38" s="42"/>
      <c r="K38" s="43">
        <f>SUM(K31:K37)</f>
        <v>0</v>
      </c>
    </row>
    <row r="39" spans="1:11" ht="15.75" customHeight="1">
      <c r="A39" s="160"/>
      <c r="B39" s="161"/>
      <c r="C39" s="47" t="s">
        <v>24</v>
      </c>
      <c r="D39" s="48"/>
      <c r="E39" s="49"/>
      <c r="F39" s="165"/>
      <c r="G39" s="165"/>
      <c r="H39" s="161"/>
      <c r="I39" s="166" t="s">
        <v>28</v>
      </c>
      <c r="J39" s="167"/>
      <c r="K39" s="168"/>
    </row>
    <row r="40" spans="1:11" ht="18.75" customHeight="1">
      <c r="A40" s="162"/>
      <c r="B40" s="163"/>
      <c r="C40" s="41" t="s">
        <v>29</v>
      </c>
      <c r="D40" s="42"/>
      <c r="E40" s="43">
        <f>SUM(E38:E39)</f>
        <v>0</v>
      </c>
      <c r="F40" s="165"/>
      <c r="G40" s="165"/>
      <c r="H40" s="161"/>
      <c r="I40" s="38" t="s">
        <v>30</v>
      </c>
      <c r="J40" s="48"/>
      <c r="K40" s="49"/>
    </row>
    <row r="41" spans="1:11" ht="15.75" customHeight="1">
      <c r="A41" s="13"/>
      <c r="B41" s="50"/>
      <c r="C41" s="51"/>
      <c r="D41" s="52" t="s">
        <v>31</v>
      </c>
      <c r="E41" s="53">
        <f>E35+E40</f>
        <v>92270</v>
      </c>
      <c r="F41" s="54"/>
      <c r="G41" s="54"/>
      <c r="H41" s="55"/>
      <c r="I41" s="51"/>
      <c r="J41" s="52" t="s">
        <v>32</v>
      </c>
      <c r="K41" s="53">
        <f>K38+K40</f>
        <v>0</v>
      </c>
    </row>
    <row r="42" spans="1:11" ht="11.25" customHeight="1">
      <c r="A42" s="13"/>
      <c r="B42" s="18"/>
      <c r="C42" s="18"/>
      <c r="D42" s="18"/>
      <c r="E42" s="18"/>
      <c r="F42" s="57"/>
      <c r="G42" s="57"/>
      <c r="H42" s="135"/>
      <c r="I42" s="135"/>
      <c r="J42" s="17"/>
      <c r="K42" s="17"/>
    </row>
    <row r="43" spans="1:11" ht="28.5">
      <c r="A43" s="25"/>
      <c r="B43" s="27"/>
      <c r="C43" s="27"/>
      <c r="D43" s="27"/>
      <c r="E43" s="28"/>
      <c r="F43" s="26"/>
      <c r="G43" s="28" t="s">
        <v>33</v>
      </c>
      <c r="H43" s="27"/>
      <c r="I43" s="27"/>
      <c r="J43" s="27"/>
      <c r="K43" s="27"/>
    </row>
    <row r="44" spans="1:11" ht="17.100000000000001" customHeight="1">
      <c r="A44" s="136" t="s">
        <v>34</v>
      </c>
      <c r="B44" s="137"/>
      <c r="C44" s="58" t="s">
        <v>35</v>
      </c>
      <c r="D44" s="58" t="s">
        <v>36</v>
      </c>
      <c r="E44" s="59" t="s">
        <v>19</v>
      </c>
      <c r="F44" s="142" t="s">
        <v>37</v>
      </c>
      <c r="G44" s="143"/>
      <c r="H44" s="137"/>
      <c r="I44" s="58" t="s">
        <v>35</v>
      </c>
      <c r="J44" s="58" t="s">
        <v>36</v>
      </c>
      <c r="K44" s="58" t="s">
        <v>19</v>
      </c>
    </row>
    <row r="45" spans="1:11" ht="17.100000000000001" customHeight="1">
      <c r="A45" s="138"/>
      <c r="B45" s="139"/>
      <c r="C45" s="60">
        <v>20000</v>
      </c>
      <c r="D45" s="61"/>
      <c r="E45" s="62">
        <f>C45*D45</f>
        <v>0</v>
      </c>
      <c r="F45" s="144"/>
      <c r="G45" s="145"/>
      <c r="H45" s="139"/>
      <c r="I45" s="60">
        <v>500</v>
      </c>
      <c r="J45" s="61">
        <v>3</v>
      </c>
      <c r="K45" s="63">
        <f>I45*J45</f>
        <v>1500</v>
      </c>
    </row>
    <row r="46" spans="1:11" ht="17.100000000000001" customHeight="1">
      <c r="A46" s="138"/>
      <c r="B46" s="139"/>
      <c r="C46" s="60">
        <v>10000</v>
      </c>
      <c r="D46" s="61">
        <v>7</v>
      </c>
      <c r="E46" s="62">
        <f>C46*D46</f>
        <v>70000</v>
      </c>
      <c r="F46" s="144"/>
      <c r="G46" s="145"/>
      <c r="H46" s="139"/>
      <c r="I46" s="60">
        <v>100</v>
      </c>
      <c r="J46" s="61">
        <v>31</v>
      </c>
      <c r="K46" s="63">
        <f>I46*J46</f>
        <v>3100</v>
      </c>
    </row>
    <row r="47" spans="1:11" ht="17.100000000000001" customHeight="1">
      <c r="A47" s="138"/>
      <c r="B47" s="139"/>
      <c r="C47" s="60">
        <v>5000</v>
      </c>
      <c r="D47" s="61"/>
      <c r="E47" s="62">
        <f>C47*D47</f>
        <v>0</v>
      </c>
      <c r="F47" s="144"/>
      <c r="G47" s="145"/>
      <c r="H47" s="139"/>
      <c r="I47" s="60">
        <v>50</v>
      </c>
      <c r="J47" s="61">
        <v>8</v>
      </c>
      <c r="K47" s="63">
        <f>I47*J47</f>
        <v>400</v>
      </c>
    </row>
    <row r="48" spans="1:11" ht="17.100000000000001" customHeight="1">
      <c r="A48" s="138"/>
      <c r="B48" s="139"/>
      <c r="C48" s="60">
        <v>2000</v>
      </c>
      <c r="D48" s="61">
        <v>1</v>
      </c>
      <c r="E48" s="62">
        <f>C48*D48</f>
        <v>2000</v>
      </c>
      <c r="F48" s="144"/>
      <c r="G48" s="145"/>
      <c r="H48" s="139"/>
      <c r="I48" s="60">
        <v>10</v>
      </c>
      <c r="J48" s="61">
        <v>13</v>
      </c>
      <c r="K48" s="63">
        <f>I48*J48</f>
        <v>130</v>
      </c>
    </row>
    <row r="49" spans="1:11" ht="17.100000000000001" customHeight="1">
      <c r="A49" s="140"/>
      <c r="B49" s="141"/>
      <c r="C49" s="60">
        <v>1000</v>
      </c>
      <c r="D49" s="61"/>
      <c r="E49" s="62">
        <f>C49*D49</f>
        <v>0</v>
      </c>
      <c r="F49" s="146"/>
      <c r="G49" s="147"/>
      <c r="H49" s="141"/>
      <c r="I49" s="60"/>
      <c r="J49" s="64"/>
      <c r="K49" s="63"/>
    </row>
    <row r="50" spans="1:11" ht="18.75">
      <c r="A50" s="13"/>
      <c r="B50" s="65"/>
      <c r="C50" s="66"/>
      <c r="D50" s="67" t="s">
        <v>38</v>
      </c>
      <c r="E50" s="68">
        <f>SUM(E45:E49)</f>
        <v>72000</v>
      </c>
      <c r="F50" s="54"/>
      <c r="G50" s="54"/>
      <c r="H50" s="55"/>
      <c r="I50" s="66"/>
      <c r="J50" s="67" t="s">
        <v>39</v>
      </c>
      <c r="K50" s="68">
        <f>SUM(K45:K49)</f>
        <v>5130</v>
      </c>
    </row>
    <row r="51" spans="1:11" ht="18.75">
      <c r="A51" s="13"/>
      <c r="B51" s="18"/>
      <c r="C51" s="18"/>
      <c r="D51" s="18"/>
      <c r="E51" s="18"/>
      <c r="F51" s="16"/>
      <c r="G51" s="16"/>
      <c r="H51" s="65"/>
      <c r="I51" s="65"/>
      <c r="J51" s="17"/>
      <c r="K51" s="17"/>
    </row>
    <row r="52" spans="1:11" ht="18" customHeight="1">
      <c r="A52" s="13"/>
      <c r="B52" s="18"/>
      <c r="C52" s="18"/>
      <c r="D52" s="18"/>
      <c r="E52" s="18"/>
      <c r="F52" s="69"/>
      <c r="G52" s="69"/>
      <c r="H52" s="70" t="s">
        <v>40</v>
      </c>
      <c r="I52" s="71"/>
      <c r="J52" s="69"/>
      <c r="K52" s="17"/>
    </row>
    <row r="53" spans="1:11" ht="4.5" customHeight="1">
      <c r="A53" s="13"/>
      <c r="B53" s="18"/>
      <c r="C53" s="18"/>
      <c r="D53" s="18"/>
      <c r="E53" s="18"/>
      <c r="F53" s="16"/>
      <c r="G53" s="16"/>
      <c r="H53" s="17"/>
      <c r="I53" s="17"/>
      <c r="J53" s="17"/>
      <c r="K53" s="17"/>
    </row>
    <row r="54" spans="1:11" ht="15" customHeight="1">
      <c r="A54" s="72"/>
      <c r="B54" s="148" t="s">
        <v>41</v>
      </c>
      <c r="C54" s="149"/>
      <c r="D54" s="150"/>
      <c r="E54" s="18"/>
      <c r="F54" s="73"/>
      <c r="G54" s="73"/>
      <c r="H54" s="74" t="s">
        <v>42</v>
      </c>
      <c r="I54" s="75">
        <v>74730</v>
      </c>
      <c r="J54" s="76"/>
      <c r="K54" s="17"/>
    </row>
    <row r="55" spans="1:11" ht="4.5" customHeight="1">
      <c r="A55" s="72"/>
      <c r="B55" s="151"/>
      <c r="C55" s="152"/>
      <c r="D55" s="153"/>
      <c r="E55" s="18"/>
      <c r="F55" s="16"/>
      <c r="G55" s="16"/>
      <c r="H55" s="17"/>
      <c r="I55" s="77"/>
      <c r="J55" s="17"/>
      <c r="K55" s="17"/>
    </row>
    <row r="56" spans="1:11" ht="18.75" customHeight="1">
      <c r="A56" s="78"/>
      <c r="B56" s="154" t="s">
        <v>108</v>
      </c>
      <c r="C56" s="154"/>
      <c r="D56" s="154"/>
      <c r="E56" s="18"/>
      <c r="F56" s="79"/>
      <c r="G56" s="79"/>
      <c r="H56" s="80" t="s">
        <v>43</v>
      </c>
      <c r="I56" s="81">
        <f>E50+K50</f>
        <v>77130</v>
      </c>
      <c r="J56" s="82"/>
      <c r="K56" s="17"/>
    </row>
    <row r="57" spans="1:11" ht="4.5" customHeight="1">
      <c r="A57" s="78"/>
      <c r="B57" s="154"/>
      <c r="C57" s="154"/>
      <c r="D57" s="154"/>
      <c r="E57" s="18"/>
      <c r="F57" s="56"/>
      <c r="G57" s="56"/>
      <c r="H57" s="57"/>
      <c r="I57" s="83"/>
      <c r="J57" s="65"/>
      <c r="K57" s="17"/>
    </row>
    <row r="58" spans="1:11" ht="18.75">
      <c r="A58" s="78"/>
      <c r="B58" s="154"/>
      <c r="C58" s="154"/>
      <c r="D58" s="154"/>
      <c r="E58" s="18"/>
      <c r="F58" s="79"/>
      <c r="G58" s="79"/>
      <c r="H58" s="80" t="s">
        <v>12</v>
      </c>
      <c r="I58" s="81">
        <f>K26</f>
        <v>92270</v>
      </c>
      <c r="J58" s="82"/>
      <c r="K58" s="24"/>
    </row>
    <row r="59" spans="1:11" ht="4.5" customHeight="1">
      <c r="A59" s="78"/>
      <c r="B59" s="154"/>
      <c r="C59" s="154"/>
      <c r="D59" s="154"/>
      <c r="E59" s="18"/>
      <c r="F59" s="56"/>
      <c r="G59" s="56"/>
      <c r="H59" s="57"/>
      <c r="I59" s="83"/>
      <c r="J59" s="18"/>
      <c r="K59" s="17"/>
    </row>
    <row r="60" spans="1:11" ht="18.75">
      <c r="A60" s="78"/>
      <c r="B60" s="154"/>
      <c r="C60" s="154"/>
      <c r="D60" s="154"/>
      <c r="E60" s="18"/>
      <c r="F60" s="84"/>
      <c r="G60" s="84"/>
      <c r="H60" s="85" t="s">
        <v>26</v>
      </c>
      <c r="I60" s="86">
        <f>E38</f>
        <v>0</v>
      </c>
      <c r="J60" s="82"/>
      <c r="K60" s="17"/>
    </row>
    <row r="61" spans="1:11" ht="4.5" customHeight="1">
      <c r="A61" s="78"/>
      <c r="B61" s="154"/>
      <c r="C61" s="154"/>
      <c r="D61" s="154"/>
      <c r="E61" s="18"/>
      <c r="F61" s="13"/>
      <c r="G61" s="13"/>
      <c r="H61" s="16"/>
      <c r="I61" s="77"/>
      <c r="J61" s="17"/>
      <c r="K61" s="17"/>
    </row>
    <row r="62" spans="1:11" ht="18.75">
      <c r="A62" s="78"/>
      <c r="B62" s="154"/>
      <c r="C62" s="154"/>
      <c r="D62" s="154"/>
      <c r="E62" s="18"/>
      <c r="F62" s="84"/>
      <c r="G62" s="84"/>
      <c r="H62" s="85" t="s">
        <v>17</v>
      </c>
      <c r="I62" s="86">
        <f>K31+K40</f>
        <v>0</v>
      </c>
      <c r="J62" s="82"/>
      <c r="K62" s="17"/>
    </row>
    <row r="63" spans="1:11" ht="4.5" customHeight="1">
      <c r="A63" s="78"/>
      <c r="B63" s="154"/>
      <c r="C63" s="154"/>
      <c r="D63" s="154"/>
      <c r="E63" s="18"/>
      <c r="F63" s="13"/>
      <c r="G63" s="13"/>
      <c r="H63" s="16"/>
      <c r="I63" s="77"/>
      <c r="J63" s="17"/>
      <c r="K63" s="17"/>
    </row>
    <row r="64" spans="1:11" ht="18.75">
      <c r="A64" s="78"/>
      <c r="B64" s="154"/>
      <c r="C64" s="154"/>
      <c r="D64" s="154"/>
      <c r="E64" s="18"/>
      <c r="F64" s="84"/>
      <c r="G64" s="84"/>
      <c r="H64" s="85" t="s">
        <v>44</v>
      </c>
      <c r="I64" s="86">
        <f>I54+I58+I60-I62</f>
        <v>167000</v>
      </c>
      <c r="J64" s="87"/>
      <c r="K64" s="17"/>
    </row>
    <row r="65" spans="1:11" ht="4.5" customHeight="1">
      <c r="A65" s="13"/>
      <c r="B65" s="154"/>
      <c r="C65" s="154"/>
      <c r="D65" s="154"/>
      <c r="E65" s="18"/>
      <c r="F65" s="16"/>
      <c r="G65" s="16"/>
      <c r="H65" s="18"/>
      <c r="I65" s="77"/>
      <c r="J65" s="17"/>
      <c r="K65" s="17"/>
    </row>
    <row r="66" spans="1:11" ht="18.75">
      <c r="A66" s="13"/>
      <c r="B66" s="154"/>
      <c r="C66" s="154"/>
      <c r="D66" s="154"/>
      <c r="E66" s="18"/>
      <c r="F66" s="73"/>
      <c r="G66" s="73"/>
      <c r="H66" s="74" t="s">
        <v>45</v>
      </c>
      <c r="I66" s="86">
        <f>I64-I54</f>
        <v>92270</v>
      </c>
      <c r="J66" s="88"/>
      <c r="K66" s="17"/>
    </row>
    <row r="67" spans="1:11" ht="4.5" customHeight="1">
      <c r="A67" s="78"/>
      <c r="B67" s="154"/>
      <c r="C67" s="154"/>
      <c r="D67" s="154"/>
      <c r="E67" s="18"/>
      <c r="F67" s="16"/>
      <c r="G67" s="16"/>
      <c r="H67" s="16"/>
      <c r="I67" s="77"/>
      <c r="J67" s="17"/>
      <c r="K67" s="17"/>
    </row>
    <row r="68" spans="1:11" ht="18.75">
      <c r="A68" s="13"/>
      <c r="B68" s="154"/>
      <c r="C68" s="154"/>
      <c r="D68" s="154"/>
      <c r="E68" s="18"/>
      <c r="F68" s="79"/>
      <c r="G68" s="79"/>
      <c r="H68" s="80" t="s">
        <v>46</v>
      </c>
      <c r="I68" s="86">
        <f>I54+E31+(E38-(K31+K40))</f>
        <v>77530</v>
      </c>
      <c r="J68" s="88"/>
      <c r="K68" s="17"/>
    </row>
    <row r="69" spans="1:11" ht="4.5" customHeight="1">
      <c r="A69" s="78"/>
      <c r="B69" s="154"/>
      <c r="C69" s="154"/>
      <c r="D69" s="154"/>
      <c r="E69" s="18"/>
      <c r="F69" s="16"/>
      <c r="G69" s="16"/>
      <c r="H69" s="16"/>
      <c r="I69" s="77"/>
      <c r="J69" s="17"/>
      <c r="K69" s="17"/>
    </row>
    <row r="70" spans="1:11" ht="18.75" customHeight="1">
      <c r="A70" s="78"/>
      <c r="B70" s="154"/>
      <c r="C70" s="154"/>
      <c r="D70" s="154"/>
      <c r="E70" s="18"/>
      <c r="F70" s="79"/>
      <c r="G70" s="79"/>
      <c r="H70" s="80" t="s">
        <v>47</v>
      </c>
      <c r="I70" s="89">
        <f>I56-I68</f>
        <v>-400</v>
      </c>
      <c r="J70" s="90"/>
      <c r="K70" s="17"/>
    </row>
    <row r="71" spans="1:11" ht="15" customHeight="1">
      <c r="A71" s="91"/>
      <c r="B71" s="92"/>
      <c r="C71" s="92"/>
      <c r="D71" s="92"/>
      <c r="E71" s="93"/>
      <c r="F71" s="94"/>
      <c r="G71" s="94"/>
      <c r="H71" s="95"/>
      <c r="I71" s="95"/>
      <c r="J71" s="95"/>
      <c r="K71" s="95"/>
    </row>
    <row r="72" spans="1:11" ht="15" customHeight="1">
      <c r="A72" s="91"/>
      <c r="B72" s="92"/>
      <c r="C72" s="92"/>
      <c r="D72" s="92"/>
      <c r="E72" s="93"/>
      <c r="F72" s="94"/>
      <c r="G72" s="94"/>
      <c r="H72" s="95"/>
      <c r="I72" s="95"/>
      <c r="J72" s="95"/>
      <c r="K72" s="95"/>
    </row>
    <row r="73" spans="1:11" ht="15" customHeight="1">
      <c r="A73" s="91"/>
      <c r="B73" s="92"/>
      <c r="C73" s="92"/>
      <c r="D73" s="92"/>
      <c r="E73" s="93"/>
      <c r="F73" s="94"/>
      <c r="G73" s="94"/>
      <c r="H73" s="95"/>
      <c r="I73" s="95"/>
      <c r="J73" s="95"/>
      <c r="K73" s="95"/>
    </row>
    <row r="74" spans="1:11" ht="15" customHeight="1">
      <c r="A74" s="91"/>
      <c r="B74" s="92"/>
      <c r="C74" s="92"/>
      <c r="D74" s="92"/>
      <c r="E74" s="93"/>
      <c r="F74" s="94"/>
      <c r="G74" s="94"/>
      <c r="H74" s="95"/>
      <c r="I74" s="95"/>
      <c r="J74" s="95"/>
      <c r="K74" s="95"/>
    </row>
    <row r="75" spans="1:11" ht="15.75" customHeight="1">
      <c r="A75" s="91"/>
      <c r="B75" s="92"/>
      <c r="C75" s="92"/>
      <c r="D75" s="92"/>
      <c r="E75" s="93"/>
      <c r="F75" s="94"/>
      <c r="G75" s="94"/>
      <c r="H75" s="95"/>
      <c r="I75" s="95"/>
      <c r="J75" s="95"/>
      <c r="K75" s="95"/>
    </row>
    <row r="76" spans="1:11" ht="14.25" customHeight="1">
      <c r="A76" s="91"/>
      <c r="B76" s="92"/>
      <c r="C76" s="92"/>
      <c r="D76" s="92"/>
      <c r="E76" s="93"/>
      <c r="F76" s="94"/>
      <c r="G76" s="94"/>
      <c r="H76" s="95"/>
      <c r="I76" s="95"/>
      <c r="J76" s="95"/>
      <c r="K76" s="95"/>
    </row>
    <row r="77" spans="1:11">
      <c r="A77" s="96"/>
      <c r="B77" s="98"/>
      <c r="C77" s="98"/>
      <c r="D77" s="98"/>
      <c r="E77" s="98"/>
      <c r="F77" s="97"/>
      <c r="G77" s="97"/>
      <c r="H77" s="99"/>
      <c r="I77" s="99"/>
      <c r="J77" s="99"/>
      <c r="K77" s="99"/>
    </row>
    <row r="78" spans="1:11">
      <c r="D78" s="102"/>
      <c r="E78" s="102"/>
    </row>
    <row r="79" spans="1:11">
      <c r="D79" s="102"/>
      <c r="E79" s="102"/>
      <c r="H79" s="102"/>
    </row>
    <row r="80" spans="1:11">
      <c r="D80" s="102"/>
      <c r="E80" s="102"/>
      <c r="H80" s="102"/>
    </row>
    <row r="81" spans="4:11">
      <c r="D81" s="102"/>
      <c r="E81" s="102"/>
      <c r="H81" s="102"/>
      <c r="I81" s="102"/>
      <c r="J81" s="102"/>
      <c r="K81" s="102"/>
    </row>
    <row r="82" spans="4:11">
      <c r="D82" s="102"/>
      <c r="E82" s="102"/>
      <c r="H82" s="102"/>
      <c r="I82" s="102"/>
      <c r="J82" s="102"/>
      <c r="K82" s="102"/>
    </row>
    <row r="83" spans="4:11">
      <c r="D83" s="102"/>
      <c r="E83" s="102"/>
      <c r="H83" s="102"/>
      <c r="I83" s="102"/>
      <c r="J83" s="102"/>
      <c r="K83" s="102"/>
    </row>
    <row r="84" spans="4:11">
      <c r="D84" s="102"/>
      <c r="E84" s="102"/>
      <c r="H84" s="102"/>
      <c r="I84" s="102"/>
      <c r="J84" s="102"/>
      <c r="K84" s="102"/>
    </row>
    <row r="85" spans="4:11">
      <c r="D85" s="102"/>
      <c r="E85" s="102"/>
      <c r="H85" s="102"/>
      <c r="I85" s="102"/>
      <c r="J85" s="102"/>
      <c r="K85" s="102"/>
    </row>
    <row r="86" spans="4:11">
      <c r="D86" s="102"/>
      <c r="E86" s="102"/>
      <c r="H86" s="102"/>
      <c r="I86" s="102"/>
      <c r="J86" s="102"/>
      <c r="K86" s="102"/>
    </row>
    <row r="87" spans="4:11">
      <c r="D87" s="102"/>
      <c r="E87" s="102"/>
      <c r="H87" s="102"/>
      <c r="I87" s="102"/>
      <c r="J87" s="102"/>
      <c r="K87" s="102"/>
    </row>
    <row r="88" spans="4:11">
      <c r="D88" s="102"/>
      <c r="E88" s="102"/>
      <c r="H88" s="102"/>
      <c r="I88" s="102"/>
      <c r="J88" s="102"/>
      <c r="K88" s="102"/>
    </row>
  </sheetData>
  <mergeCells count="39">
    <mergeCell ref="F9:K9"/>
    <mergeCell ref="A1:B1"/>
    <mergeCell ref="C1:E1"/>
    <mergeCell ref="F1:G1"/>
    <mergeCell ref="H1:K1"/>
    <mergeCell ref="A3:K3"/>
    <mergeCell ref="A4:K4"/>
    <mergeCell ref="A5:A6"/>
    <mergeCell ref="B5:E5"/>
    <mergeCell ref="F5:K6"/>
    <mergeCell ref="F7:K7"/>
    <mergeCell ref="F8:K8"/>
    <mergeCell ref="F21:K21"/>
    <mergeCell ref="F10:K10"/>
    <mergeCell ref="F11:K11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22:K22"/>
    <mergeCell ref="F23:K23"/>
    <mergeCell ref="A29:B40"/>
    <mergeCell ref="F29:H40"/>
    <mergeCell ref="I29:K29"/>
    <mergeCell ref="C30:D30"/>
    <mergeCell ref="I30:J30"/>
    <mergeCell ref="C36:E36"/>
    <mergeCell ref="C37:D37"/>
    <mergeCell ref="I39:K39"/>
    <mergeCell ref="H42:I42"/>
    <mergeCell ref="A44:B49"/>
    <mergeCell ref="F44:H49"/>
    <mergeCell ref="B54:D55"/>
    <mergeCell ref="B56:D70"/>
  </mergeCells>
  <conditionalFormatting sqref="I70">
    <cfRule type="expression" dxfId="32" priority="1">
      <formula>$I70=0</formula>
    </cfRule>
    <cfRule type="expression" dxfId="31" priority="2">
      <formula>$I70&gt;=1</formula>
    </cfRule>
    <cfRule type="expression" dxfId="30" priority="3">
      <formula>$I70&lt;=-1</formula>
    </cfRule>
  </conditionalFormatting>
  <pageMargins left="0.25" right="0.25" top="0.75" bottom="0.75" header="0.3" footer="0.3"/>
  <pageSetup paperSize="9" scale="6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F15A-7660-48DE-9A1C-35067A71287E}">
  <sheetPr>
    <tabColor theme="7"/>
    <pageSetUpPr fitToPage="1"/>
  </sheetPr>
  <dimension ref="A1:K88"/>
  <sheetViews>
    <sheetView showWhiteSpace="0" view="pageLayout" topLeftCell="A40" zoomScale="80" zoomScaleNormal="80" zoomScalePageLayoutView="80" workbookViewId="0">
      <selection activeCell="K58" sqref="K58"/>
    </sheetView>
  </sheetViews>
  <sheetFormatPr defaultColWidth="20.7109375" defaultRowHeight="15"/>
  <cols>
    <col min="1" max="1" width="13.5703125" style="100" customWidth="1"/>
    <col min="2" max="3" width="13.7109375" style="102" customWidth="1"/>
    <col min="4" max="4" width="13.7109375" style="103" customWidth="1"/>
    <col min="5" max="5" width="14.7109375" style="104" customWidth="1"/>
    <col min="6" max="7" width="13.7109375" style="101" customWidth="1"/>
    <col min="8" max="10" width="13.7109375" style="103" customWidth="1"/>
    <col min="11" max="11" width="28.140625" style="103" customWidth="1"/>
    <col min="12" max="14" width="6.7109375" customWidth="1"/>
    <col min="15" max="17" width="10.7109375" customWidth="1"/>
    <col min="18" max="18" width="17.42578125" customWidth="1"/>
    <col min="19" max="19" width="10.7109375" customWidth="1"/>
    <col min="20" max="23" width="6.7109375" customWidth="1"/>
    <col min="24" max="26" width="10.7109375" customWidth="1"/>
    <col min="27" max="27" width="17.42578125" customWidth="1"/>
    <col min="28" max="28" width="10.7109375" customWidth="1"/>
    <col min="29" max="32" width="6.7109375" customWidth="1"/>
    <col min="33" max="35" width="10.7109375" customWidth="1"/>
    <col min="36" max="36" width="17.42578125" customWidth="1"/>
    <col min="37" max="37" width="10.7109375" customWidth="1"/>
    <col min="38" max="41" width="6.7109375" customWidth="1"/>
    <col min="42" max="44" width="10.7109375" customWidth="1"/>
    <col min="45" max="45" width="17.42578125" customWidth="1"/>
    <col min="46" max="46" width="10.7109375" customWidth="1"/>
    <col min="47" max="50" width="6.7109375" customWidth="1"/>
    <col min="51" max="53" width="10.7109375" customWidth="1"/>
    <col min="54" max="54" width="17.42578125" customWidth="1"/>
    <col min="55" max="55" width="10.7109375" customWidth="1"/>
    <col min="56" max="59" width="6.7109375" customWidth="1"/>
    <col min="60" max="62" width="10.7109375" customWidth="1"/>
    <col min="63" max="63" width="17.42578125" customWidth="1"/>
    <col min="64" max="64" width="10.7109375" customWidth="1"/>
    <col min="65" max="68" width="6.7109375" customWidth="1"/>
    <col min="69" max="71" width="10.7109375" customWidth="1"/>
    <col min="72" max="72" width="17.42578125" customWidth="1"/>
    <col min="73" max="73" width="10.7109375" customWidth="1"/>
    <col min="74" max="77" width="6.7109375" customWidth="1"/>
    <col min="78" max="80" width="10.7109375" customWidth="1"/>
    <col min="81" max="81" width="17.42578125" customWidth="1"/>
    <col min="82" max="82" width="10.7109375" customWidth="1"/>
    <col min="83" max="86" width="6.7109375" customWidth="1"/>
    <col min="87" max="89" width="10.7109375" customWidth="1"/>
    <col min="90" max="90" width="17.42578125" customWidth="1"/>
    <col min="91" max="91" width="10.7109375" customWidth="1"/>
    <col min="92" max="95" width="6.7109375" customWidth="1"/>
    <col min="96" max="98" width="10.7109375" customWidth="1"/>
    <col min="99" max="99" width="17.42578125" customWidth="1"/>
    <col min="100" max="100" width="10.7109375" customWidth="1"/>
    <col min="101" max="104" width="6.7109375" customWidth="1"/>
    <col min="105" max="107" width="10.7109375" customWidth="1"/>
    <col min="108" max="108" width="17.42578125" customWidth="1"/>
    <col min="109" max="109" width="10.7109375" customWidth="1"/>
    <col min="110" max="113" width="6.7109375" customWidth="1"/>
    <col min="114" max="116" width="10.7109375" customWidth="1"/>
    <col min="117" max="117" width="17.42578125" customWidth="1"/>
    <col min="118" max="118" width="10.7109375" customWidth="1"/>
    <col min="119" max="122" width="6.7109375" customWidth="1"/>
    <col min="123" max="125" width="10.7109375" customWidth="1"/>
    <col min="126" max="126" width="17.42578125" customWidth="1"/>
    <col min="127" max="127" width="10.7109375" customWidth="1"/>
    <col min="128" max="131" width="6.7109375" customWidth="1"/>
    <col min="132" max="134" width="10.7109375" customWidth="1"/>
    <col min="135" max="135" width="17.42578125" customWidth="1"/>
    <col min="136" max="136" width="10.7109375" customWidth="1"/>
    <col min="137" max="140" width="6.7109375" customWidth="1"/>
    <col min="141" max="143" width="10.7109375" customWidth="1"/>
    <col min="144" max="144" width="17.42578125" customWidth="1"/>
    <col min="145" max="145" width="10.7109375" customWidth="1"/>
    <col min="146" max="149" width="6.7109375" customWidth="1"/>
    <col min="150" max="152" width="10.7109375" customWidth="1"/>
    <col min="153" max="153" width="17.42578125" customWidth="1"/>
    <col min="154" max="154" width="10.7109375" customWidth="1"/>
    <col min="155" max="158" width="6.7109375" customWidth="1"/>
    <col min="159" max="161" width="10.7109375" customWidth="1"/>
    <col min="162" max="162" width="17.42578125" customWidth="1"/>
    <col min="163" max="163" width="10.7109375" customWidth="1"/>
    <col min="164" max="167" width="6.7109375" customWidth="1"/>
    <col min="168" max="170" width="10.7109375" customWidth="1"/>
    <col min="171" max="171" width="17.42578125" customWidth="1"/>
    <col min="172" max="172" width="10.7109375" customWidth="1"/>
    <col min="173" max="176" width="6.7109375" customWidth="1"/>
    <col min="177" max="179" width="10.7109375" customWidth="1"/>
    <col min="180" max="180" width="17.42578125" customWidth="1"/>
    <col min="181" max="181" width="10.7109375" customWidth="1"/>
    <col min="182" max="185" width="6.7109375" customWidth="1"/>
    <col min="186" max="188" width="10.7109375" customWidth="1"/>
    <col min="189" max="189" width="17.42578125" customWidth="1"/>
    <col min="190" max="190" width="10.7109375" customWidth="1"/>
    <col min="191" max="194" width="6.7109375" customWidth="1"/>
    <col min="195" max="197" width="10.7109375" customWidth="1"/>
    <col min="198" max="198" width="17.42578125" customWidth="1"/>
    <col min="199" max="199" width="10.7109375" customWidth="1"/>
    <col min="200" max="203" width="6.7109375" customWidth="1"/>
    <col min="204" max="206" width="10.7109375" customWidth="1"/>
    <col min="207" max="207" width="17.42578125" customWidth="1"/>
    <col min="208" max="208" width="10.7109375" customWidth="1"/>
    <col min="209" max="212" width="6.7109375" customWidth="1"/>
    <col min="213" max="215" width="10.7109375" customWidth="1"/>
    <col min="216" max="216" width="17.42578125" customWidth="1"/>
    <col min="217" max="217" width="10.7109375" customWidth="1"/>
    <col min="218" max="221" width="6.7109375" customWidth="1"/>
    <col min="222" max="224" width="10.7109375" customWidth="1"/>
    <col min="225" max="225" width="17.42578125" customWidth="1"/>
    <col min="226" max="226" width="10.7109375" customWidth="1"/>
    <col min="227" max="230" width="6.7109375" customWidth="1"/>
    <col min="231" max="233" width="10.7109375" customWidth="1"/>
    <col min="234" max="234" width="17.42578125" customWidth="1"/>
    <col min="235" max="235" width="10.7109375" customWidth="1"/>
    <col min="236" max="239" width="6.7109375" customWidth="1"/>
    <col min="240" max="242" width="10.7109375" customWidth="1"/>
    <col min="243" max="243" width="17.42578125" customWidth="1"/>
    <col min="244" max="244" width="10.7109375" customWidth="1"/>
    <col min="245" max="248" width="6.7109375" customWidth="1"/>
    <col min="249" max="251" width="10.7109375" customWidth="1"/>
    <col min="252" max="252" width="17.42578125" customWidth="1"/>
    <col min="253" max="253" width="10.7109375" customWidth="1"/>
    <col min="254" max="257" width="6.7109375" customWidth="1"/>
    <col min="258" max="260" width="10.7109375" customWidth="1"/>
    <col min="261" max="261" width="17.42578125" customWidth="1"/>
    <col min="262" max="262" width="10.7109375" customWidth="1"/>
    <col min="263" max="266" width="6.7109375" customWidth="1"/>
    <col min="267" max="269" width="10.7109375" customWidth="1"/>
    <col min="270" max="270" width="17.42578125" customWidth="1"/>
    <col min="271" max="271" width="10.7109375" customWidth="1"/>
    <col min="272" max="275" width="6.7109375" customWidth="1"/>
    <col min="276" max="278" width="10.7109375" customWidth="1"/>
    <col min="279" max="279" width="17.42578125" customWidth="1"/>
    <col min="280" max="280" width="10.7109375" customWidth="1"/>
    <col min="281" max="284" width="6.7109375" customWidth="1"/>
    <col min="285" max="287" width="10.7109375" customWidth="1"/>
    <col min="288" max="288" width="17.42578125" customWidth="1"/>
    <col min="289" max="289" width="10.7109375" customWidth="1"/>
    <col min="290" max="293" width="6.7109375" customWidth="1"/>
    <col min="294" max="296" width="10.7109375" customWidth="1"/>
    <col min="297" max="297" width="17.42578125" customWidth="1"/>
    <col min="298" max="298" width="10.7109375" customWidth="1"/>
    <col min="299" max="302" width="6.7109375" customWidth="1"/>
    <col min="303" max="305" width="10.7109375" customWidth="1"/>
    <col min="306" max="306" width="17.42578125" customWidth="1"/>
    <col min="307" max="307" width="10.7109375" customWidth="1"/>
    <col min="308" max="311" width="6.7109375" customWidth="1"/>
    <col min="312" max="314" width="10.7109375" customWidth="1"/>
    <col min="315" max="315" width="17.42578125" customWidth="1"/>
    <col min="316" max="316" width="10.7109375" customWidth="1"/>
    <col min="317" max="320" width="6.7109375" customWidth="1"/>
    <col min="321" max="323" width="10.7109375" customWidth="1"/>
    <col min="324" max="324" width="17.42578125" customWidth="1"/>
    <col min="325" max="325" width="10.7109375" customWidth="1"/>
    <col min="326" max="329" width="6.7109375" customWidth="1"/>
    <col min="330" max="332" width="10.7109375" customWidth="1"/>
    <col min="333" max="333" width="17.42578125" customWidth="1"/>
    <col min="334" max="334" width="10.7109375" customWidth="1"/>
    <col min="335" max="338" width="6.7109375" customWidth="1"/>
    <col min="339" max="341" width="10.7109375" customWidth="1"/>
    <col min="342" max="342" width="17.42578125" customWidth="1"/>
    <col min="343" max="343" width="10.7109375" customWidth="1"/>
    <col min="344" max="347" width="6.7109375" customWidth="1"/>
    <col min="348" max="350" width="10.7109375" customWidth="1"/>
    <col min="351" max="351" width="17.42578125" customWidth="1"/>
    <col min="352" max="352" width="10.7109375" customWidth="1"/>
    <col min="353" max="356" width="6.7109375" customWidth="1"/>
    <col min="357" max="359" width="10.7109375" customWidth="1"/>
    <col min="360" max="360" width="17.42578125" customWidth="1"/>
    <col min="361" max="361" width="10.7109375" customWidth="1"/>
    <col min="362" max="365" width="6.7109375" customWidth="1"/>
    <col min="366" max="368" width="10.7109375" customWidth="1"/>
    <col min="369" max="369" width="17.42578125" customWidth="1"/>
    <col min="370" max="370" width="10.7109375" customWidth="1"/>
    <col min="371" max="374" width="6.7109375" customWidth="1"/>
    <col min="375" max="377" width="10.7109375" customWidth="1"/>
    <col min="378" max="378" width="17.42578125" customWidth="1"/>
    <col min="379" max="379" width="10.7109375" customWidth="1"/>
    <col min="380" max="383" width="6.7109375" customWidth="1"/>
    <col min="384" max="386" width="10.7109375" customWidth="1"/>
    <col min="387" max="387" width="17.42578125" customWidth="1"/>
    <col min="388" max="388" width="10.7109375" customWidth="1"/>
    <col min="389" max="392" width="6.7109375" customWidth="1"/>
    <col min="393" max="395" width="10.7109375" customWidth="1"/>
    <col min="396" max="396" width="17.42578125" customWidth="1"/>
    <col min="397" max="397" width="10.7109375" customWidth="1"/>
    <col min="398" max="401" width="6.7109375" customWidth="1"/>
    <col min="402" max="404" width="10.7109375" customWidth="1"/>
    <col min="405" max="405" width="17.42578125" customWidth="1"/>
    <col min="406" max="406" width="10.7109375" customWidth="1"/>
    <col min="407" max="410" width="6.7109375" customWidth="1"/>
    <col min="411" max="413" width="10.7109375" customWidth="1"/>
    <col min="414" max="414" width="17.42578125" customWidth="1"/>
    <col min="415" max="415" width="10.7109375" customWidth="1"/>
    <col min="416" max="419" width="6.7109375" customWidth="1"/>
    <col min="420" max="422" width="10.7109375" customWidth="1"/>
    <col min="423" max="423" width="17.42578125" customWidth="1"/>
    <col min="424" max="424" width="10.7109375" customWidth="1"/>
    <col min="425" max="428" width="6.7109375" customWidth="1"/>
    <col min="429" max="431" width="10.7109375" customWidth="1"/>
    <col min="432" max="432" width="17.42578125" customWidth="1"/>
    <col min="433" max="433" width="10.7109375" customWidth="1"/>
    <col min="434" max="437" width="6.7109375" customWidth="1"/>
    <col min="438" max="440" width="10.7109375" customWidth="1"/>
    <col min="441" max="441" width="17.42578125" customWidth="1"/>
    <col min="442" max="442" width="10.7109375" customWidth="1"/>
    <col min="443" max="446" width="6.7109375" customWidth="1"/>
    <col min="447" max="449" width="10.7109375" customWidth="1"/>
    <col min="450" max="450" width="17.42578125" customWidth="1"/>
    <col min="451" max="451" width="10.7109375" customWidth="1"/>
    <col min="452" max="455" width="6.7109375" customWidth="1"/>
    <col min="456" max="458" width="10.7109375" customWidth="1"/>
    <col min="459" max="459" width="17.42578125" customWidth="1"/>
    <col min="460" max="460" width="10.7109375" customWidth="1"/>
    <col min="461" max="464" width="6.7109375" customWidth="1"/>
    <col min="465" max="467" width="10.7109375" customWidth="1"/>
    <col min="468" max="468" width="17.42578125" customWidth="1"/>
    <col min="469" max="469" width="10.7109375" customWidth="1"/>
    <col min="470" max="473" width="6.7109375" customWidth="1"/>
    <col min="474" max="476" width="10.7109375" customWidth="1"/>
    <col min="477" max="477" width="17.42578125" customWidth="1"/>
    <col min="478" max="478" width="10.7109375" customWidth="1"/>
    <col min="479" max="482" width="6.7109375" customWidth="1"/>
    <col min="483" max="485" width="10.7109375" customWidth="1"/>
    <col min="486" max="486" width="17.42578125" customWidth="1"/>
    <col min="487" max="487" width="10.7109375" customWidth="1"/>
    <col min="488" max="491" width="6.7109375" customWidth="1"/>
    <col min="492" max="494" width="10.7109375" customWidth="1"/>
    <col min="495" max="495" width="17.42578125" customWidth="1"/>
    <col min="496" max="496" width="10.7109375" customWidth="1"/>
    <col min="497" max="500" width="6.7109375" customWidth="1"/>
    <col min="501" max="503" width="10.7109375" customWidth="1"/>
    <col min="504" max="504" width="17.42578125" customWidth="1"/>
    <col min="505" max="505" width="10.7109375" customWidth="1"/>
    <col min="506" max="509" width="6.7109375" customWidth="1"/>
    <col min="510" max="512" width="10.7109375" customWidth="1"/>
    <col min="513" max="513" width="17.42578125" customWidth="1"/>
    <col min="514" max="514" width="10.7109375" customWidth="1"/>
    <col min="515" max="518" width="6.7109375" customWidth="1"/>
    <col min="519" max="521" width="10.7109375" customWidth="1"/>
    <col min="522" max="522" width="17.42578125" customWidth="1"/>
    <col min="523" max="523" width="10.7109375" customWidth="1"/>
    <col min="524" max="527" width="6.7109375" customWidth="1"/>
    <col min="528" max="530" width="10.7109375" customWidth="1"/>
    <col min="531" max="531" width="17.42578125" customWidth="1"/>
    <col min="532" max="532" width="10.7109375" customWidth="1"/>
    <col min="533" max="536" width="6.7109375" customWidth="1"/>
    <col min="537" max="539" width="10.7109375" customWidth="1"/>
    <col min="540" max="540" width="17.42578125" customWidth="1"/>
    <col min="541" max="541" width="10.7109375" customWidth="1"/>
    <col min="542" max="545" width="6.7109375" customWidth="1"/>
    <col min="546" max="548" width="10.7109375" customWidth="1"/>
    <col min="549" max="549" width="17.42578125" customWidth="1"/>
    <col min="550" max="550" width="10.7109375" customWidth="1"/>
    <col min="551" max="554" width="6.7109375" customWidth="1"/>
    <col min="555" max="557" width="10.7109375" customWidth="1"/>
    <col min="558" max="558" width="17.42578125" customWidth="1"/>
    <col min="559" max="559" width="10.7109375" customWidth="1"/>
    <col min="560" max="563" width="6.7109375" customWidth="1"/>
    <col min="564" max="566" width="10.7109375" customWidth="1"/>
    <col min="567" max="567" width="17.42578125" customWidth="1"/>
    <col min="568" max="568" width="10.7109375" customWidth="1"/>
    <col min="569" max="572" width="6.7109375" customWidth="1"/>
    <col min="573" max="575" width="10.7109375" customWidth="1"/>
    <col min="576" max="576" width="17.42578125" customWidth="1"/>
    <col min="577" max="577" width="10.7109375" customWidth="1"/>
    <col min="578" max="581" width="6.7109375" customWidth="1"/>
    <col min="582" max="584" width="10.7109375" customWidth="1"/>
    <col min="585" max="585" width="17.42578125" customWidth="1"/>
    <col min="586" max="586" width="10.7109375" customWidth="1"/>
    <col min="587" max="590" width="6.7109375" customWidth="1"/>
    <col min="591" max="593" width="10.7109375" customWidth="1"/>
    <col min="594" max="594" width="17.42578125" customWidth="1"/>
    <col min="595" max="595" width="10.7109375" customWidth="1"/>
    <col min="596" max="599" width="6.7109375" customWidth="1"/>
    <col min="600" max="602" width="10.7109375" customWidth="1"/>
    <col min="603" max="603" width="17.42578125" customWidth="1"/>
    <col min="604" max="604" width="10.7109375" customWidth="1"/>
    <col min="605" max="608" width="6.7109375" customWidth="1"/>
    <col min="609" max="611" width="10.7109375" customWidth="1"/>
    <col min="612" max="612" width="17.42578125" customWidth="1"/>
    <col min="613" max="613" width="10.7109375" customWidth="1"/>
    <col min="614" max="617" width="6.7109375" customWidth="1"/>
    <col min="618" max="620" width="10.7109375" customWidth="1"/>
    <col min="621" max="621" width="17.42578125" customWidth="1"/>
    <col min="622" max="622" width="10.7109375" customWidth="1"/>
    <col min="623" max="626" width="6.7109375" customWidth="1"/>
    <col min="627" max="629" width="10.7109375" customWidth="1"/>
    <col min="630" max="630" width="17.42578125" customWidth="1"/>
    <col min="631" max="631" width="10.7109375" customWidth="1"/>
    <col min="632" max="635" width="6.7109375" customWidth="1"/>
    <col min="636" max="638" width="10.7109375" customWidth="1"/>
    <col min="639" max="639" width="17.42578125" customWidth="1"/>
    <col min="640" max="640" width="10.7109375" customWidth="1"/>
    <col min="641" max="644" width="6.7109375" customWidth="1"/>
    <col min="645" max="647" width="10.7109375" customWidth="1"/>
    <col min="648" max="648" width="17.42578125" customWidth="1"/>
    <col min="649" max="649" width="10.7109375" customWidth="1"/>
    <col min="650" max="653" width="6.7109375" customWidth="1"/>
    <col min="654" max="656" width="10.7109375" customWidth="1"/>
    <col min="657" max="657" width="17.42578125" customWidth="1"/>
    <col min="658" max="658" width="10.7109375" customWidth="1"/>
    <col min="659" max="662" width="6.7109375" customWidth="1"/>
    <col min="663" max="665" width="10.7109375" customWidth="1"/>
    <col min="666" max="666" width="17.42578125" customWidth="1"/>
    <col min="667" max="667" width="10.7109375" customWidth="1"/>
    <col min="668" max="671" width="6.7109375" customWidth="1"/>
    <col min="672" max="674" width="10.7109375" customWidth="1"/>
    <col min="675" max="675" width="17.42578125" customWidth="1"/>
    <col min="676" max="676" width="10.7109375" customWidth="1"/>
    <col min="677" max="680" width="6.7109375" customWidth="1"/>
    <col min="681" max="683" width="10.7109375" customWidth="1"/>
    <col min="684" max="684" width="17.42578125" customWidth="1"/>
    <col min="685" max="685" width="10.7109375" customWidth="1"/>
    <col min="686" max="689" width="6.7109375" customWidth="1"/>
    <col min="690" max="692" width="10.7109375" customWidth="1"/>
    <col min="693" max="693" width="17.42578125" customWidth="1"/>
    <col min="694" max="694" width="10.7109375" customWidth="1"/>
    <col min="695" max="698" width="6.7109375" customWidth="1"/>
    <col min="699" max="701" width="10.7109375" customWidth="1"/>
    <col min="702" max="702" width="17.42578125" customWidth="1"/>
  </cols>
  <sheetData>
    <row r="1" spans="1:11" ht="20.45" customHeight="1">
      <c r="A1" s="174" t="s">
        <v>0</v>
      </c>
      <c r="B1" s="175"/>
      <c r="C1" s="176">
        <v>45489</v>
      </c>
      <c r="D1" s="177"/>
      <c r="E1" s="178"/>
      <c r="F1" s="174" t="s">
        <v>1</v>
      </c>
      <c r="G1" s="175"/>
      <c r="H1" s="179" t="s">
        <v>109</v>
      </c>
      <c r="I1" s="180"/>
      <c r="J1" s="180"/>
      <c r="K1" s="181"/>
    </row>
    <row r="2" spans="1:11" ht="11.25" customHeight="1">
      <c r="A2" s="1"/>
      <c r="B2" s="2"/>
      <c r="C2" s="2"/>
      <c r="D2" s="2"/>
      <c r="E2" s="3"/>
      <c r="F2" s="3"/>
      <c r="G2" s="3"/>
      <c r="H2" s="2"/>
      <c r="I2" s="2"/>
      <c r="J2" s="2"/>
      <c r="K2" s="2"/>
    </row>
    <row r="3" spans="1:11" ht="27" customHeight="1">
      <c r="A3" s="182" t="s">
        <v>2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20.45" customHeight="1">
      <c r="A4" s="183" t="s">
        <v>110</v>
      </c>
      <c r="B4" s="184"/>
      <c r="C4" s="184"/>
      <c r="D4" s="184"/>
      <c r="E4" s="184"/>
      <c r="F4" s="184"/>
      <c r="G4" s="184"/>
      <c r="H4" s="184"/>
      <c r="I4" s="184"/>
      <c r="J4" s="184"/>
      <c r="K4" s="185"/>
    </row>
    <row r="5" spans="1:11" s="5" customFormat="1" ht="26.25" customHeight="1">
      <c r="A5" s="186" t="s">
        <v>4</v>
      </c>
      <c r="B5" s="188" t="s">
        <v>5</v>
      </c>
      <c r="C5" s="189"/>
      <c r="D5" s="189"/>
      <c r="E5" s="190"/>
      <c r="F5" s="191" t="s">
        <v>6</v>
      </c>
      <c r="G5" s="192"/>
      <c r="H5" s="192"/>
      <c r="I5" s="192"/>
      <c r="J5" s="192"/>
      <c r="K5" s="193"/>
    </row>
    <row r="6" spans="1:11" ht="20.25" customHeight="1">
      <c r="A6" s="187"/>
      <c r="B6" s="6" t="s">
        <v>7</v>
      </c>
      <c r="C6" s="6" t="s">
        <v>8</v>
      </c>
      <c r="D6" s="4" t="s">
        <v>9</v>
      </c>
      <c r="E6" s="7" t="s">
        <v>10</v>
      </c>
      <c r="F6" s="194"/>
      <c r="G6" s="195"/>
      <c r="H6" s="195"/>
      <c r="I6" s="195"/>
      <c r="J6" s="195"/>
      <c r="K6" s="196"/>
    </row>
    <row r="7" spans="1:11" ht="20.45" customHeight="1">
      <c r="A7" s="8">
        <v>77</v>
      </c>
      <c r="B7" s="9"/>
      <c r="C7" s="9">
        <v>25000</v>
      </c>
      <c r="D7" s="10"/>
      <c r="E7" s="11"/>
      <c r="F7" s="155" t="s">
        <v>111</v>
      </c>
      <c r="G7" s="156"/>
      <c r="H7" s="156"/>
      <c r="I7" s="156"/>
      <c r="J7" s="156"/>
      <c r="K7" s="157"/>
    </row>
    <row r="8" spans="1:11" ht="20.45" customHeight="1">
      <c r="A8" s="8">
        <v>78</v>
      </c>
      <c r="B8" s="9"/>
      <c r="C8" s="9">
        <v>32980</v>
      </c>
      <c r="D8" s="10"/>
      <c r="E8" s="11"/>
      <c r="F8" s="155" t="s">
        <v>112</v>
      </c>
      <c r="G8" s="156"/>
      <c r="H8" s="156"/>
      <c r="I8" s="156"/>
      <c r="J8" s="156"/>
      <c r="K8" s="157"/>
    </row>
    <row r="9" spans="1:11" ht="20.45" customHeight="1">
      <c r="A9" s="8"/>
      <c r="B9" s="9">
        <v>35000</v>
      </c>
      <c r="C9" s="9"/>
      <c r="D9" s="10"/>
      <c r="E9" s="11"/>
      <c r="F9" s="155" t="s">
        <v>113</v>
      </c>
      <c r="G9" s="156"/>
      <c r="H9" s="156"/>
      <c r="I9" s="156"/>
      <c r="J9" s="156"/>
      <c r="K9" s="157"/>
    </row>
    <row r="10" spans="1:11" ht="20.45" customHeight="1">
      <c r="A10" s="8"/>
      <c r="B10" s="9">
        <v>24990</v>
      </c>
      <c r="C10" s="9"/>
      <c r="D10" s="10"/>
      <c r="E10" s="11"/>
      <c r="F10" s="155" t="s">
        <v>114</v>
      </c>
      <c r="G10" s="156"/>
      <c r="H10" s="156"/>
      <c r="I10" s="156"/>
      <c r="J10" s="156"/>
      <c r="K10" s="157"/>
    </row>
    <row r="11" spans="1:11" ht="20.45" customHeight="1">
      <c r="A11" s="8"/>
      <c r="B11" s="9">
        <v>19690</v>
      </c>
      <c r="C11" s="9"/>
      <c r="D11" s="10"/>
      <c r="E11" s="11"/>
      <c r="F11" s="155" t="s">
        <v>115</v>
      </c>
      <c r="G11" s="156"/>
      <c r="H11" s="156"/>
      <c r="I11" s="156"/>
      <c r="J11" s="156"/>
      <c r="K11" s="157"/>
    </row>
    <row r="12" spans="1:11" ht="20.45" customHeight="1">
      <c r="A12" s="8">
        <v>80</v>
      </c>
      <c r="B12" s="9"/>
      <c r="C12" s="9">
        <v>17500</v>
      </c>
      <c r="D12" s="10"/>
      <c r="E12" s="11"/>
      <c r="F12" s="155" t="s">
        <v>116</v>
      </c>
      <c r="G12" s="156"/>
      <c r="H12" s="156"/>
      <c r="I12" s="156"/>
      <c r="J12" s="156"/>
      <c r="K12" s="157"/>
    </row>
    <row r="13" spans="1:11" ht="20.45" customHeight="1">
      <c r="A13" s="8">
        <v>79</v>
      </c>
      <c r="B13" s="9"/>
      <c r="C13" s="9">
        <v>24990</v>
      </c>
      <c r="D13" s="10"/>
      <c r="E13" s="11"/>
      <c r="F13" s="155" t="s">
        <v>117</v>
      </c>
      <c r="G13" s="156"/>
      <c r="H13" s="156"/>
      <c r="I13" s="156"/>
      <c r="J13" s="156"/>
      <c r="K13" s="157"/>
    </row>
    <row r="14" spans="1:11" ht="20.45" customHeight="1">
      <c r="A14" s="8"/>
      <c r="B14" s="9"/>
      <c r="C14" s="9"/>
      <c r="D14" s="10">
        <v>31100</v>
      </c>
      <c r="E14" s="11"/>
      <c r="F14" s="203" t="s">
        <v>118</v>
      </c>
      <c r="G14" s="204"/>
      <c r="H14" s="204"/>
      <c r="I14" s="204"/>
      <c r="J14" s="204"/>
      <c r="K14" s="205"/>
    </row>
    <row r="15" spans="1:11" ht="20.45" customHeight="1">
      <c r="A15" s="8"/>
      <c r="B15" s="9">
        <v>3800</v>
      </c>
      <c r="C15" s="9"/>
      <c r="D15" s="10"/>
      <c r="E15" s="11"/>
      <c r="F15" s="155" t="s">
        <v>119</v>
      </c>
      <c r="G15" s="156"/>
      <c r="H15" s="156"/>
      <c r="I15" s="156"/>
      <c r="J15" s="156"/>
      <c r="K15" s="157"/>
    </row>
    <row r="16" spans="1:11" ht="20.45" customHeight="1">
      <c r="A16" s="8"/>
      <c r="B16" s="9"/>
      <c r="C16" s="9"/>
      <c r="D16" s="10"/>
      <c r="E16" s="11"/>
      <c r="F16" s="155"/>
      <c r="G16" s="156"/>
      <c r="H16" s="156"/>
      <c r="I16" s="156"/>
      <c r="J16" s="156"/>
      <c r="K16" s="157"/>
    </row>
    <row r="17" spans="1:11" ht="20.45" customHeight="1">
      <c r="A17" s="8"/>
      <c r="B17" s="9"/>
      <c r="C17" s="9"/>
      <c r="D17" s="10"/>
      <c r="E17" s="11"/>
      <c r="F17" s="155"/>
      <c r="G17" s="156"/>
      <c r="H17" s="156"/>
      <c r="I17" s="156"/>
      <c r="J17" s="156"/>
      <c r="K17" s="157"/>
    </row>
    <row r="18" spans="1:11" s="12" customFormat="1" ht="20.45" customHeight="1">
      <c r="A18" s="8"/>
      <c r="B18" s="9"/>
      <c r="C18" s="9"/>
      <c r="D18" s="10"/>
      <c r="E18" s="11"/>
      <c r="F18" s="155"/>
      <c r="G18" s="156"/>
      <c r="H18" s="156"/>
      <c r="I18" s="156"/>
      <c r="J18" s="156"/>
      <c r="K18" s="157"/>
    </row>
    <row r="19" spans="1:11" ht="20.45" customHeight="1">
      <c r="A19" s="8"/>
      <c r="B19" s="9"/>
      <c r="C19" s="9"/>
      <c r="D19" s="10"/>
      <c r="E19" s="11"/>
      <c r="F19" s="155"/>
      <c r="G19" s="156"/>
      <c r="H19" s="156"/>
      <c r="I19" s="156"/>
      <c r="J19" s="156"/>
      <c r="K19" s="157"/>
    </row>
    <row r="20" spans="1:11" s="12" customFormat="1" ht="20.45" customHeight="1">
      <c r="A20" s="8"/>
      <c r="B20" s="9"/>
      <c r="C20" s="9"/>
      <c r="D20" s="10"/>
      <c r="E20" s="11"/>
      <c r="F20" s="155"/>
      <c r="G20" s="156"/>
      <c r="H20" s="156"/>
      <c r="I20" s="156"/>
      <c r="J20" s="156"/>
      <c r="K20" s="157"/>
    </row>
    <row r="21" spans="1:11" ht="20.45" customHeight="1">
      <c r="A21" s="8"/>
      <c r="B21" s="9"/>
      <c r="C21" s="9"/>
      <c r="D21" s="10"/>
      <c r="E21" s="11"/>
      <c r="F21" s="155"/>
      <c r="G21" s="156"/>
      <c r="H21" s="156"/>
      <c r="I21" s="156"/>
      <c r="J21" s="156"/>
      <c r="K21" s="157"/>
    </row>
    <row r="22" spans="1:11" ht="20.45" customHeight="1">
      <c r="A22" s="8"/>
      <c r="B22" s="9"/>
      <c r="C22" s="9"/>
      <c r="D22" s="10"/>
      <c r="E22" s="11"/>
      <c r="F22" s="155"/>
      <c r="G22" s="156"/>
      <c r="H22" s="156"/>
      <c r="I22" s="156"/>
      <c r="J22" s="156"/>
      <c r="K22" s="157"/>
    </row>
    <row r="23" spans="1:11" ht="20.45" customHeight="1">
      <c r="A23" s="8"/>
      <c r="B23" s="9"/>
      <c r="C23" s="9"/>
      <c r="D23" s="10"/>
      <c r="E23" s="11"/>
      <c r="F23" s="155"/>
      <c r="G23" s="156"/>
      <c r="H23" s="156"/>
      <c r="I23" s="156"/>
      <c r="J23" s="156"/>
      <c r="K23" s="157"/>
    </row>
    <row r="24" spans="1:11" ht="20.25" customHeight="1">
      <c r="A24" s="14" t="s">
        <v>11</v>
      </c>
      <c r="B24" s="15">
        <f>SUM($B7:$B23)</f>
        <v>83480</v>
      </c>
      <c r="C24" s="15">
        <f>SUM($C7:$C23)</f>
        <v>100470</v>
      </c>
      <c r="D24" s="15">
        <f>SUM($D7:$D23)</f>
        <v>31100</v>
      </c>
      <c r="E24" s="15">
        <f>SUM($E7:$E23)</f>
        <v>0</v>
      </c>
      <c r="F24" s="106"/>
      <c r="G24" s="107"/>
      <c r="H24" s="108"/>
      <c r="I24" s="108"/>
      <c r="J24" s="108"/>
      <c r="K24" s="108"/>
    </row>
    <row r="25" spans="1:11" ht="3.75" customHeight="1">
      <c r="A25" s="13"/>
      <c r="B25" s="17"/>
      <c r="C25" s="17"/>
      <c r="D25" s="17"/>
      <c r="E25" s="18"/>
      <c r="F25" s="16"/>
      <c r="G25" s="16"/>
      <c r="H25" s="19"/>
      <c r="I25" s="19"/>
      <c r="J25" s="105"/>
      <c r="K25" s="19"/>
    </row>
    <row r="26" spans="1:11" ht="21.75" customHeight="1">
      <c r="A26" s="13"/>
      <c r="B26" s="17"/>
      <c r="C26" s="17"/>
      <c r="D26" s="17"/>
      <c r="E26" s="18"/>
      <c r="F26" s="16"/>
      <c r="G26" s="16"/>
      <c r="H26" s="19"/>
      <c r="I26" s="20"/>
      <c r="J26" s="21" t="s">
        <v>12</v>
      </c>
      <c r="K26" s="22">
        <f>$B$24+$C$24+$D$24+$E$24</f>
        <v>215050</v>
      </c>
    </row>
    <row r="27" spans="1:11" ht="12" customHeight="1">
      <c r="A27" s="13"/>
      <c r="B27" s="17"/>
      <c r="C27" s="17"/>
      <c r="D27" s="17"/>
      <c r="E27" s="18"/>
      <c r="F27" s="23"/>
      <c r="G27" s="23"/>
      <c r="H27" s="17"/>
      <c r="I27" s="17"/>
      <c r="J27" s="17"/>
      <c r="K27" s="24"/>
    </row>
    <row r="28" spans="1:11" ht="26.25" customHeight="1">
      <c r="A28" s="25"/>
      <c r="B28" s="27"/>
      <c r="C28" s="27"/>
      <c r="D28" s="27"/>
      <c r="E28" s="28"/>
      <c r="F28" s="26"/>
      <c r="G28" s="28" t="s">
        <v>13</v>
      </c>
      <c r="H28" s="27"/>
      <c r="I28" s="27"/>
      <c r="J28" s="27"/>
      <c r="K28" s="27"/>
    </row>
    <row r="29" spans="1:11" ht="19.5" customHeight="1">
      <c r="A29" s="158" t="s">
        <v>14</v>
      </c>
      <c r="B29" s="159"/>
      <c r="C29" s="29"/>
      <c r="D29" s="30" t="s">
        <v>15</v>
      </c>
      <c r="E29" s="31"/>
      <c r="F29" s="164" t="s">
        <v>16</v>
      </c>
      <c r="G29" s="164"/>
      <c r="H29" s="159"/>
      <c r="I29" s="166" t="s">
        <v>17</v>
      </c>
      <c r="J29" s="167"/>
      <c r="K29" s="168"/>
    </row>
    <row r="30" spans="1:11" ht="18.75" customHeight="1">
      <c r="A30" s="160"/>
      <c r="B30" s="161"/>
      <c r="C30" s="169" t="s">
        <v>18</v>
      </c>
      <c r="D30" s="170"/>
      <c r="E30" s="32" t="s">
        <v>19</v>
      </c>
      <c r="F30" s="165"/>
      <c r="G30" s="165"/>
      <c r="H30" s="161"/>
      <c r="I30" s="169" t="s">
        <v>18</v>
      </c>
      <c r="J30" s="170"/>
      <c r="K30" s="32" t="s">
        <v>19</v>
      </c>
    </row>
    <row r="31" spans="1:11" ht="15.75" customHeight="1">
      <c r="A31" s="160"/>
      <c r="B31" s="161"/>
      <c r="C31" s="33" t="s">
        <v>20</v>
      </c>
      <c r="D31" s="34"/>
      <c r="E31" s="35">
        <f>B24</f>
        <v>83480</v>
      </c>
      <c r="F31" s="165"/>
      <c r="G31" s="165"/>
      <c r="H31" s="161"/>
      <c r="I31" s="33" t="s">
        <v>7</v>
      </c>
      <c r="J31" s="34"/>
      <c r="K31" s="36">
        <v>45000</v>
      </c>
    </row>
    <row r="32" spans="1:11" ht="15.75" customHeight="1">
      <c r="A32" s="160"/>
      <c r="B32" s="161"/>
      <c r="C32" s="33" t="s">
        <v>21</v>
      </c>
      <c r="D32" s="37"/>
      <c r="E32" s="35">
        <f>C24</f>
        <v>100470</v>
      </c>
      <c r="F32" s="165"/>
      <c r="G32" s="165"/>
      <c r="H32" s="161"/>
      <c r="I32" s="38" t="s">
        <v>22</v>
      </c>
      <c r="J32" s="39"/>
      <c r="K32" s="40"/>
    </row>
    <row r="33" spans="1:11" ht="15.75" customHeight="1">
      <c r="A33" s="160"/>
      <c r="B33" s="161"/>
      <c r="C33" s="33" t="s">
        <v>23</v>
      </c>
      <c r="D33" s="37"/>
      <c r="E33" s="35">
        <f>D24</f>
        <v>31100</v>
      </c>
      <c r="F33" s="165"/>
      <c r="G33" s="165"/>
      <c r="H33" s="161"/>
      <c r="I33" s="38" t="s">
        <v>24</v>
      </c>
      <c r="J33" s="39"/>
      <c r="K33" s="40"/>
    </row>
    <row r="34" spans="1:11" ht="15.75" customHeight="1">
      <c r="A34" s="160"/>
      <c r="B34" s="161"/>
      <c r="C34" s="33" t="s">
        <v>25</v>
      </c>
      <c r="D34" s="37"/>
      <c r="E34" s="35">
        <f>E24</f>
        <v>0</v>
      </c>
      <c r="F34" s="165"/>
      <c r="G34" s="165"/>
      <c r="H34" s="161"/>
      <c r="I34" s="38"/>
      <c r="J34" s="39"/>
      <c r="K34" s="40"/>
    </row>
    <row r="35" spans="1:11" ht="15.75" customHeight="1">
      <c r="A35" s="160"/>
      <c r="B35" s="161"/>
      <c r="C35" s="41" t="s">
        <v>12</v>
      </c>
      <c r="D35" s="42"/>
      <c r="E35" s="43">
        <f>SUM(E31:E34)</f>
        <v>215050</v>
      </c>
      <c r="F35" s="165"/>
      <c r="G35" s="165"/>
      <c r="H35" s="161"/>
      <c r="I35" s="38"/>
      <c r="J35" s="39"/>
      <c r="K35" s="40"/>
    </row>
    <row r="36" spans="1:11" ht="15.75" customHeight="1">
      <c r="A36" s="160"/>
      <c r="B36" s="161"/>
      <c r="C36" s="171" t="s">
        <v>26</v>
      </c>
      <c r="D36" s="172"/>
      <c r="E36" s="173"/>
      <c r="F36" s="165"/>
      <c r="G36" s="165"/>
      <c r="H36" s="161"/>
      <c r="I36" s="38"/>
      <c r="J36" s="39"/>
      <c r="K36" s="40"/>
    </row>
    <row r="37" spans="1:11" ht="15.75" customHeight="1">
      <c r="A37" s="160"/>
      <c r="B37" s="161"/>
      <c r="C37" s="169" t="s">
        <v>18</v>
      </c>
      <c r="D37" s="170"/>
      <c r="E37" s="32" t="s">
        <v>19</v>
      </c>
      <c r="F37" s="165"/>
      <c r="G37" s="165"/>
      <c r="H37" s="161"/>
      <c r="I37" s="38"/>
      <c r="J37" s="39"/>
      <c r="K37" s="40"/>
    </row>
    <row r="38" spans="1:11" ht="15.75" customHeight="1">
      <c r="A38" s="160"/>
      <c r="B38" s="161"/>
      <c r="C38" s="44" t="s">
        <v>7</v>
      </c>
      <c r="D38" s="45"/>
      <c r="E38" s="46"/>
      <c r="F38" s="165"/>
      <c r="G38" s="165"/>
      <c r="H38" s="161"/>
      <c r="I38" s="41" t="s">
        <v>27</v>
      </c>
      <c r="J38" s="42"/>
      <c r="K38" s="43">
        <f>SUM(K31:K37)</f>
        <v>45000</v>
      </c>
    </row>
    <row r="39" spans="1:11" ht="15.75" customHeight="1">
      <c r="A39" s="160"/>
      <c r="B39" s="161"/>
      <c r="C39" s="47" t="s">
        <v>24</v>
      </c>
      <c r="D39" s="48"/>
      <c r="E39" s="49"/>
      <c r="F39" s="165"/>
      <c r="G39" s="165"/>
      <c r="H39" s="161"/>
      <c r="I39" s="166" t="s">
        <v>28</v>
      </c>
      <c r="J39" s="167"/>
      <c r="K39" s="168"/>
    </row>
    <row r="40" spans="1:11" ht="18.75" customHeight="1">
      <c r="A40" s="162"/>
      <c r="B40" s="163"/>
      <c r="C40" s="41" t="s">
        <v>29</v>
      </c>
      <c r="D40" s="42"/>
      <c r="E40" s="43">
        <f>SUM(E38:E39)</f>
        <v>0</v>
      </c>
      <c r="F40" s="165"/>
      <c r="G40" s="165"/>
      <c r="H40" s="161"/>
      <c r="I40" s="38" t="s">
        <v>30</v>
      </c>
      <c r="J40" s="48"/>
      <c r="K40" s="49">
        <v>100000</v>
      </c>
    </row>
    <row r="41" spans="1:11" ht="15.75" customHeight="1">
      <c r="A41" s="13"/>
      <c r="B41" s="50"/>
      <c r="C41" s="51"/>
      <c r="D41" s="52" t="s">
        <v>31</v>
      </c>
      <c r="E41" s="53">
        <f>E35+E40</f>
        <v>215050</v>
      </c>
      <c r="F41" s="54"/>
      <c r="G41" s="54"/>
      <c r="H41" s="55"/>
      <c r="I41" s="51"/>
      <c r="J41" s="52" t="s">
        <v>32</v>
      </c>
      <c r="K41" s="53">
        <f>K38+K40</f>
        <v>145000</v>
      </c>
    </row>
    <row r="42" spans="1:11" ht="11.25" customHeight="1">
      <c r="A42" s="13"/>
      <c r="B42" s="18"/>
      <c r="C42" s="18"/>
      <c r="D42" s="18"/>
      <c r="E42" s="18"/>
      <c r="F42" s="57"/>
      <c r="G42" s="57"/>
      <c r="H42" s="135"/>
      <c r="I42" s="135"/>
      <c r="J42" s="17"/>
      <c r="K42" s="17"/>
    </row>
    <row r="43" spans="1:11" ht="28.5">
      <c r="A43" s="25"/>
      <c r="B43" s="27"/>
      <c r="C43" s="27"/>
      <c r="D43" s="27"/>
      <c r="E43" s="28"/>
      <c r="F43" s="26"/>
      <c r="G43" s="28" t="s">
        <v>33</v>
      </c>
      <c r="H43" s="27"/>
      <c r="I43" s="27"/>
      <c r="J43" s="27"/>
      <c r="K43" s="27"/>
    </row>
    <row r="44" spans="1:11" ht="17.100000000000001" customHeight="1">
      <c r="A44" s="136" t="s">
        <v>34</v>
      </c>
      <c r="B44" s="137"/>
      <c r="C44" s="58" t="s">
        <v>35</v>
      </c>
      <c r="D44" s="58" t="s">
        <v>36</v>
      </c>
      <c r="E44" s="59" t="s">
        <v>19</v>
      </c>
      <c r="F44" s="142" t="s">
        <v>37</v>
      </c>
      <c r="G44" s="143"/>
      <c r="H44" s="137"/>
      <c r="I44" s="58" t="s">
        <v>35</v>
      </c>
      <c r="J44" s="58" t="s">
        <v>36</v>
      </c>
      <c r="K44" s="58" t="s">
        <v>19</v>
      </c>
    </row>
    <row r="45" spans="1:11" ht="17.100000000000001" customHeight="1">
      <c r="A45" s="138"/>
      <c r="B45" s="139"/>
      <c r="C45" s="60">
        <v>20000</v>
      </c>
      <c r="D45" s="61"/>
      <c r="E45" s="62">
        <f>C45*D45</f>
        <v>0</v>
      </c>
      <c r="F45" s="144"/>
      <c r="G45" s="145"/>
      <c r="H45" s="139"/>
      <c r="I45" s="60">
        <v>500</v>
      </c>
      <c r="J45" s="61">
        <v>3</v>
      </c>
      <c r="K45" s="63">
        <f>I45*J45</f>
        <v>1500</v>
      </c>
    </row>
    <row r="46" spans="1:11" ht="17.100000000000001" customHeight="1">
      <c r="A46" s="138"/>
      <c r="B46" s="139"/>
      <c r="C46" s="60">
        <v>10000</v>
      </c>
      <c r="D46" s="61">
        <v>7</v>
      </c>
      <c r="E46" s="62">
        <f>C46*D46</f>
        <v>70000</v>
      </c>
      <c r="F46" s="144"/>
      <c r="G46" s="145"/>
      <c r="H46" s="139"/>
      <c r="I46" s="60">
        <v>100</v>
      </c>
      <c r="J46" s="61">
        <v>27</v>
      </c>
      <c r="K46" s="63">
        <f>I46*J46</f>
        <v>2700</v>
      </c>
    </row>
    <row r="47" spans="1:11" ht="17.100000000000001" customHeight="1">
      <c r="A47" s="138"/>
      <c r="B47" s="139"/>
      <c r="C47" s="60">
        <v>5000</v>
      </c>
      <c r="D47" s="61"/>
      <c r="E47" s="62">
        <f>C47*D47</f>
        <v>0</v>
      </c>
      <c r="F47" s="144"/>
      <c r="G47" s="145"/>
      <c r="H47" s="139"/>
      <c r="I47" s="60">
        <v>50</v>
      </c>
      <c r="J47" s="61">
        <v>8</v>
      </c>
      <c r="K47" s="63">
        <f>I47*J47</f>
        <v>400</v>
      </c>
    </row>
    <row r="48" spans="1:11" ht="17.100000000000001" customHeight="1">
      <c r="A48" s="138"/>
      <c r="B48" s="139"/>
      <c r="C48" s="60">
        <v>2000</v>
      </c>
      <c r="D48" s="61"/>
      <c r="E48" s="62">
        <f>C48*D48</f>
        <v>0</v>
      </c>
      <c r="F48" s="144"/>
      <c r="G48" s="145"/>
      <c r="H48" s="139"/>
      <c r="I48" s="60">
        <v>10</v>
      </c>
      <c r="J48" s="61">
        <v>13</v>
      </c>
      <c r="K48" s="63">
        <f>I48*J48</f>
        <v>130</v>
      </c>
    </row>
    <row r="49" spans="1:11" ht="17.100000000000001" customHeight="1">
      <c r="A49" s="140"/>
      <c r="B49" s="141"/>
      <c r="C49" s="60">
        <v>1000</v>
      </c>
      <c r="D49" s="61"/>
      <c r="E49" s="62">
        <f>C49*D49</f>
        <v>0</v>
      </c>
      <c r="F49" s="146"/>
      <c r="G49" s="147"/>
      <c r="H49" s="141"/>
      <c r="I49" s="60"/>
      <c r="J49" s="64"/>
      <c r="K49" s="63"/>
    </row>
    <row r="50" spans="1:11" ht="18.75">
      <c r="A50" s="13"/>
      <c r="B50" s="65"/>
      <c r="C50" s="66"/>
      <c r="D50" s="67" t="s">
        <v>38</v>
      </c>
      <c r="E50" s="68">
        <f>SUM(E45:E49)</f>
        <v>70000</v>
      </c>
      <c r="F50" s="54"/>
      <c r="G50" s="54"/>
      <c r="H50" s="55"/>
      <c r="I50" s="66"/>
      <c r="J50" s="67" t="s">
        <v>39</v>
      </c>
      <c r="K50" s="68">
        <f>SUM(K45:K49)</f>
        <v>4730</v>
      </c>
    </row>
    <row r="51" spans="1:11" ht="18.75">
      <c r="A51" s="13"/>
      <c r="B51" s="18"/>
      <c r="C51" s="18"/>
      <c r="D51" s="18"/>
      <c r="E51" s="18"/>
      <c r="F51" s="16"/>
      <c r="G51" s="16"/>
      <c r="H51" s="65"/>
      <c r="I51" s="65"/>
      <c r="J51" s="17"/>
      <c r="K51" s="17"/>
    </row>
    <row r="52" spans="1:11" ht="18" customHeight="1">
      <c r="A52" s="13"/>
      <c r="B52" s="18"/>
      <c r="C52" s="18"/>
      <c r="D52" s="18"/>
      <c r="E52" s="18"/>
      <c r="F52" s="69"/>
      <c r="G52" s="69"/>
      <c r="H52" s="70" t="s">
        <v>40</v>
      </c>
      <c r="I52" s="71"/>
      <c r="J52" s="69"/>
      <c r="K52" s="17"/>
    </row>
    <row r="53" spans="1:11" ht="4.5" customHeight="1">
      <c r="A53" s="13"/>
      <c r="B53" s="18"/>
      <c r="C53" s="18"/>
      <c r="D53" s="18"/>
      <c r="E53" s="18"/>
      <c r="F53" s="16"/>
      <c r="G53" s="16"/>
      <c r="H53" s="17"/>
      <c r="I53" s="17"/>
      <c r="J53" s="17"/>
      <c r="K53" s="17"/>
    </row>
    <row r="54" spans="1:11" ht="15" customHeight="1">
      <c r="A54" s="72"/>
      <c r="B54" s="148" t="s">
        <v>41</v>
      </c>
      <c r="C54" s="149"/>
      <c r="D54" s="150"/>
      <c r="E54" s="18"/>
      <c r="F54" s="73"/>
      <c r="G54" s="73"/>
      <c r="H54" s="74" t="s">
        <v>42</v>
      </c>
      <c r="I54" s="75">
        <v>136250</v>
      </c>
      <c r="J54" s="76"/>
      <c r="K54" s="17"/>
    </row>
    <row r="55" spans="1:11" ht="4.5" customHeight="1">
      <c r="A55" s="72"/>
      <c r="B55" s="151"/>
      <c r="C55" s="152"/>
      <c r="D55" s="153"/>
      <c r="E55" s="18"/>
      <c r="F55" s="16"/>
      <c r="G55" s="16"/>
      <c r="H55" s="17"/>
      <c r="I55" s="77"/>
      <c r="J55" s="17"/>
      <c r="K55" s="17"/>
    </row>
    <row r="56" spans="1:11" ht="18.75" customHeight="1">
      <c r="A56" s="78"/>
      <c r="B56" s="154"/>
      <c r="C56" s="154"/>
      <c r="D56" s="154"/>
      <c r="E56" s="18"/>
      <c r="F56" s="79"/>
      <c r="G56" s="79"/>
      <c r="H56" s="80" t="s">
        <v>43</v>
      </c>
      <c r="I56" s="81">
        <f>E50+K50</f>
        <v>74730</v>
      </c>
      <c r="J56" s="82"/>
      <c r="K56" s="17"/>
    </row>
    <row r="57" spans="1:11" ht="4.5" customHeight="1">
      <c r="A57" s="78"/>
      <c r="B57" s="154"/>
      <c r="C57" s="154"/>
      <c r="D57" s="154"/>
      <c r="E57" s="18"/>
      <c r="F57" s="56"/>
      <c r="G57" s="56"/>
      <c r="H57" s="57"/>
      <c r="I57" s="83"/>
      <c r="J57" s="65"/>
      <c r="K57" s="17"/>
    </row>
    <row r="58" spans="1:11" ht="18.75">
      <c r="A58" s="78"/>
      <c r="B58" s="154"/>
      <c r="C58" s="154"/>
      <c r="D58" s="154"/>
      <c r="E58" s="18"/>
      <c r="F58" s="79"/>
      <c r="G58" s="79"/>
      <c r="H58" s="80" t="s">
        <v>12</v>
      </c>
      <c r="I58" s="81">
        <f>K26</f>
        <v>215050</v>
      </c>
      <c r="J58" s="82"/>
      <c r="K58" s="24"/>
    </row>
    <row r="59" spans="1:11" ht="4.5" customHeight="1">
      <c r="A59" s="78"/>
      <c r="B59" s="154"/>
      <c r="C59" s="154"/>
      <c r="D59" s="154"/>
      <c r="E59" s="18"/>
      <c r="F59" s="56"/>
      <c r="G59" s="56"/>
      <c r="H59" s="57"/>
      <c r="I59" s="83"/>
      <c r="J59" s="18"/>
      <c r="K59" s="17"/>
    </row>
    <row r="60" spans="1:11" ht="18.75">
      <c r="A60" s="78"/>
      <c r="B60" s="154"/>
      <c r="C60" s="154"/>
      <c r="D60" s="154"/>
      <c r="E60" s="18"/>
      <c r="F60" s="84"/>
      <c r="G60" s="84"/>
      <c r="H60" s="85" t="s">
        <v>26</v>
      </c>
      <c r="I60" s="86">
        <f>E38</f>
        <v>0</v>
      </c>
      <c r="J60" s="82"/>
      <c r="K60" s="17"/>
    </row>
    <row r="61" spans="1:11" ht="4.5" customHeight="1">
      <c r="A61" s="78"/>
      <c r="B61" s="154"/>
      <c r="C61" s="154"/>
      <c r="D61" s="154"/>
      <c r="E61" s="18"/>
      <c r="F61" s="13"/>
      <c r="G61" s="13"/>
      <c r="H61" s="16"/>
      <c r="I61" s="77"/>
      <c r="J61" s="17"/>
      <c r="K61" s="17"/>
    </row>
    <row r="62" spans="1:11" ht="18.75">
      <c r="A62" s="78"/>
      <c r="B62" s="154"/>
      <c r="C62" s="154"/>
      <c r="D62" s="154"/>
      <c r="E62" s="18"/>
      <c r="F62" s="84"/>
      <c r="G62" s="84"/>
      <c r="H62" s="85" t="s">
        <v>17</v>
      </c>
      <c r="I62" s="86">
        <f>K31+K40</f>
        <v>145000</v>
      </c>
      <c r="J62" s="82"/>
      <c r="K62" s="17"/>
    </row>
    <row r="63" spans="1:11" ht="4.5" customHeight="1">
      <c r="A63" s="78"/>
      <c r="B63" s="154"/>
      <c r="C63" s="154"/>
      <c r="D63" s="154"/>
      <c r="E63" s="18"/>
      <c r="F63" s="13"/>
      <c r="G63" s="13"/>
      <c r="H63" s="16"/>
      <c r="I63" s="77"/>
      <c r="J63" s="17"/>
      <c r="K63" s="17"/>
    </row>
    <row r="64" spans="1:11" ht="18.75">
      <c r="A64" s="78"/>
      <c r="B64" s="154"/>
      <c r="C64" s="154"/>
      <c r="D64" s="154"/>
      <c r="E64" s="18"/>
      <c r="F64" s="84"/>
      <c r="G64" s="84"/>
      <c r="H64" s="85" t="s">
        <v>44</v>
      </c>
      <c r="I64" s="86">
        <f>I54+I58+I60-I62</f>
        <v>206300</v>
      </c>
      <c r="J64" s="87"/>
      <c r="K64" s="17"/>
    </row>
    <row r="65" spans="1:11" ht="4.5" customHeight="1">
      <c r="A65" s="13"/>
      <c r="B65" s="154"/>
      <c r="C65" s="154"/>
      <c r="D65" s="154"/>
      <c r="E65" s="18"/>
      <c r="F65" s="16"/>
      <c r="G65" s="16"/>
      <c r="H65" s="18"/>
      <c r="I65" s="77"/>
      <c r="J65" s="17"/>
      <c r="K65" s="17"/>
    </row>
    <row r="66" spans="1:11" ht="18.75">
      <c r="A66" s="13"/>
      <c r="B66" s="154"/>
      <c r="C66" s="154"/>
      <c r="D66" s="154"/>
      <c r="E66" s="18"/>
      <c r="F66" s="73"/>
      <c r="G66" s="73"/>
      <c r="H66" s="74" t="s">
        <v>45</v>
      </c>
      <c r="I66" s="86">
        <f>I64-I54</f>
        <v>70050</v>
      </c>
      <c r="J66" s="88"/>
      <c r="K66" s="17"/>
    </row>
    <row r="67" spans="1:11" ht="4.5" customHeight="1">
      <c r="A67" s="78"/>
      <c r="B67" s="154"/>
      <c r="C67" s="154"/>
      <c r="D67" s="154"/>
      <c r="E67" s="18"/>
      <c r="F67" s="16"/>
      <c r="G67" s="16"/>
      <c r="H67" s="16"/>
      <c r="I67" s="77"/>
      <c r="J67" s="17"/>
      <c r="K67" s="17"/>
    </row>
    <row r="68" spans="1:11" ht="18.75">
      <c r="A68" s="13"/>
      <c r="B68" s="154"/>
      <c r="C68" s="154"/>
      <c r="D68" s="154"/>
      <c r="E68" s="18"/>
      <c r="F68" s="79"/>
      <c r="G68" s="79"/>
      <c r="H68" s="80" t="s">
        <v>46</v>
      </c>
      <c r="I68" s="86">
        <f>I54+E31+(E38-(K31+K40))</f>
        <v>74730</v>
      </c>
      <c r="J68" s="88"/>
      <c r="K68" s="17"/>
    </row>
    <row r="69" spans="1:11" ht="4.5" customHeight="1">
      <c r="A69" s="78"/>
      <c r="B69" s="154"/>
      <c r="C69" s="154"/>
      <c r="D69" s="154"/>
      <c r="E69" s="18"/>
      <c r="F69" s="16"/>
      <c r="G69" s="16"/>
      <c r="H69" s="16"/>
      <c r="I69" s="77"/>
      <c r="J69" s="17"/>
      <c r="K69" s="17"/>
    </row>
    <row r="70" spans="1:11" ht="18.75" customHeight="1">
      <c r="A70" s="78"/>
      <c r="B70" s="154"/>
      <c r="C70" s="154"/>
      <c r="D70" s="154"/>
      <c r="E70" s="18"/>
      <c r="F70" s="79"/>
      <c r="G70" s="79"/>
      <c r="H70" s="80" t="s">
        <v>47</v>
      </c>
      <c r="I70" s="89">
        <f>I56-I68</f>
        <v>0</v>
      </c>
      <c r="J70" s="90"/>
      <c r="K70" s="17"/>
    </row>
    <row r="71" spans="1:11" ht="15" customHeight="1">
      <c r="A71" s="91"/>
      <c r="B71" s="92"/>
      <c r="C71" s="92"/>
      <c r="D71" s="92"/>
      <c r="E71" s="93"/>
      <c r="F71" s="94"/>
      <c r="G71" s="94"/>
      <c r="H71" s="95"/>
      <c r="I71" s="95"/>
      <c r="J71" s="95"/>
      <c r="K71" s="95"/>
    </row>
    <row r="72" spans="1:11" ht="15" customHeight="1">
      <c r="A72" s="91"/>
      <c r="B72" s="92"/>
      <c r="C72" s="92"/>
      <c r="D72" s="92"/>
      <c r="E72" s="93"/>
      <c r="F72" s="94"/>
      <c r="G72" s="94"/>
      <c r="H72" s="95"/>
      <c r="I72" s="95"/>
      <c r="J72" s="95"/>
      <c r="K72" s="95"/>
    </row>
    <row r="73" spans="1:11" ht="15" customHeight="1">
      <c r="A73" s="91"/>
      <c r="B73" s="92"/>
      <c r="C73" s="92"/>
      <c r="D73" s="92"/>
      <c r="E73" s="93"/>
      <c r="F73" s="94"/>
      <c r="G73" s="94"/>
      <c r="H73" s="95"/>
      <c r="I73" s="95"/>
      <c r="J73" s="95"/>
      <c r="K73" s="95"/>
    </row>
    <row r="74" spans="1:11" ht="15" customHeight="1">
      <c r="A74" s="91"/>
      <c r="B74" s="92"/>
      <c r="C74" s="92"/>
      <c r="D74" s="92"/>
      <c r="E74" s="93"/>
      <c r="F74" s="94"/>
      <c r="G74" s="94"/>
      <c r="H74" s="95"/>
      <c r="I74" s="95"/>
      <c r="J74" s="95"/>
      <c r="K74" s="95"/>
    </row>
    <row r="75" spans="1:11" ht="15.75" customHeight="1">
      <c r="A75" s="91"/>
      <c r="B75" s="92"/>
      <c r="C75" s="92"/>
      <c r="D75" s="92"/>
      <c r="E75" s="93"/>
      <c r="F75" s="94"/>
      <c r="G75" s="94"/>
      <c r="H75" s="95"/>
      <c r="I75" s="95"/>
      <c r="J75" s="95"/>
      <c r="K75" s="95"/>
    </row>
    <row r="76" spans="1:11" ht="14.25" customHeight="1">
      <c r="A76" s="91"/>
      <c r="B76" s="92"/>
      <c r="C76" s="92"/>
      <c r="D76" s="92"/>
      <c r="E76" s="93"/>
      <c r="F76" s="94"/>
      <c r="G76" s="94"/>
      <c r="H76" s="95"/>
      <c r="I76" s="95"/>
      <c r="J76" s="95"/>
      <c r="K76" s="95"/>
    </row>
    <row r="77" spans="1:11">
      <c r="A77" s="96"/>
      <c r="B77" s="98"/>
      <c r="C77" s="98"/>
      <c r="D77" s="98"/>
      <c r="E77" s="98"/>
      <c r="F77" s="97"/>
      <c r="G77" s="97"/>
      <c r="H77" s="99"/>
      <c r="I77" s="99"/>
      <c r="J77" s="99"/>
      <c r="K77" s="99"/>
    </row>
    <row r="78" spans="1:11">
      <c r="D78" s="102"/>
      <c r="E78" s="102"/>
    </row>
    <row r="79" spans="1:11">
      <c r="D79" s="102"/>
      <c r="E79" s="102"/>
      <c r="H79" s="102"/>
    </row>
    <row r="80" spans="1:11">
      <c r="D80" s="102"/>
      <c r="E80" s="102"/>
      <c r="H80" s="102"/>
    </row>
    <row r="81" spans="4:11">
      <c r="D81" s="102"/>
      <c r="E81" s="102"/>
      <c r="H81" s="102"/>
      <c r="I81" s="102"/>
      <c r="J81" s="102"/>
      <c r="K81" s="102"/>
    </row>
    <row r="82" spans="4:11">
      <c r="D82" s="102"/>
      <c r="E82" s="102"/>
      <c r="H82" s="102"/>
      <c r="I82" s="102"/>
      <c r="J82" s="102"/>
      <c r="K82" s="102"/>
    </row>
    <row r="83" spans="4:11">
      <c r="D83" s="102"/>
      <c r="E83" s="102"/>
      <c r="H83" s="102"/>
      <c r="I83" s="102"/>
      <c r="J83" s="102"/>
      <c r="K83" s="102"/>
    </row>
    <row r="84" spans="4:11">
      <c r="D84" s="102"/>
      <c r="E84" s="102"/>
      <c r="H84" s="102"/>
      <c r="I84" s="102"/>
      <c r="J84" s="102"/>
      <c r="K84" s="102"/>
    </row>
    <row r="85" spans="4:11">
      <c r="D85" s="102"/>
      <c r="E85" s="102"/>
      <c r="H85" s="102"/>
      <c r="I85" s="102"/>
      <c r="J85" s="102"/>
      <c r="K85" s="102"/>
    </row>
    <row r="86" spans="4:11">
      <c r="D86" s="102"/>
      <c r="E86" s="102"/>
      <c r="H86" s="102"/>
      <c r="I86" s="102"/>
      <c r="J86" s="102"/>
      <c r="K86" s="102"/>
    </row>
    <row r="87" spans="4:11">
      <c r="D87" s="102"/>
      <c r="E87" s="102"/>
      <c r="H87" s="102"/>
      <c r="I87" s="102"/>
      <c r="J87" s="102"/>
      <c r="K87" s="102"/>
    </row>
    <row r="88" spans="4:11">
      <c r="D88" s="102"/>
      <c r="E88" s="102"/>
      <c r="H88" s="102"/>
      <c r="I88" s="102"/>
      <c r="J88" s="102"/>
      <c r="K88" s="102"/>
    </row>
  </sheetData>
  <mergeCells count="39">
    <mergeCell ref="H42:I42"/>
    <mergeCell ref="A44:B49"/>
    <mergeCell ref="F44:H49"/>
    <mergeCell ref="B54:D55"/>
    <mergeCell ref="B56:D70"/>
    <mergeCell ref="F22:K22"/>
    <mergeCell ref="F23:K23"/>
    <mergeCell ref="A29:B40"/>
    <mergeCell ref="F29:H40"/>
    <mergeCell ref="I29:K29"/>
    <mergeCell ref="C30:D30"/>
    <mergeCell ref="I30:J30"/>
    <mergeCell ref="C36:E36"/>
    <mergeCell ref="C37:D37"/>
    <mergeCell ref="I39:K39"/>
    <mergeCell ref="F21:K21"/>
    <mergeCell ref="F10:K10"/>
    <mergeCell ref="F11:K11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9:K9"/>
    <mergeCell ref="A1:B1"/>
    <mergeCell ref="C1:E1"/>
    <mergeCell ref="F1:G1"/>
    <mergeCell ref="H1:K1"/>
    <mergeCell ref="A3:K3"/>
    <mergeCell ref="A4:K4"/>
    <mergeCell ref="A5:A6"/>
    <mergeCell ref="B5:E5"/>
    <mergeCell ref="F5:K6"/>
    <mergeCell ref="F7:K7"/>
    <mergeCell ref="F8:K8"/>
  </mergeCells>
  <conditionalFormatting sqref="I70">
    <cfRule type="expression" dxfId="29" priority="1">
      <formula>$I70=0</formula>
    </cfRule>
    <cfRule type="expression" dxfId="28" priority="2">
      <formula>$I70&gt;=1</formula>
    </cfRule>
    <cfRule type="expression" dxfId="27" priority="3">
      <formula>$I70&lt;=-1</formula>
    </cfRule>
  </conditionalFormatting>
  <pageMargins left="0.25" right="0.25" top="0.75" bottom="0.75" header="0.3" footer="0.3"/>
  <pageSetup paperSize="9" scale="6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6A34-9F40-46EC-97CF-623076837FE8}">
  <sheetPr>
    <tabColor theme="7"/>
    <pageSetUpPr fitToPage="1"/>
  </sheetPr>
  <dimension ref="A1:K88"/>
  <sheetViews>
    <sheetView showWhiteSpace="0" view="pageLayout" topLeftCell="A31" zoomScale="80" zoomScaleNormal="80" zoomScalePageLayoutView="80" workbookViewId="0">
      <selection activeCell="F72" sqref="F72"/>
    </sheetView>
  </sheetViews>
  <sheetFormatPr defaultColWidth="20.7109375" defaultRowHeight="15"/>
  <cols>
    <col min="1" max="1" width="13.5703125" style="100" customWidth="1"/>
    <col min="2" max="3" width="13.7109375" style="102" customWidth="1"/>
    <col min="4" max="4" width="13.7109375" style="103" customWidth="1"/>
    <col min="5" max="5" width="14.7109375" style="104" customWidth="1"/>
    <col min="6" max="7" width="13.7109375" style="101" customWidth="1"/>
    <col min="8" max="10" width="13.7109375" style="103" customWidth="1"/>
    <col min="11" max="11" width="28.140625" style="103" customWidth="1"/>
    <col min="12" max="14" width="6.7109375" customWidth="1"/>
    <col min="15" max="17" width="10.7109375" customWidth="1"/>
    <col min="18" max="18" width="17.42578125" customWidth="1"/>
    <col min="19" max="19" width="10.7109375" customWidth="1"/>
    <col min="20" max="23" width="6.7109375" customWidth="1"/>
    <col min="24" max="26" width="10.7109375" customWidth="1"/>
    <col min="27" max="27" width="17.42578125" customWidth="1"/>
    <col min="28" max="28" width="10.7109375" customWidth="1"/>
    <col min="29" max="32" width="6.7109375" customWidth="1"/>
    <col min="33" max="35" width="10.7109375" customWidth="1"/>
    <col min="36" max="36" width="17.42578125" customWidth="1"/>
    <col min="37" max="37" width="10.7109375" customWidth="1"/>
    <col min="38" max="41" width="6.7109375" customWidth="1"/>
    <col min="42" max="44" width="10.7109375" customWidth="1"/>
    <col min="45" max="45" width="17.42578125" customWidth="1"/>
    <col min="46" max="46" width="10.7109375" customWidth="1"/>
    <col min="47" max="50" width="6.7109375" customWidth="1"/>
    <col min="51" max="53" width="10.7109375" customWidth="1"/>
    <col min="54" max="54" width="17.42578125" customWidth="1"/>
    <col min="55" max="55" width="10.7109375" customWidth="1"/>
    <col min="56" max="59" width="6.7109375" customWidth="1"/>
    <col min="60" max="62" width="10.7109375" customWidth="1"/>
    <col min="63" max="63" width="17.42578125" customWidth="1"/>
    <col min="64" max="64" width="10.7109375" customWidth="1"/>
    <col min="65" max="68" width="6.7109375" customWidth="1"/>
    <col min="69" max="71" width="10.7109375" customWidth="1"/>
    <col min="72" max="72" width="17.42578125" customWidth="1"/>
    <col min="73" max="73" width="10.7109375" customWidth="1"/>
    <col min="74" max="77" width="6.7109375" customWidth="1"/>
    <col min="78" max="80" width="10.7109375" customWidth="1"/>
    <col min="81" max="81" width="17.42578125" customWidth="1"/>
    <col min="82" max="82" width="10.7109375" customWidth="1"/>
    <col min="83" max="86" width="6.7109375" customWidth="1"/>
    <col min="87" max="89" width="10.7109375" customWidth="1"/>
    <col min="90" max="90" width="17.42578125" customWidth="1"/>
    <col min="91" max="91" width="10.7109375" customWidth="1"/>
    <col min="92" max="95" width="6.7109375" customWidth="1"/>
    <col min="96" max="98" width="10.7109375" customWidth="1"/>
    <col min="99" max="99" width="17.42578125" customWidth="1"/>
    <col min="100" max="100" width="10.7109375" customWidth="1"/>
    <col min="101" max="104" width="6.7109375" customWidth="1"/>
    <col min="105" max="107" width="10.7109375" customWidth="1"/>
    <col min="108" max="108" width="17.42578125" customWidth="1"/>
    <col min="109" max="109" width="10.7109375" customWidth="1"/>
    <col min="110" max="113" width="6.7109375" customWidth="1"/>
    <col min="114" max="116" width="10.7109375" customWidth="1"/>
    <col min="117" max="117" width="17.42578125" customWidth="1"/>
    <col min="118" max="118" width="10.7109375" customWidth="1"/>
    <col min="119" max="122" width="6.7109375" customWidth="1"/>
    <col min="123" max="125" width="10.7109375" customWidth="1"/>
    <col min="126" max="126" width="17.42578125" customWidth="1"/>
    <col min="127" max="127" width="10.7109375" customWidth="1"/>
    <col min="128" max="131" width="6.7109375" customWidth="1"/>
    <col min="132" max="134" width="10.7109375" customWidth="1"/>
    <col min="135" max="135" width="17.42578125" customWidth="1"/>
    <col min="136" max="136" width="10.7109375" customWidth="1"/>
    <col min="137" max="140" width="6.7109375" customWidth="1"/>
    <col min="141" max="143" width="10.7109375" customWidth="1"/>
    <col min="144" max="144" width="17.42578125" customWidth="1"/>
    <col min="145" max="145" width="10.7109375" customWidth="1"/>
    <col min="146" max="149" width="6.7109375" customWidth="1"/>
    <col min="150" max="152" width="10.7109375" customWidth="1"/>
    <col min="153" max="153" width="17.42578125" customWidth="1"/>
    <col min="154" max="154" width="10.7109375" customWidth="1"/>
    <col min="155" max="158" width="6.7109375" customWidth="1"/>
    <col min="159" max="161" width="10.7109375" customWidth="1"/>
    <col min="162" max="162" width="17.42578125" customWidth="1"/>
    <col min="163" max="163" width="10.7109375" customWidth="1"/>
    <col min="164" max="167" width="6.7109375" customWidth="1"/>
    <col min="168" max="170" width="10.7109375" customWidth="1"/>
    <col min="171" max="171" width="17.42578125" customWidth="1"/>
    <col min="172" max="172" width="10.7109375" customWidth="1"/>
    <col min="173" max="176" width="6.7109375" customWidth="1"/>
    <col min="177" max="179" width="10.7109375" customWidth="1"/>
    <col min="180" max="180" width="17.42578125" customWidth="1"/>
    <col min="181" max="181" width="10.7109375" customWidth="1"/>
    <col min="182" max="185" width="6.7109375" customWidth="1"/>
    <col min="186" max="188" width="10.7109375" customWidth="1"/>
    <col min="189" max="189" width="17.42578125" customWidth="1"/>
    <col min="190" max="190" width="10.7109375" customWidth="1"/>
    <col min="191" max="194" width="6.7109375" customWidth="1"/>
    <col min="195" max="197" width="10.7109375" customWidth="1"/>
    <col min="198" max="198" width="17.42578125" customWidth="1"/>
    <col min="199" max="199" width="10.7109375" customWidth="1"/>
    <col min="200" max="203" width="6.7109375" customWidth="1"/>
    <col min="204" max="206" width="10.7109375" customWidth="1"/>
    <col min="207" max="207" width="17.42578125" customWidth="1"/>
    <col min="208" max="208" width="10.7109375" customWidth="1"/>
    <col min="209" max="212" width="6.7109375" customWidth="1"/>
    <col min="213" max="215" width="10.7109375" customWidth="1"/>
    <col min="216" max="216" width="17.42578125" customWidth="1"/>
    <col min="217" max="217" width="10.7109375" customWidth="1"/>
    <col min="218" max="221" width="6.7109375" customWidth="1"/>
    <col min="222" max="224" width="10.7109375" customWidth="1"/>
    <col min="225" max="225" width="17.42578125" customWidth="1"/>
    <col min="226" max="226" width="10.7109375" customWidth="1"/>
    <col min="227" max="230" width="6.7109375" customWidth="1"/>
    <col min="231" max="233" width="10.7109375" customWidth="1"/>
    <col min="234" max="234" width="17.42578125" customWidth="1"/>
    <col min="235" max="235" width="10.7109375" customWidth="1"/>
    <col min="236" max="239" width="6.7109375" customWidth="1"/>
    <col min="240" max="242" width="10.7109375" customWidth="1"/>
    <col min="243" max="243" width="17.42578125" customWidth="1"/>
    <col min="244" max="244" width="10.7109375" customWidth="1"/>
    <col min="245" max="248" width="6.7109375" customWidth="1"/>
    <col min="249" max="251" width="10.7109375" customWidth="1"/>
    <col min="252" max="252" width="17.42578125" customWidth="1"/>
    <col min="253" max="253" width="10.7109375" customWidth="1"/>
    <col min="254" max="257" width="6.7109375" customWidth="1"/>
    <col min="258" max="260" width="10.7109375" customWidth="1"/>
    <col min="261" max="261" width="17.42578125" customWidth="1"/>
    <col min="262" max="262" width="10.7109375" customWidth="1"/>
    <col min="263" max="266" width="6.7109375" customWidth="1"/>
    <col min="267" max="269" width="10.7109375" customWidth="1"/>
    <col min="270" max="270" width="17.42578125" customWidth="1"/>
    <col min="271" max="271" width="10.7109375" customWidth="1"/>
    <col min="272" max="275" width="6.7109375" customWidth="1"/>
    <col min="276" max="278" width="10.7109375" customWidth="1"/>
    <col min="279" max="279" width="17.42578125" customWidth="1"/>
    <col min="280" max="280" width="10.7109375" customWidth="1"/>
    <col min="281" max="284" width="6.7109375" customWidth="1"/>
    <col min="285" max="287" width="10.7109375" customWidth="1"/>
    <col min="288" max="288" width="17.42578125" customWidth="1"/>
    <col min="289" max="289" width="10.7109375" customWidth="1"/>
    <col min="290" max="293" width="6.7109375" customWidth="1"/>
    <col min="294" max="296" width="10.7109375" customWidth="1"/>
    <col min="297" max="297" width="17.42578125" customWidth="1"/>
    <col min="298" max="298" width="10.7109375" customWidth="1"/>
    <col min="299" max="302" width="6.7109375" customWidth="1"/>
    <col min="303" max="305" width="10.7109375" customWidth="1"/>
    <col min="306" max="306" width="17.42578125" customWidth="1"/>
    <col min="307" max="307" width="10.7109375" customWidth="1"/>
    <col min="308" max="311" width="6.7109375" customWidth="1"/>
    <col min="312" max="314" width="10.7109375" customWidth="1"/>
    <col min="315" max="315" width="17.42578125" customWidth="1"/>
    <col min="316" max="316" width="10.7109375" customWidth="1"/>
    <col min="317" max="320" width="6.7109375" customWidth="1"/>
    <col min="321" max="323" width="10.7109375" customWidth="1"/>
    <col min="324" max="324" width="17.42578125" customWidth="1"/>
    <col min="325" max="325" width="10.7109375" customWidth="1"/>
    <col min="326" max="329" width="6.7109375" customWidth="1"/>
    <col min="330" max="332" width="10.7109375" customWidth="1"/>
    <col min="333" max="333" width="17.42578125" customWidth="1"/>
    <col min="334" max="334" width="10.7109375" customWidth="1"/>
    <col min="335" max="338" width="6.7109375" customWidth="1"/>
    <col min="339" max="341" width="10.7109375" customWidth="1"/>
    <col min="342" max="342" width="17.42578125" customWidth="1"/>
    <col min="343" max="343" width="10.7109375" customWidth="1"/>
    <col min="344" max="347" width="6.7109375" customWidth="1"/>
    <col min="348" max="350" width="10.7109375" customWidth="1"/>
    <col min="351" max="351" width="17.42578125" customWidth="1"/>
    <col min="352" max="352" width="10.7109375" customWidth="1"/>
    <col min="353" max="356" width="6.7109375" customWidth="1"/>
    <col min="357" max="359" width="10.7109375" customWidth="1"/>
    <col min="360" max="360" width="17.42578125" customWidth="1"/>
    <col min="361" max="361" width="10.7109375" customWidth="1"/>
    <col min="362" max="365" width="6.7109375" customWidth="1"/>
    <col min="366" max="368" width="10.7109375" customWidth="1"/>
    <col min="369" max="369" width="17.42578125" customWidth="1"/>
    <col min="370" max="370" width="10.7109375" customWidth="1"/>
    <col min="371" max="374" width="6.7109375" customWidth="1"/>
    <col min="375" max="377" width="10.7109375" customWidth="1"/>
    <col min="378" max="378" width="17.42578125" customWidth="1"/>
    <col min="379" max="379" width="10.7109375" customWidth="1"/>
    <col min="380" max="383" width="6.7109375" customWidth="1"/>
    <col min="384" max="386" width="10.7109375" customWidth="1"/>
    <col min="387" max="387" width="17.42578125" customWidth="1"/>
    <col min="388" max="388" width="10.7109375" customWidth="1"/>
    <col min="389" max="392" width="6.7109375" customWidth="1"/>
    <col min="393" max="395" width="10.7109375" customWidth="1"/>
    <col min="396" max="396" width="17.42578125" customWidth="1"/>
    <col min="397" max="397" width="10.7109375" customWidth="1"/>
    <col min="398" max="401" width="6.7109375" customWidth="1"/>
    <col min="402" max="404" width="10.7109375" customWidth="1"/>
    <col min="405" max="405" width="17.42578125" customWidth="1"/>
    <col min="406" max="406" width="10.7109375" customWidth="1"/>
    <col min="407" max="410" width="6.7109375" customWidth="1"/>
    <col min="411" max="413" width="10.7109375" customWidth="1"/>
    <col min="414" max="414" width="17.42578125" customWidth="1"/>
    <col min="415" max="415" width="10.7109375" customWidth="1"/>
    <col min="416" max="419" width="6.7109375" customWidth="1"/>
    <col min="420" max="422" width="10.7109375" customWidth="1"/>
    <col min="423" max="423" width="17.42578125" customWidth="1"/>
    <col min="424" max="424" width="10.7109375" customWidth="1"/>
    <col min="425" max="428" width="6.7109375" customWidth="1"/>
    <col min="429" max="431" width="10.7109375" customWidth="1"/>
    <col min="432" max="432" width="17.42578125" customWidth="1"/>
    <col min="433" max="433" width="10.7109375" customWidth="1"/>
    <col min="434" max="437" width="6.7109375" customWidth="1"/>
    <col min="438" max="440" width="10.7109375" customWidth="1"/>
    <col min="441" max="441" width="17.42578125" customWidth="1"/>
    <col min="442" max="442" width="10.7109375" customWidth="1"/>
    <col min="443" max="446" width="6.7109375" customWidth="1"/>
    <col min="447" max="449" width="10.7109375" customWidth="1"/>
    <col min="450" max="450" width="17.42578125" customWidth="1"/>
    <col min="451" max="451" width="10.7109375" customWidth="1"/>
    <col min="452" max="455" width="6.7109375" customWidth="1"/>
    <col min="456" max="458" width="10.7109375" customWidth="1"/>
    <col min="459" max="459" width="17.42578125" customWidth="1"/>
    <col min="460" max="460" width="10.7109375" customWidth="1"/>
    <col min="461" max="464" width="6.7109375" customWidth="1"/>
    <col min="465" max="467" width="10.7109375" customWidth="1"/>
    <col min="468" max="468" width="17.42578125" customWidth="1"/>
    <col min="469" max="469" width="10.7109375" customWidth="1"/>
    <col min="470" max="473" width="6.7109375" customWidth="1"/>
    <col min="474" max="476" width="10.7109375" customWidth="1"/>
    <col min="477" max="477" width="17.42578125" customWidth="1"/>
    <col min="478" max="478" width="10.7109375" customWidth="1"/>
    <col min="479" max="482" width="6.7109375" customWidth="1"/>
    <col min="483" max="485" width="10.7109375" customWidth="1"/>
    <col min="486" max="486" width="17.42578125" customWidth="1"/>
    <col min="487" max="487" width="10.7109375" customWidth="1"/>
    <col min="488" max="491" width="6.7109375" customWidth="1"/>
    <col min="492" max="494" width="10.7109375" customWidth="1"/>
    <col min="495" max="495" width="17.42578125" customWidth="1"/>
    <col min="496" max="496" width="10.7109375" customWidth="1"/>
    <col min="497" max="500" width="6.7109375" customWidth="1"/>
    <col min="501" max="503" width="10.7109375" customWidth="1"/>
    <col min="504" max="504" width="17.42578125" customWidth="1"/>
    <col min="505" max="505" width="10.7109375" customWidth="1"/>
    <col min="506" max="509" width="6.7109375" customWidth="1"/>
    <col min="510" max="512" width="10.7109375" customWidth="1"/>
    <col min="513" max="513" width="17.42578125" customWidth="1"/>
    <col min="514" max="514" width="10.7109375" customWidth="1"/>
    <col min="515" max="518" width="6.7109375" customWidth="1"/>
    <col min="519" max="521" width="10.7109375" customWidth="1"/>
    <col min="522" max="522" width="17.42578125" customWidth="1"/>
    <col min="523" max="523" width="10.7109375" customWidth="1"/>
    <col min="524" max="527" width="6.7109375" customWidth="1"/>
    <col min="528" max="530" width="10.7109375" customWidth="1"/>
    <col min="531" max="531" width="17.42578125" customWidth="1"/>
    <col min="532" max="532" width="10.7109375" customWidth="1"/>
    <col min="533" max="536" width="6.7109375" customWidth="1"/>
    <col min="537" max="539" width="10.7109375" customWidth="1"/>
    <col min="540" max="540" width="17.42578125" customWidth="1"/>
    <col min="541" max="541" width="10.7109375" customWidth="1"/>
    <col min="542" max="545" width="6.7109375" customWidth="1"/>
    <col min="546" max="548" width="10.7109375" customWidth="1"/>
    <col min="549" max="549" width="17.42578125" customWidth="1"/>
    <col min="550" max="550" width="10.7109375" customWidth="1"/>
    <col min="551" max="554" width="6.7109375" customWidth="1"/>
    <col min="555" max="557" width="10.7109375" customWidth="1"/>
    <col min="558" max="558" width="17.42578125" customWidth="1"/>
    <col min="559" max="559" width="10.7109375" customWidth="1"/>
    <col min="560" max="563" width="6.7109375" customWidth="1"/>
    <col min="564" max="566" width="10.7109375" customWidth="1"/>
    <col min="567" max="567" width="17.42578125" customWidth="1"/>
    <col min="568" max="568" width="10.7109375" customWidth="1"/>
    <col min="569" max="572" width="6.7109375" customWidth="1"/>
    <col min="573" max="575" width="10.7109375" customWidth="1"/>
    <col min="576" max="576" width="17.42578125" customWidth="1"/>
    <col min="577" max="577" width="10.7109375" customWidth="1"/>
    <col min="578" max="581" width="6.7109375" customWidth="1"/>
    <col min="582" max="584" width="10.7109375" customWidth="1"/>
    <col min="585" max="585" width="17.42578125" customWidth="1"/>
    <col min="586" max="586" width="10.7109375" customWidth="1"/>
    <col min="587" max="590" width="6.7109375" customWidth="1"/>
    <col min="591" max="593" width="10.7109375" customWidth="1"/>
    <col min="594" max="594" width="17.42578125" customWidth="1"/>
    <col min="595" max="595" width="10.7109375" customWidth="1"/>
    <col min="596" max="599" width="6.7109375" customWidth="1"/>
    <col min="600" max="602" width="10.7109375" customWidth="1"/>
    <col min="603" max="603" width="17.42578125" customWidth="1"/>
    <col min="604" max="604" width="10.7109375" customWidth="1"/>
    <col min="605" max="608" width="6.7109375" customWidth="1"/>
    <col min="609" max="611" width="10.7109375" customWidth="1"/>
    <col min="612" max="612" width="17.42578125" customWidth="1"/>
    <col min="613" max="613" width="10.7109375" customWidth="1"/>
    <col min="614" max="617" width="6.7109375" customWidth="1"/>
    <col min="618" max="620" width="10.7109375" customWidth="1"/>
    <col min="621" max="621" width="17.42578125" customWidth="1"/>
    <col min="622" max="622" width="10.7109375" customWidth="1"/>
    <col min="623" max="626" width="6.7109375" customWidth="1"/>
    <col min="627" max="629" width="10.7109375" customWidth="1"/>
    <col min="630" max="630" width="17.42578125" customWidth="1"/>
    <col min="631" max="631" width="10.7109375" customWidth="1"/>
    <col min="632" max="635" width="6.7109375" customWidth="1"/>
    <col min="636" max="638" width="10.7109375" customWidth="1"/>
    <col min="639" max="639" width="17.42578125" customWidth="1"/>
    <col min="640" max="640" width="10.7109375" customWidth="1"/>
    <col min="641" max="644" width="6.7109375" customWidth="1"/>
    <col min="645" max="647" width="10.7109375" customWidth="1"/>
    <col min="648" max="648" width="17.42578125" customWidth="1"/>
    <col min="649" max="649" width="10.7109375" customWidth="1"/>
    <col min="650" max="653" width="6.7109375" customWidth="1"/>
    <col min="654" max="656" width="10.7109375" customWidth="1"/>
    <col min="657" max="657" width="17.42578125" customWidth="1"/>
    <col min="658" max="658" width="10.7109375" customWidth="1"/>
    <col min="659" max="662" width="6.7109375" customWidth="1"/>
    <col min="663" max="665" width="10.7109375" customWidth="1"/>
    <col min="666" max="666" width="17.42578125" customWidth="1"/>
    <col min="667" max="667" width="10.7109375" customWidth="1"/>
    <col min="668" max="671" width="6.7109375" customWidth="1"/>
    <col min="672" max="674" width="10.7109375" customWidth="1"/>
    <col min="675" max="675" width="17.42578125" customWidth="1"/>
    <col min="676" max="676" width="10.7109375" customWidth="1"/>
    <col min="677" max="680" width="6.7109375" customWidth="1"/>
    <col min="681" max="683" width="10.7109375" customWidth="1"/>
    <col min="684" max="684" width="17.42578125" customWidth="1"/>
    <col min="685" max="685" width="10.7109375" customWidth="1"/>
    <col min="686" max="689" width="6.7109375" customWidth="1"/>
    <col min="690" max="692" width="10.7109375" customWidth="1"/>
    <col min="693" max="693" width="17.42578125" customWidth="1"/>
    <col min="694" max="694" width="10.7109375" customWidth="1"/>
    <col min="695" max="698" width="6.7109375" customWidth="1"/>
    <col min="699" max="701" width="10.7109375" customWidth="1"/>
    <col min="702" max="702" width="17.42578125" customWidth="1"/>
  </cols>
  <sheetData>
    <row r="1" spans="1:11" ht="20.45" customHeight="1">
      <c r="A1" s="174" t="s">
        <v>0</v>
      </c>
      <c r="B1" s="175"/>
      <c r="C1" s="176"/>
      <c r="D1" s="177"/>
      <c r="E1" s="178"/>
      <c r="F1" s="174" t="s">
        <v>1</v>
      </c>
      <c r="G1" s="175"/>
      <c r="H1" s="179"/>
      <c r="I1" s="180"/>
      <c r="J1" s="180"/>
      <c r="K1" s="181"/>
    </row>
    <row r="2" spans="1:11" ht="11.25" customHeight="1">
      <c r="A2" s="1"/>
      <c r="B2" s="2"/>
      <c r="C2" s="2"/>
      <c r="D2" s="2"/>
      <c r="E2" s="3"/>
      <c r="F2" s="3"/>
      <c r="G2" s="3"/>
      <c r="H2" s="2"/>
      <c r="I2" s="2"/>
      <c r="J2" s="2"/>
      <c r="K2" s="2"/>
    </row>
    <row r="3" spans="1:11" ht="27" customHeight="1">
      <c r="A3" s="182" t="s">
        <v>2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20.45" customHeight="1">
      <c r="A4" s="183" t="s">
        <v>3</v>
      </c>
      <c r="B4" s="184"/>
      <c r="C4" s="184"/>
      <c r="D4" s="184"/>
      <c r="E4" s="184"/>
      <c r="F4" s="184"/>
      <c r="G4" s="184"/>
      <c r="H4" s="184"/>
      <c r="I4" s="184"/>
      <c r="J4" s="184"/>
      <c r="K4" s="185"/>
    </row>
    <row r="5" spans="1:11" s="5" customFormat="1" ht="26.25" customHeight="1">
      <c r="A5" s="186" t="s">
        <v>4</v>
      </c>
      <c r="B5" s="188" t="s">
        <v>5</v>
      </c>
      <c r="C5" s="189"/>
      <c r="D5" s="189"/>
      <c r="E5" s="190"/>
      <c r="F5" s="191" t="s">
        <v>6</v>
      </c>
      <c r="G5" s="192"/>
      <c r="H5" s="192"/>
      <c r="I5" s="192"/>
      <c r="J5" s="192"/>
      <c r="K5" s="193"/>
    </row>
    <row r="6" spans="1:11" ht="20.25" customHeight="1">
      <c r="A6" s="187"/>
      <c r="B6" s="6" t="s">
        <v>7</v>
      </c>
      <c r="C6" s="6" t="s">
        <v>8</v>
      </c>
      <c r="D6" s="4" t="s">
        <v>9</v>
      </c>
      <c r="E6" s="7" t="s">
        <v>10</v>
      </c>
      <c r="F6" s="194"/>
      <c r="G6" s="195"/>
      <c r="H6" s="195"/>
      <c r="I6" s="195"/>
      <c r="J6" s="195"/>
      <c r="K6" s="196"/>
    </row>
    <row r="7" spans="1:11" ht="20.45" customHeight="1">
      <c r="A7" s="8"/>
      <c r="B7" s="9">
        <v>35000</v>
      </c>
      <c r="C7" s="9"/>
      <c r="D7" s="10"/>
      <c r="E7" s="11"/>
      <c r="F7" s="155" t="s">
        <v>120</v>
      </c>
      <c r="G7" s="156"/>
      <c r="H7" s="156"/>
      <c r="I7" s="156"/>
      <c r="J7" s="156"/>
      <c r="K7" s="157"/>
    </row>
    <row r="8" spans="1:11" ht="20.45" customHeight="1">
      <c r="A8" s="8">
        <v>72</v>
      </c>
      <c r="B8" s="9"/>
      <c r="C8" s="9"/>
      <c r="D8" s="10">
        <v>28990</v>
      </c>
      <c r="E8" s="11"/>
      <c r="F8" s="155" t="s">
        <v>121</v>
      </c>
      <c r="G8" s="156"/>
      <c r="H8" s="156"/>
      <c r="I8" s="156"/>
      <c r="J8" s="156"/>
      <c r="K8" s="157"/>
    </row>
    <row r="9" spans="1:11" ht="20.45" customHeight="1">
      <c r="A9" s="8">
        <v>76</v>
      </c>
      <c r="B9" s="9"/>
      <c r="C9" s="9"/>
      <c r="D9" s="10">
        <v>19400</v>
      </c>
      <c r="E9" s="11"/>
      <c r="F9" s="155" t="s">
        <v>122</v>
      </c>
      <c r="G9" s="156"/>
      <c r="H9" s="156"/>
      <c r="I9" s="156"/>
      <c r="J9" s="156"/>
      <c r="K9" s="157"/>
    </row>
    <row r="10" spans="1:11" ht="20.45" customHeight="1">
      <c r="A10" s="8">
        <v>73</v>
      </c>
      <c r="B10" s="9"/>
      <c r="C10" s="9">
        <v>59500</v>
      </c>
      <c r="D10" s="10"/>
      <c r="E10" s="11"/>
      <c r="F10" s="155" t="s">
        <v>123</v>
      </c>
      <c r="G10" s="156"/>
      <c r="H10" s="156"/>
      <c r="I10" s="156"/>
      <c r="J10" s="156"/>
      <c r="K10" s="157"/>
    </row>
    <row r="11" spans="1:11" ht="20.45" customHeight="1">
      <c r="A11" s="8"/>
      <c r="B11" s="9">
        <v>59500</v>
      </c>
      <c r="C11" s="9"/>
      <c r="D11" s="10"/>
      <c r="E11" s="11"/>
      <c r="F11" s="155" t="s">
        <v>124</v>
      </c>
      <c r="G11" s="156"/>
      <c r="H11" s="156"/>
      <c r="I11" s="156"/>
      <c r="J11" s="156"/>
      <c r="K11" s="157"/>
    </row>
    <row r="12" spans="1:11" ht="20.45" customHeight="1">
      <c r="A12" s="8">
        <v>74</v>
      </c>
      <c r="B12" s="9"/>
      <c r="C12" s="9">
        <v>30990</v>
      </c>
      <c r="D12" s="10"/>
      <c r="E12" s="11"/>
      <c r="F12" s="155" t="s">
        <v>125</v>
      </c>
      <c r="G12" s="156"/>
      <c r="H12" s="156"/>
      <c r="I12" s="156"/>
      <c r="J12" s="156"/>
      <c r="K12" s="157"/>
    </row>
    <row r="13" spans="1:11" ht="20.45" customHeight="1">
      <c r="A13" s="8">
        <v>75</v>
      </c>
      <c r="B13" s="9"/>
      <c r="C13" s="9">
        <v>24990</v>
      </c>
      <c r="D13" s="10"/>
      <c r="E13" s="11"/>
      <c r="F13" s="155" t="s">
        <v>126</v>
      </c>
      <c r="G13" s="156"/>
      <c r="H13" s="156"/>
      <c r="I13" s="156"/>
      <c r="J13" s="156"/>
      <c r="K13" s="157"/>
    </row>
    <row r="14" spans="1:11" ht="20.45" customHeight="1">
      <c r="A14" s="8">
        <v>77</v>
      </c>
      <c r="B14" s="9"/>
      <c r="C14" s="9">
        <v>12600</v>
      </c>
      <c r="D14" s="10"/>
      <c r="E14" s="11"/>
      <c r="F14" s="155" t="s">
        <v>127</v>
      </c>
      <c r="G14" s="156"/>
      <c r="H14" s="156"/>
      <c r="I14" s="156"/>
      <c r="J14" s="156"/>
      <c r="K14" s="157"/>
    </row>
    <row r="15" spans="1:11" ht="20.45" customHeight="1">
      <c r="A15" s="8"/>
      <c r="B15" s="9">
        <v>10000</v>
      </c>
      <c r="C15" s="9"/>
      <c r="D15" s="10"/>
      <c r="E15" s="11"/>
      <c r="F15" s="155" t="s">
        <v>128</v>
      </c>
      <c r="G15" s="156"/>
      <c r="H15" s="156"/>
      <c r="I15" s="156"/>
      <c r="J15" s="156"/>
      <c r="K15" s="157"/>
    </row>
    <row r="16" spans="1:11" ht="20.45" customHeight="1">
      <c r="A16" s="8">
        <v>76</v>
      </c>
      <c r="B16" s="9"/>
      <c r="C16" s="9">
        <v>159300</v>
      </c>
      <c r="D16" s="10"/>
      <c r="E16" s="11"/>
      <c r="F16" s="155" t="s">
        <v>129</v>
      </c>
      <c r="G16" s="156"/>
      <c r="H16" s="156"/>
      <c r="I16" s="156"/>
      <c r="J16" s="156"/>
      <c r="K16" s="157"/>
    </row>
    <row r="17" spans="1:11" ht="20.45" customHeight="1">
      <c r="A17" s="8">
        <v>78</v>
      </c>
      <c r="B17" s="9"/>
      <c r="C17" s="9">
        <v>3800</v>
      </c>
      <c r="D17" s="10"/>
      <c r="E17" s="11"/>
      <c r="F17" s="155" t="s">
        <v>130</v>
      </c>
      <c r="G17" s="156"/>
      <c r="H17" s="156"/>
      <c r="I17" s="156"/>
      <c r="J17" s="156"/>
      <c r="K17" s="157"/>
    </row>
    <row r="18" spans="1:11" s="12" customFormat="1" ht="20.45" customHeight="1">
      <c r="A18" s="8"/>
      <c r="B18" s="9"/>
      <c r="C18" s="9"/>
      <c r="D18" s="10"/>
      <c r="E18" s="11"/>
      <c r="F18" s="155"/>
      <c r="G18" s="156"/>
      <c r="H18" s="156"/>
      <c r="I18" s="156"/>
      <c r="J18" s="156"/>
      <c r="K18" s="157"/>
    </row>
    <row r="19" spans="1:11" ht="20.45" customHeight="1">
      <c r="A19" s="8"/>
      <c r="B19" s="9"/>
      <c r="C19" s="9"/>
      <c r="D19" s="10"/>
      <c r="E19" s="11"/>
      <c r="F19" s="155"/>
      <c r="G19" s="156"/>
      <c r="H19" s="156"/>
      <c r="I19" s="156"/>
      <c r="J19" s="156"/>
      <c r="K19" s="157"/>
    </row>
    <row r="20" spans="1:11" s="12" customFormat="1" ht="20.45" customHeight="1">
      <c r="A20" s="8"/>
      <c r="B20" s="9"/>
      <c r="C20" s="9"/>
      <c r="D20" s="10"/>
      <c r="E20" s="11"/>
      <c r="F20" s="155"/>
      <c r="G20" s="156"/>
      <c r="H20" s="156"/>
      <c r="I20" s="156"/>
      <c r="J20" s="156"/>
      <c r="K20" s="157"/>
    </row>
    <row r="21" spans="1:11" ht="20.45" customHeight="1">
      <c r="A21" s="8"/>
      <c r="B21" s="9"/>
      <c r="C21" s="9"/>
      <c r="D21" s="10"/>
      <c r="E21" s="11"/>
      <c r="F21" s="155"/>
      <c r="G21" s="156"/>
      <c r="H21" s="156"/>
      <c r="I21" s="156"/>
      <c r="J21" s="156"/>
      <c r="K21" s="157"/>
    </row>
    <row r="22" spans="1:11" ht="20.45" customHeight="1">
      <c r="A22" s="8"/>
      <c r="B22" s="9"/>
      <c r="C22" s="9"/>
      <c r="D22" s="10"/>
      <c r="E22" s="11"/>
      <c r="F22" s="155"/>
      <c r="G22" s="156"/>
      <c r="H22" s="156"/>
      <c r="I22" s="156"/>
      <c r="J22" s="156"/>
      <c r="K22" s="157"/>
    </row>
    <row r="23" spans="1:11" ht="20.45" customHeight="1">
      <c r="A23" s="8"/>
      <c r="B23" s="9"/>
      <c r="C23" s="9"/>
      <c r="D23" s="10"/>
      <c r="E23" s="11"/>
      <c r="F23" s="155"/>
      <c r="G23" s="156"/>
      <c r="H23" s="156"/>
      <c r="I23" s="156"/>
      <c r="J23" s="156"/>
      <c r="K23" s="157"/>
    </row>
    <row r="24" spans="1:11" ht="20.25" customHeight="1">
      <c r="A24" s="14" t="s">
        <v>11</v>
      </c>
      <c r="B24" s="15">
        <f>SUM($B7:$B23)</f>
        <v>104500</v>
      </c>
      <c r="C24" s="15">
        <f>SUM($C7:$C23)</f>
        <v>291180</v>
      </c>
      <c r="D24" s="15">
        <f>SUM($D7:$D23)</f>
        <v>48390</v>
      </c>
      <c r="E24" s="15">
        <f>SUM($E7:$E23)</f>
        <v>0</v>
      </c>
      <c r="F24" s="106"/>
      <c r="G24" s="107"/>
      <c r="H24" s="108"/>
      <c r="I24" s="108"/>
      <c r="J24" s="108"/>
      <c r="K24" s="108"/>
    </row>
    <row r="25" spans="1:11" ht="3.75" customHeight="1">
      <c r="A25" s="13"/>
      <c r="B25" s="17"/>
      <c r="C25" s="17"/>
      <c r="D25" s="17"/>
      <c r="E25" s="18"/>
      <c r="F25" s="16"/>
      <c r="G25" s="16"/>
      <c r="H25" s="19"/>
      <c r="I25" s="19"/>
      <c r="J25" s="105"/>
      <c r="K25" s="19"/>
    </row>
    <row r="26" spans="1:11" ht="21.75" customHeight="1">
      <c r="A26" s="13"/>
      <c r="B26" s="17"/>
      <c r="C26" s="17"/>
      <c r="D26" s="17"/>
      <c r="E26" s="18"/>
      <c r="F26" s="16"/>
      <c r="G26" s="16"/>
      <c r="H26" s="19"/>
      <c r="I26" s="20"/>
      <c r="J26" s="21" t="s">
        <v>12</v>
      </c>
      <c r="K26" s="22">
        <f>$B$24+$C$24+$D$24+$E$24</f>
        <v>444070</v>
      </c>
    </row>
    <row r="27" spans="1:11" ht="12" customHeight="1">
      <c r="A27" s="13"/>
      <c r="B27" s="17"/>
      <c r="C27" s="17"/>
      <c r="D27" s="17"/>
      <c r="E27" s="18"/>
      <c r="F27" s="23"/>
      <c r="G27" s="23"/>
      <c r="H27" s="17"/>
      <c r="I27" s="17"/>
      <c r="J27" s="17"/>
      <c r="K27" s="24"/>
    </row>
    <row r="28" spans="1:11" ht="26.25" customHeight="1">
      <c r="A28" s="25"/>
      <c r="B28" s="27"/>
      <c r="C28" s="27"/>
      <c r="D28" s="27"/>
      <c r="E28" s="28"/>
      <c r="F28" s="26"/>
      <c r="G28" s="28" t="s">
        <v>13</v>
      </c>
      <c r="H28" s="27"/>
      <c r="I28" s="27"/>
      <c r="J28" s="27"/>
      <c r="K28" s="27"/>
    </row>
    <row r="29" spans="1:11" ht="19.5" customHeight="1">
      <c r="A29" s="158" t="s">
        <v>14</v>
      </c>
      <c r="B29" s="159"/>
      <c r="C29" s="29"/>
      <c r="D29" s="30" t="s">
        <v>15</v>
      </c>
      <c r="E29" s="31"/>
      <c r="F29" s="164" t="s">
        <v>16</v>
      </c>
      <c r="G29" s="164"/>
      <c r="H29" s="159"/>
      <c r="I29" s="166" t="s">
        <v>17</v>
      </c>
      <c r="J29" s="167"/>
      <c r="K29" s="168"/>
    </row>
    <row r="30" spans="1:11" ht="18.75" customHeight="1">
      <c r="A30" s="160"/>
      <c r="B30" s="161"/>
      <c r="C30" s="169" t="s">
        <v>18</v>
      </c>
      <c r="D30" s="170"/>
      <c r="E30" s="32" t="s">
        <v>19</v>
      </c>
      <c r="F30" s="165"/>
      <c r="G30" s="165"/>
      <c r="H30" s="161"/>
      <c r="I30" s="169" t="s">
        <v>18</v>
      </c>
      <c r="J30" s="170"/>
      <c r="K30" s="32" t="s">
        <v>19</v>
      </c>
    </row>
    <row r="31" spans="1:11" ht="15.75" customHeight="1">
      <c r="A31" s="160"/>
      <c r="B31" s="161"/>
      <c r="C31" s="33" t="s">
        <v>20</v>
      </c>
      <c r="D31" s="34"/>
      <c r="E31" s="35">
        <f>B24</f>
        <v>104500</v>
      </c>
      <c r="F31" s="165"/>
      <c r="G31" s="165"/>
      <c r="H31" s="161"/>
      <c r="I31" s="33" t="s">
        <v>7</v>
      </c>
      <c r="J31" s="34"/>
      <c r="K31" s="36"/>
    </row>
    <row r="32" spans="1:11" ht="15.75" customHeight="1">
      <c r="A32" s="160"/>
      <c r="B32" s="161"/>
      <c r="C32" s="33" t="s">
        <v>21</v>
      </c>
      <c r="D32" s="37"/>
      <c r="E32" s="35">
        <f>C24</f>
        <v>291180</v>
      </c>
      <c r="F32" s="165"/>
      <c r="G32" s="165"/>
      <c r="H32" s="161"/>
      <c r="I32" s="38" t="s">
        <v>22</v>
      </c>
      <c r="J32" s="39"/>
      <c r="K32" s="40"/>
    </row>
    <row r="33" spans="1:11" ht="15.75" customHeight="1">
      <c r="A33" s="160"/>
      <c r="B33" s="161"/>
      <c r="C33" s="33" t="s">
        <v>23</v>
      </c>
      <c r="D33" s="37"/>
      <c r="E33" s="35">
        <f>D24</f>
        <v>48390</v>
      </c>
      <c r="F33" s="165"/>
      <c r="G33" s="165"/>
      <c r="H33" s="161"/>
      <c r="I33" s="38" t="s">
        <v>24</v>
      </c>
      <c r="J33" s="39"/>
      <c r="K33" s="40"/>
    </row>
    <row r="34" spans="1:11" ht="15.75" customHeight="1">
      <c r="A34" s="160"/>
      <c r="B34" s="161"/>
      <c r="C34" s="33" t="s">
        <v>25</v>
      </c>
      <c r="D34" s="37"/>
      <c r="E34" s="35">
        <f>E24</f>
        <v>0</v>
      </c>
      <c r="F34" s="165"/>
      <c r="G34" s="165"/>
      <c r="H34" s="161"/>
      <c r="I34" s="38"/>
      <c r="J34" s="39"/>
      <c r="K34" s="40"/>
    </row>
    <row r="35" spans="1:11" ht="15.75" customHeight="1">
      <c r="A35" s="160"/>
      <c r="B35" s="161"/>
      <c r="C35" s="41" t="s">
        <v>12</v>
      </c>
      <c r="D35" s="42"/>
      <c r="E35" s="43">
        <f>SUM(E31:E34)</f>
        <v>444070</v>
      </c>
      <c r="F35" s="165"/>
      <c r="G35" s="165"/>
      <c r="H35" s="161"/>
      <c r="I35" s="38"/>
      <c r="J35" s="39"/>
      <c r="K35" s="40"/>
    </row>
    <row r="36" spans="1:11" ht="15.75" customHeight="1">
      <c r="A36" s="160"/>
      <c r="B36" s="161"/>
      <c r="C36" s="171" t="s">
        <v>26</v>
      </c>
      <c r="D36" s="172"/>
      <c r="E36" s="173"/>
      <c r="F36" s="165"/>
      <c r="G36" s="165"/>
      <c r="H36" s="161"/>
      <c r="I36" s="38"/>
      <c r="J36" s="39"/>
      <c r="K36" s="40"/>
    </row>
    <row r="37" spans="1:11" ht="15.75" customHeight="1">
      <c r="A37" s="160"/>
      <c r="B37" s="161"/>
      <c r="C37" s="169" t="s">
        <v>18</v>
      </c>
      <c r="D37" s="170"/>
      <c r="E37" s="32" t="s">
        <v>19</v>
      </c>
      <c r="F37" s="165"/>
      <c r="G37" s="165"/>
      <c r="H37" s="161"/>
      <c r="I37" s="38"/>
      <c r="J37" s="39"/>
      <c r="K37" s="40"/>
    </row>
    <row r="38" spans="1:11" ht="15.75" customHeight="1">
      <c r="A38" s="160"/>
      <c r="B38" s="161"/>
      <c r="C38" s="44" t="s">
        <v>7</v>
      </c>
      <c r="D38" s="45"/>
      <c r="E38" s="46"/>
      <c r="F38" s="165"/>
      <c r="G38" s="165"/>
      <c r="H38" s="161"/>
      <c r="I38" s="41" t="s">
        <v>27</v>
      </c>
      <c r="J38" s="42"/>
      <c r="K38" s="43">
        <f>SUM(K31:K37)</f>
        <v>0</v>
      </c>
    </row>
    <row r="39" spans="1:11" ht="15.75" customHeight="1">
      <c r="A39" s="160"/>
      <c r="B39" s="161"/>
      <c r="C39" s="47" t="s">
        <v>24</v>
      </c>
      <c r="D39" s="48"/>
      <c r="E39" s="49"/>
      <c r="F39" s="165"/>
      <c r="G39" s="165"/>
      <c r="H39" s="161"/>
      <c r="I39" s="166" t="s">
        <v>28</v>
      </c>
      <c r="J39" s="167"/>
      <c r="K39" s="168"/>
    </row>
    <row r="40" spans="1:11" ht="18.75" customHeight="1">
      <c r="A40" s="162"/>
      <c r="B40" s="163"/>
      <c r="C40" s="41" t="s">
        <v>29</v>
      </c>
      <c r="D40" s="42"/>
      <c r="E40" s="43">
        <f>SUM(E38:E39)</f>
        <v>0</v>
      </c>
      <c r="F40" s="165"/>
      <c r="G40" s="165"/>
      <c r="H40" s="161"/>
      <c r="I40" s="38" t="s">
        <v>30</v>
      </c>
      <c r="J40" s="48"/>
      <c r="K40" s="49"/>
    </row>
    <row r="41" spans="1:11" ht="15.75" customHeight="1">
      <c r="A41" s="13"/>
      <c r="B41" s="50"/>
      <c r="C41" s="51"/>
      <c r="D41" s="52" t="s">
        <v>31</v>
      </c>
      <c r="E41" s="53">
        <f>E35+E40</f>
        <v>444070</v>
      </c>
      <c r="F41" s="54"/>
      <c r="G41" s="54"/>
      <c r="H41" s="55"/>
      <c r="I41" s="51"/>
      <c r="J41" s="52" t="s">
        <v>32</v>
      </c>
      <c r="K41" s="53">
        <f>K38+K40</f>
        <v>0</v>
      </c>
    </row>
    <row r="42" spans="1:11" ht="11.25" customHeight="1">
      <c r="A42" s="13"/>
      <c r="B42" s="18"/>
      <c r="C42" s="18"/>
      <c r="D42" s="18"/>
      <c r="E42" s="18"/>
      <c r="F42" s="57"/>
      <c r="G42" s="57"/>
      <c r="H42" s="135"/>
      <c r="I42" s="135"/>
      <c r="J42" s="17"/>
      <c r="K42" s="17"/>
    </row>
    <row r="43" spans="1:11" ht="28.5">
      <c r="A43" s="25"/>
      <c r="B43" s="27"/>
      <c r="C43" s="27"/>
      <c r="D43" s="27"/>
      <c r="E43" s="28"/>
      <c r="F43" s="26"/>
      <c r="G43" s="28" t="s">
        <v>33</v>
      </c>
      <c r="H43" s="27"/>
      <c r="I43" s="27"/>
      <c r="J43" s="27"/>
      <c r="K43" s="27"/>
    </row>
    <row r="44" spans="1:11" ht="17.100000000000001" customHeight="1">
      <c r="A44" s="136" t="s">
        <v>34</v>
      </c>
      <c r="B44" s="137"/>
      <c r="C44" s="58" t="s">
        <v>35</v>
      </c>
      <c r="D44" s="58" t="s">
        <v>36</v>
      </c>
      <c r="E44" s="59" t="s">
        <v>19</v>
      </c>
      <c r="F44" s="142" t="s">
        <v>37</v>
      </c>
      <c r="G44" s="143"/>
      <c r="H44" s="137"/>
      <c r="I44" s="58" t="s">
        <v>35</v>
      </c>
      <c r="J44" s="58" t="s">
        <v>36</v>
      </c>
      <c r="K44" s="58" t="s">
        <v>19</v>
      </c>
    </row>
    <row r="45" spans="1:11" ht="17.100000000000001" customHeight="1">
      <c r="A45" s="138"/>
      <c r="B45" s="139"/>
      <c r="C45" s="60">
        <v>20000</v>
      </c>
      <c r="D45" s="61">
        <v>5</v>
      </c>
      <c r="E45" s="62">
        <f>C45*D45</f>
        <v>100000</v>
      </c>
      <c r="F45" s="144"/>
      <c r="G45" s="145"/>
      <c r="H45" s="139"/>
      <c r="I45" s="60">
        <v>500</v>
      </c>
      <c r="J45" s="61">
        <v>3</v>
      </c>
      <c r="K45" s="63">
        <f>I45*J45</f>
        <v>1500</v>
      </c>
    </row>
    <row r="46" spans="1:11" ht="17.100000000000001" customHeight="1">
      <c r="A46" s="138"/>
      <c r="B46" s="139"/>
      <c r="C46" s="60">
        <v>10000</v>
      </c>
      <c r="D46" s="61">
        <v>1</v>
      </c>
      <c r="E46" s="62">
        <f>C46*D46</f>
        <v>10000</v>
      </c>
      <c r="F46" s="144"/>
      <c r="G46" s="145"/>
      <c r="H46" s="139"/>
      <c r="I46" s="60">
        <v>100</v>
      </c>
      <c r="J46" s="61">
        <v>32</v>
      </c>
      <c r="K46" s="63">
        <f>I46*J46</f>
        <v>3200</v>
      </c>
    </row>
    <row r="47" spans="1:11" ht="17.100000000000001" customHeight="1">
      <c r="A47" s="138"/>
      <c r="B47" s="139"/>
      <c r="C47" s="60">
        <v>5000</v>
      </c>
      <c r="D47" s="61"/>
      <c r="E47" s="62">
        <f>C47*D47</f>
        <v>0</v>
      </c>
      <c r="F47" s="144"/>
      <c r="G47" s="145"/>
      <c r="H47" s="139"/>
      <c r="I47" s="60">
        <v>50</v>
      </c>
      <c r="J47" s="61">
        <v>8</v>
      </c>
      <c r="K47" s="63">
        <f>I47*J47</f>
        <v>400</v>
      </c>
    </row>
    <row r="48" spans="1:11" ht="17.100000000000001" customHeight="1">
      <c r="A48" s="138"/>
      <c r="B48" s="139"/>
      <c r="C48" s="60">
        <v>2000</v>
      </c>
      <c r="D48" s="61"/>
      <c r="E48" s="62">
        <f>C48*D48</f>
        <v>0</v>
      </c>
      <c r="F48" s="144"/>
      <c r="G48" s="145"/>
      <c r="H48" s="139"/>
      <c r="I48" s="60">
        <v>10</v>
      </c>
      <c r="J48" s="61">
        <v>15</v>
      </c>
      <c r="K48" s="63">
        <f>I48*J48</f>
        <v>150</v>
      </c>
    </row>
    <row r="49" spans="1:11" ht="17.100000000000001" customHeight="1">
      <c r="A49" s="140"/>
      <c r="B49" s="141"/>
      <c r="C49" s="60">
        <v>1000</v>
      </c>
      <c r="D49" s="61">
        <v>21</v>
      </c>
      <c r="E49" s="62">
        <f>C49*D49</f>
        <v>21000</v>
      </c>
      <c r="F49" s="146"/>
      <c r="G49" s="147"/>
      <c r="H49" s="141"/>
      <c r="I49" s="60"/>
      <c r="J49" s="64"/>
      <c r="K49" s="63"/>
    </row>
    <row r="50" spans="1:11" ht="18.75">
      <c r="A50" s="13"/>
      <c r="B50" s="65"/>
      <c r="C50" s="66"/>
      <c r="D50" s="67" t="s">
        <v>38</v>
      </c>
      <c r="E50" s="68">
        <f>SUM(E45:E49)</f>
        <v>131000</v>
      </c>
      <c r="F50" s="54"/>
      <c r="G50" s="54"/>
      <c r="H50" s="55"/>
      <c r="I50" s="66"/>
      <c r="J50" s="67" t="s">
        <v>39</v>
      </c>
      <c r="K50" s="68">
        <f>SUM(K45:K49)</f>
        <v>5250</v>
      </c>
    </row>
    <row r="51" spans="1:11" ht="18.75">
      <c r="A51" s="13"/>
      <c r="B51" s="18"/>
      <c r="C51" s="18"/>
      <c r="D51" s="18"/>
      <c r="E51" s="18"/>
      <c r="F51" s="16"/>
      <c r="G51" s="16"/>
      <c r="H51" s="65"/>
      <c r="I51" s="65"/>
      <c r="J51" s="17"/>
      <c r="K51" s="17"/>
    </row>
    <row r="52" spans="1:11" ht="18" customHeight="1">
      <c r="A52" s="13"/>
      <c r="B52" s="18"/>
      <c r="C52" s="18"/>
      <c r="D52" s="18"/>
      <c r="E52" s="18"/>
      <c r="F52" s="69"/>
      <c r="G52" s="69"/>
      <c r="H52" s="70" t="s">
        <v>40</v>
      </c>
      <c r="I52" s="71"/>
      <c r="J52" s="69"/>
      <c r="K52" s="17"/>
    </row>
    <row r="53" spans="1:11" ht="4.5" customHeight="1">
      <c r="A53" s="13"/>
      <c r="B53" s="18"/>
      <c r="C53" s="18"/>
      <c r="D53" s="18"/>
      <c r="E53" s="18"/>
      <c r="F53" s="16"/>
      <c r="G53" s="16"/>
      <c r="H53" s="17"/>
      <c r="I53" s="17"/>
      <c r="J53" s="17"/>
      <c r="K53" s="17"/>
    </row>
    <row r="54" spans="1:11" ht="15" customHeight="1">
      <c r="A54" s="72"/>
      <c r="B54" s="148" t="s">
        <v>41</v>
      </c>
      <c r="C54" s="149"/>
      <c r="D54" s="150"/>
      <c r="E54" s="18"/>
      <c r="F54" s="73"/>
      <c r="G54" s="73"/>
      <c r="H54" s="74" t="s">
        <v>42</v>
      </c>
      <c r="I54" s="75">
        <v>31750</v>
      </c>
      <c r="J54" s="76"/>
      <c r="K54" s="17"/>
    </row>
    <row r="55" spans="1:11" ht="4.5" customHeight="1">
      <c r="A55" s="72"/>
      <c r="B55" s="151"/>
      <c r="C55" s="152"/>
      <c r="D55" s="153"/>
      <c r="E55" s="18"/>
      <c r="F55" s="16"/>
      <c r="G55" s="16"/>
      <c r="H55" s="17"/>
      <c r="I55" s="77"/>
      <c r="J55" s="17"/>
      <c r="K55" s="17"/>
    </row>
    <row r="56" spans="1:11" ht="18.75" customHeight="1">
      <c r="A56" s="78"/>
      <c r="B56" s="154"/>
      <c r="C56" s="154"/>
      <c r="D56" s="154"/>
      <c r="E56" s="18"/>
      <c r="F56" s="79"/>
      <c r="G56" s="79"/>
      <c r="H56" s="80" t="s">
        <v>43</v>
      </c>
      <c r="I56" s="81">
        <f>E50+K50</f>
        <v>136250</v>
      </c>
      <c r="J56" s="82"/>
      <c r="K56" s="17"/>
    </row>
    <row r="57" spans="1:11" ht="4.5" customHeight="1">
      <c r="A57" s="78"/>
      <c r="B57" s="154"/>
      <c r="C57" s="154"/>
      <c r="D57" s="154"/>
      <c r="E57" s="18"/>
      <c r="F57" s="56"/>
      <c r="G57" s="56"/>
      <c r="H57" s="57"/>
      <c r="I57" s="83"/>
      <c r="J57" s="65"/>
      <c r="K57" s="17"/>
    </row>
    <row r="58" spans="1:11" ht="18.75">
      <c r="A58" s="78"/>
      <c r="B58" s="154"/>
      <c r="C58" s="154"/>
      <c r="D58" s="154"/>
      <c r="E58" s="18"/>
      <c r="F58" s="79"/>
      <c r="G58" s="79"/>
      <c r="H58" s="80" t="s">
        <v>12</v>
      </c>
      <c r="I58" s="81">
        <f>K26</f>
        <v>444070</v>
      </c>
      <c r="J58" s="82"/>
      <c r="K58" s="24"/>
    </row>
    <row r="59" spans="1:11" ht="4.5" customHeight="1">
      <c r="A59" s="78"/>
      <c r="B59" s="154"/>
      <c r="C59" s="154"/>
      <c r="D59" s="154"/>
      <c r="E59" s="18"/>
      <c r="F59" s="56"/>
      <c r="G59" s="56"/>
      <c r="H59" s="57"/>
      <c r="I59" s="83"/>
      <c r="J59" s="18"/>
      <c r="K59" s="17"/>
    </row>
    <row r="60" spans="1:11" ht="18.75">
      <c r="A60" s="78"/>
      <c r="B60" s="154"/>
      <c r="C60" s="154"/>
      <c r="D60" s="154"/>
      <c r="E60" s="18"/>
      <c r="F60" s="84"/>
      <c r="G60" s="84"/>
      <c r="H60" s="85" t="s">
        <v>26</v>
      </c>
      <c r="I60" s="86">
        <f>E38</f>
        <v>0</v>
      </c>
      <c r="J60" s="82"/>
      <c r="K60" s="17"/>
    </row>
    <row r="61" spans="1:11" ht="4.5" customHeight="1">
      <c r="A61" s="78"/>
      <c r="B61" s="154"/>
      <c r="C61" s="154"/>
      <c r="D61" s="154"/>
      <c r="E61" s="18"/>
      <c r="F61" s="13"/>
      <c r="G61" s="13"/>
      <c r="H61" s="16"/>
      <c r="I61" s="77"/>
      <c r="J61" s="17"/>
      <c r="K61" s="17"/>
    </row>
    <row r="62" spans="1:11" ht="18.75">
      <c r="A62" s="78"/>
      <c r="B62" s="154"/>
      <c r="C62" s="154"/>
      <c r="D62" s="154"/>
      <c r="E62" s="18"/>
      <c r="F62" s="84"/>
      <c r="G62" s="84"/>
      <c r="H62" s="85" t="s">
        <v>17</v>
      </c>
      <c r="I62" s="86">
        <f>K31+K40</f>
        <v>0</v>
      </c>
      <c r="J62" s="82"/>
      <c r="K62" s="17"/>
    </row>
    <row r="63" spans="1:11" ht="4.5" customHeight="1">
      <c r="A63" s="78"/>
      <c r="B63" s="154"/>
      <c r="C63" s="154"/>
      <c r="D63" s="154"/>
      <c r="E63" s="18"/>
      <c r="F63" s="13"/>
      <c r="G63" s="13"/>
      <c r="H63" s="16"/>
      <c r="I63" s="77"/>
      <c r="J63" s="17"/>
      <c r="K63" s="17"/>
    </row>
    <row r="64" spans="1:11" ht="18.75">
      <c r="A64" s="78"/>
      <c r="B64" s="154"/>
      <c r="C64" s="154"/>
      <c r="D64" s="154"/>
      <c r="E64" s="18"/>
      <c r="F64" s="84"/>
      <c r="G64" s="84"/>
      <c r="H64" s="85" t="s">
        <v>44</v>
      </c>
      <c r="I64" s="86">
        <f>I54+I58+I60-I62</f>
        <v>475820</v>
      </c>
      <c r="J64" s="87"/>
      <c r="K64" s="17"/>
    </row>
    <row r="65" spans="1:11" ht="4.5" customHeight="1">
      <c r="A65" s="13"/>
      <c r="B65" s="154"/>
      <c r="C65" s="154"/>
      <c r="D65" s="154"/>
      <c r="E65" s="18"/>
      <c r="F65" s="16"/>
      <c r="G65" s="16"/>
      <c r="H65" s="18"/>
      <c r="I65" s="77"/>
      <c r="J65" s="17"/>
      <c r="K65" s="17"/>
    </row>
    <row r="66" spans="1:11" ht="18.75">
      <c r="A66" s="13"/>
      <c r="B66" s="154"/>
      <c r="C66" s="154"/>
      <c r="D66" s="154"/>
      <c r="E66" s="18"/>
      <c r="F66" s="73"/>
      <c r="G66" s="73"/>
      <c r="H66" s="74" t="s">
        <v>45</v>
      </c>
      <c r="I66" s="86">
        <f>I64-I54</f>
        <v>444070</v>
      </c>
      <c r="J66" s="88"/>
      <c r="K66" s="17"/>
    </row>
    <row r="67" spans="1:11" ht="4.5" customHeight="1">
      <c r="A67" s="78"/>
      <c r="B67" s="154"/>
      <c r="C67" s="154"/>
      <c r="D67" s="154"/>
      <c r="E67" s="18"/>
      <c r="F67" s="16"/>
      <c r="G67" s="16"/>
      <c r="H67" s="16"/>
      <c r="I67" s="77"/>
      <c r="J67" s="17"/>
      <c r="K67" s="17"/>
    </row>
    <row r="68" spans="1:11" ht="18.75">
      <c r="A68" s="13"/>
      <c r="B68" s="154"/>
      <c r="C68" s="154"/>
      <c r="D68" s="154"/>
      <c r="E68" s="18"/>
      <c r="F68" s="79"/>
      <c r="G68" s="79"/>
      <c r="H68" s="80" t="s">
        <v>46</v>
      </c>
      <c r="I68" s="86">
        <f>I54+E31+(E38-(K31+K40))</f>
        <v>136250</v>
      </c>
      <c r="J68" s="88"/>
      <c r="K68" s="17"/>
    </row>
    <row r="69" spans="1:11" ht="4.5" customHeight="1">
      <c r="A69" s="78"/>
      <c r="B69" s="154"/>
      <c r="C69" s="154"/>
      <c r="D69" s="154"/>
      <c r="E69" s="18"/>
      <c r="F69" s="16"/>
      <c r="G69" s="16"/>
      <c r="H69" s="16"/>
      <c r="I69" s="77"/>
      <c r="J69" s="17"/>
      <c r="K69" s="17"/>
    </row>
    <row r="70" spans="1:11" ht="18.75" customHeight="1">
      <c r="A70" s="78"/>
      <c r="B70" s="154"/>
      <c r="C70" s="154"/>
      <c r="D70" s="154"/>
      <c r="E70" s="18"/>
      <c r="F70" s="79"/>
      <c r="G70" s="79"/>
      <c r="H70" s="80" t="s">
        <v>47</v>
      </c>
      <c r="I70" s="89">
        <f>I56-I68</f>
        <v>0</v>
      </c>
      <c r="J70" s="90"/>
      <c r="K70" s="17"/>
    </row>
    <row r="71" spans="1:11" ht="15" customHeight="1">
      <c r="A71" s="91"/>
      <c r="B71" s="92"/>
      <c r="C71" s="92"/>
      <c r="D71" s="92"/>
      <c r="E71" s="93"/>
      <c r="F71" s="94"/>
      <c r="G71" s="94"/>
      <c r="H71" s="95"/>
      <c r="I71" s="95"/>
      <c r="J71" s="95"/>
      <c r="K71" s="95"/>
    </row>
    <row r="72" spans="1:11" ht="15" customHeight="1">
      <c r="A72" s="91"/>
      <c r="B72" s="92"/>
      <c r="C72" s="92"/>
      <c r="D72" s="92"/>
      <c r="E72" s="93"/>
      <c r="F72" s="94"/>
      <c r="G72" s="94"/>
      <c r="H72" s="95"/>
      <c r="I72" s="95"/>
      <c r="J72" s="95"/>
      <c r="K72" s="95"/>
    </row>
    <row r="73" spans="1:11" ht="15" customHeight="1">
      <c r="A73" s="91"/>
      <c r="B73" s="92"/>
      <c r="C73" s="92"/>
      <c r="D73" s="92"/>
      <c r="E73" s="93"/>
      <c r="F73" s="94"/>
      <c r="G73" s="94"/>
      <c r="H73" s="95"/>
      <c r="I73" s="95"/>
      <c r="J73" s="95"/>
      <c r="K73" s="95"/>
    </row>
    <row r="74" spans="1:11" ht="15" customHeight="1">
      <c r="A74" s="91"/>
      <c r="B74" s="92"/>
      <c r="C74" s="92"/>
      <c r="D74" s="92"/>
      <c r="E74" s="93"/>
      <c r="F74" s="94"/>
      <c r="G74" s="94"/>
      <c r="H74" s="95"/>
      <c r="I74" s="95"/>
      <c r="J74" s="95"/>
      <c r="K74" s="95"/>
    </row>
    <row r="75" spans="1:11" ht="15.75" customHeight="1">
      <c r="A75" s="91"/>
      <c r="B75" s="92"/>
      <c r="C75" s="92"/>
      <c r="D75" s="92"/>
      <c r="E75" s="93"/>
      <c r="F75" s="94"/>
      <c r="G75" s="94"/>
      <c r="H75" s="95"/>
      <c r="I75" s="95"/>
      <c r="J75" s="95"/>
      <c r="K75" s="95"/>
    </row>
    <row r="76" spans="1:11" ht="14.25" customHeight="1">
      <c r="A76" s="91"/>
      <c r="B76" s="92"/>
      <c r="C76" s="92"/>
      <c r="D76" s="92"/>
      <c r="E76" s="93"/>
      <c r="F76" s="94"/>
      <c r="G76" s="94"/>
      <c r="H76" s="95"/>
      <c r="I76" s="95"/>
      <c r="J76" s="95"/>
      <c r="K76" s="95"/>
    </row>
    <row r="77" spans="1:11">
      <c r="A77" s="96"/>
      <c r="B77" s="98"/>
      <c r="C77" s="98"/>
      <c r="D77" s="98"/>
      <c r="E77" s="98"/>
      <c r="F77" s="97"/>
      <c r="G77" s="97"/>
      <c r="H77" s="99"/>
      <c r="I77" s="99"/>
      <c r="J77" s="99"/>
      <c r="K77" s="99"/>
    </row>
    <row r="78" spans="1:11">
      <c r="D78" s="102"/>
      <c r="E78" s="102"/>
    </row>
    <row r="79" spans="1:11">
      <c r="D79" s="102"/>
      <c r="E79" s="102"/>
      <c r="H79" s="102"/>
    </row>
    <row r="80" spans="1:11">
      <c r="D80" s="102"/>
      <c r="E80" s="102"/>
      <c r="H80" s="102"/>
    </row>
    <row r="81" spans="4:11">
      <c r="D81" s="102"/>
      <c r="E81" s="102"/>
      <c r="H81" s="102"/>
      <c r="I81" s="102"/>
      <c r="J81" s="102"/>
      <c r="K81" s="102"/>
    </row>
    <row r="82" spans="4:11">
      <c r="D82" s="102"/>
      <c r="E82" s="102"/>
      <c r="H82" s="102"/>
      <c r="I82" s="102"/>
      <c r="J82" s="102"/>
      <c r="K82" s="102"/>
    </row>
    <row r="83" spans="4:11">
      <c r="D83" s="102"/>
      <c r="E83" s="102"/>
      <c r="H83" s="102"/>
      <c r="I83" s="102"/>
      <c r="J83" s="102"/>
      <c r="K83" s="102"/>
    </row>
    <row r="84" spans="4:11">
      <c r="D84" s="102"/>
      <c r="E84" s="102"/>
      <c r="H84" s="102"/>
      <c r="I84" s="102"/>
      <c r="J84" s="102"/>
      <c r="K84" s="102"/>
    </row>
    <row r="85" spans="4:11">
      <c r="D85" s="102"/>
      <c r="E85" s="102"/>
      <c r="H85" s="102"/>
      <c r="I85" s="102"/>
      <c r="J85" s="102"/>
      <c r="K85" s="102"/>
    </row>
    <row r="86" spans="4:11">
      <c r="D86" s="102"/>
      <c r="E86" s="102"/>
      <c r="H86" s="102"/>
      <c r="I86" s="102"/>
      <c r="J86" s="102"/>
      <c r="K86" s="102"/>
    </row>
    <row r="87" spans="4:11">
      <c r="D87" s="102"/>
      <c r="E87" s="102"/>
      <c r="H87" s="102"/>
      <c r="I87" s="102"/>
      <c r="J87" s="102"/>
      <c r="K87" s="102"/>
    </row>
    <row r="88" spans="4:11">
      <c r="D88" s="102"/>
      <c r="E88" s="102"/>
      <c r="H88" s="102"/>
      <c r="I88" s="102"/>
      <c r="J88" s="102"/>
      <c r="K88" s="102"/>
    </row>
  </sheetData>
  <mergeCells count="39">
    <mergeCell ref="F9:K9"/>
    <mergeCell ref="A1:B1"/>
    <mergeCell ref="C1:E1"/>
    <mergeCell ref="F1:G1"/>
    <mergeCell ref="H1:K1"/>
    <mergeCell ref="A3:K3"/>
    <mergeCell ref="A4:K4"/>
    <mergeCell ref="A5:A6"/>
    <mergeCell ref="B5:E5"/>
    <mergeCell ref="F5:K6"/>
    <mergeCell ref="F7:K7"/>
    <mergeCell ref="F8:K8"/>
    <mergeCell ref="F21:K21"/>
    <mergeCell ref="F10:K10"/>
    <mergeCell ref="F11:K11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22:K22"/>
    <mergeCell ref="F23:K23"/>
    <mergeCell ref="A29:B40"/>
    <mergeCell ref="F29:H40"/>
    <mergeCell ref="I29:K29"/>
    <mergeCell ref="C30:D30"/>
    <mergeCell ref="I30:J30"/>
    <mergeCell ref="C36:E36"/>
    <mergeCell ref="C37:D37"/>
    <mergeCell ref="I39:K39"/>
    <mergeCell ref="H42:I42"/>
    <mergeCell ref="A44:B49"/>
    <mergeCell ref="F44:H49"/>
    <mergeCell ref="B54:D55"/>
    <mergeCell ref="B56:D70"/>
  </mergeCells>
  <conditionalFormatting sqref="I70">
    <cfRule type="expression" dxfId="26" priority="1">
      <formula>$I70=0</formula>
    </cfRule>
    <cfRule type="expression" dxfId="25" priority="2">
      <formula>$I70&gt;=1</formula>
    </cfRule>
    <cfRule type="expression" dxfId="24" priority="3">
      <formula>$I70&lt;=-1</formula>
    </cfRule>
  </conditionalFormatting>
  <pageMargins left="0.25" right="0.25" top="0.75" bottom="0.75" header="0.3" footer="0.3"/>
  <pageSetup paperSize="9" scale="6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2019-7A8F-435B-B189-99BF2F8C1E40}">
  <sheetPr>
    <tabColor theme="2"/>
    <pageSetUpPr fitToPage="1"/>
  </sheetPr>
  <dimension ref="A1:K88"/>
  <sheetViews>
    <sheetView showWhiteSpace="0" view="pageLayout" zoomScale="80" zoomScaleNormal="80" zoomScalePageLayoutView="80" workbookViewId="0">
      <selection activeCell="A15" sqref="A15"/>
    </sheetView>
  </sheetViews>
  <sheetFormatPr defaultColWidth="20.7109375" defaultRowHeight="15"/>
  <cols>
    <col min="1" max="1" width="13.5703125" style="100" customWidth="1"/>
    <col min="2" max="3" width="13.7109375" style="102" customWidth="1"/>
    <col min="4" max="4" width="13.7109375" style="103" customWidth="1"/>
    <col min="5" max="5" width="14.7109375" style="104" customWidth="1"/>
    <col min="6" max="7" width="13.7109375" style="101" customWidth="1"/>
    <col min="8" max="10" width="13.7109375" style="103" customWidth="1"/>
    <col min="11" max="11" width="28.140625" style="103" customWidth="1"/>
    <col min="12" max="14" width="6.7109375" customWidth="1"/>
    <col min="15" max="17" width="10.7109375" customWidth="1"/>
    <col min="18" max="18" width="17.42578125" customWidth="1"/>
    <col min="19" max="19" width="10.7109375" customWidth="1"/>
    <col min="20" max="23" width="6.7109375" customWidth="1"/>
    <col min="24" max="26" width="10.7109375" customWidth="1"/>
    <col min="27" max="27" width="17.42578125" customWidth="1"/>
    <col min="28" max="28" width="10.7109375" customWidth="1"/>
    <col min="29" max="32" width="6.7109375" customWidth="1"/>
    <col min="33" max="35" width="10.7109375" customWidth="1"/>
    <col min="36" max="36" width="17.42578125" customWidth="1"/>
    <col min="37" max="37" width="10.7109375" customWidth="1"/>
    <col min="38" max="41" width="6.7109375" customWidth="1"/>
    <col min="42" max="44" width="10.7109375" customWidth="1"/>
    <col min="45" max="45" width="17.42578125" customWidth="1"/>
    <col min="46" max="46" width="10.7109375" customWidth="1"/>
    <col min="47" max="50" width="6.7109375" customWidth="1"/>
    <col min="51" max="53" width="10.7109375" customWidth="1"/>
    <col min="54" max="54" width="17.42578125" customWidth="1"/>
    <col min="55" max="55" width="10.7109375" customWidth="1"/>
    <col min="56" max="59" width="6.7109375" customWidth="1"/>
    <col min="60" max="62" width="10.7109375" customWidth="1"/>
    <col min="63" max="63" width="17.42578125" customWidth="1"/>
    <col min="64" max="64" width="10.7109375" customWidth="1"/>
    <col min="65" max="68" width="6.7109375" customWidth="1"/>
    <col min="69" max="71" width="10.7109375" customWidth="1"/>
    <col min="72" max="72" width="17.42578125" customWidth="1"/>
    <col min="73" max="73" width="10.7109375" customWidth="1"/>
    <col min="74" max="77" width="6.7109375" customWidth="1"/>
    <col min="78" max="80" width="10.7109375" customWidth="1"/>
    <col min="81" max="81" width="17.42578125" customWidth="1"/>
    <col min="82" max="82" width="10.7109375" customWidth="1"/>
    <col min="83" max="86" width="6.7109375" customWidth="1"/>
    <col min="87" max="89" width="10.7109375" customWidth="1"/>
    <col min="90" max="90" width="17.42578125" customWidth="1"/>
    <col min="91" max="91" width="10.7109375" customWidth="1"/>
    <col min="92" max="95" width="6.7109375" customWidth="1"/>
    <col min="96" max="98" width="10.7109375" customWidth="1"/>
    <col min="99" max="99" width="17.42578125" customWidth="1"/>
    <col min="100" max="100" width="10.7109375" customWidth="1"/>
    <col min="101" max="104" width="6.7109375" customWidth="1"/>
    <col min="105" max="107" width="10.7109375" customWidth="1"/>
    <col min="108" max="108" width="17.42578125" customWidth="1"/>
    <col min="109" max="109" width="10.7109375" customWidth="1"/>
    <col min="110" max="113" width="6.7109375" customWidth="1"/>
    <col min="114" max="116" width="10.7109375" customWidth="1"/>
    <col min="117" max="117" width="17.42578125" customWidth="1"/>
    <col min="118" max="118" width="10.7109375" customWidth="1"/>
    <col min="119" max="122" width="6.7109375" customWidth="1"/>
    <col min="123" max="125" width="10.7109375" customWidth="1"/>
    <col min="126" max="126" width="17.42578125" customWidth="1"/>
    <col min="127" max="127" width="10.7109375" customWidth="1"/>
    <col min="128" max="131" width="6.7109375" customWidth="1"/>
    <col min="132" max="134" width="10.7109375" customWidth="1"/>
    <col min="135" max="135" width="17.42578125" customWidth="1"/>
    <col min="136" max="136" width="10.7109375" customWidth="1"/>
    <col min="137" max="140" width="6.7109375" customWidth="1"/>
    <col min="141" max="143" width="10.7109375" customWidth="1"/>
    <col min="144" max="144" width="17.42578125" customWidth="1"/>
    <col min="145" max="145" width="10.7109375" customWidth="1"/>
    <col min="146" max="149" width="6.7109375" customWidth="1"/>
    <col min="150" max="152" width="10.7109375" customWidth="1"/>
    <col min="153" max="153" width="17.42578125" customWidth="1"/>
    <col min="154" max="154" width="10.7109375" customWidth="1"/>
    <col min="155" max="158" width="6.7109375" customWidth="1"/>
    <col min="159" max="161" width="10.7109375" customWidth="1"/>
    <col min="162" max="162" width="17.42578125" customWidth="1"/>
    <col min="163" max="163" width="10.7109375" customWidth="1"/>
    <col min="164" max="167" width="6.7109375" customWidth="1"/>
    <col min="168" max="170" width="10.7109375" customWidth="1"/>
    <col min="171" max="171" width="17.42578125" customWidth="1"/>
    <col min="172" max="172" width="10.7109375" customWidth="1"/>
    <col min="173" max="176" width="6.7109375" customWidth="1"/>
    <col min="177" max="179" width="10.7109375" customWidth="1"/>
    <col min="180" max="180" width="17.42578125" customWidth="1"/>
    <col min="181" max="181" width="10.7109375" customWidth="1"/>
    <col min="182" max="185" width="6.7109375" customWidth="1"/>
    <col min="186" max="188" width="10.7109375" customWidth="1"/>
    <col min="189" max="189" width="17.42578125" customWidth="1"/>
    <col min="190" max="190" width="10.7109375" customWidth="1"/>
    <col min="191" max="194" width="6.7109375" customWidth="1"/>
    <col min="195" max="197" width="10.7109375" customWidth="1"/>
    <col min="198" max="198" width="17.42578125" customWidth="1"/>
    <col min="199" max="199" width="10.7109375" customWidth="1"/>
    <col min="200" max="203" width="6.7109375" customWidth="1"/>
    <col min="204" max="206" width="10.7109375" customWidth="1"/>
    <col min="207" max="207" width="17.42578125" customWidth="1"/>
    <col min="208" max="208" width="10.7109375" customWidth="1"/>
    <col min="209" max="212" width="6.7109375" customWidth="1"/>
    <col min="213" max="215" width="10.7109375" customWidth="1"/>
    <col min="216" max="216" width="17.42578125" customWidth="1"/>
    <col min="217" max="217" width="10.7109375" customWidth="1"/>
    <col min="218" max="221" width="6.7109375" customWidth="1"/>
    <col min="222" max="224" width="10.7109375" customWidth="1"/>
    <col min="225" max="225" width="17.42578125" customWidth="1"/>
    <col min="226" max="226" width="10.7109375" customWidth="1"/>
    <col min="227" max="230" width="6.7109375" customWidth="1"/>
    <col min="231" max="233" width="10.7109375" customWidth="1"/>
    <col min="234" max="234" width="17.42578125" customWidth="1"/>
    <col min="235" max="235" width="10.7109375" customWidth="1"/>
    <col min="236" max="239" width="6.7109375" customWidth="1"/>
    <col min="240" max="242" width="10.7109375" customWidth="1"/>
    <col min="243" max="243" width="17.42578125" customWidth="1"/>
    <col min="244" max="244" width="10.7109375" customWidth="1"/>
    <col min="245" max="248" width="6.7109375" customWidth="1"/>
    <col min="249" max="251" width="10.7109375" customWidth="1"/>
    <col min="252" max="252" width="17.42578125" customWidth="1"/>
    <col min="253" max="253" width="10.7109375" customWidth="1"/>
    <col min="254" max="257" width="6.7109375" customWidth="1"/>
    <col min="258" max="260" width="10.7109375" customWidth="1"/>
    <col min="261" max="261" width="17.42578125" customWidth="1"/>
    <col min="262" max="262" width="10.7109375" customWidth="1"/>
    <col min="263" max="266" width="6.7109375" customWidth="1"/>
    <col min="267" max="269" width="10.7109375" customWidth="1"/>
    <col min="270" max="270" width="17.42578125" customWidth="1"/>
    <col min="271" max="271" width="10.7109375" customWidth="1"/>
    <col min="272" max="275" width="6.7109375" customWidth="1"/>
    <col min="276" max="278" width="10.7109375" customWidth="1"/>
    <col min="279" max="279" width="17.42578125" customWidth="1"/>
    <col min="280" max="280" width="10.7109375" customWidth="1"/>
    <col min="281" max="284" width="6.7109375" customWidth="1"/>
    <col min="285" max="287" width="10.7109375" customWidth="1"/>
    <col min="288" max="288" width="17.42578125" customWidth="1"/>
    <col min="289" max="289" width="10.7109375" customWidth="1"/>
    <col min="290" max="293" width="6.7109375" customWidth="1"/>
    <col min="294" max="296" width="10.7109375" customWidth="1"/>
    <col min="297" max="297" width="17.42578125" customWidth="1"/>
    <col min="298" max="298" width="10.7109375" customWidth="1"/>
    <col min="299" max="302" width="6.7109375" customWidth="1"/>
    <col min="303" max="305" width="10.7109375" customWidth="1"/>
    <col min="306" max="306" width="17.42578125" customWidth="1"/>
    <col min="307" max="307" width="10.7109375" customWidth="1"/>
    <col min="308" max="311" width="6.7109375" customWidth="1"/>
    <col min="312" max="314" width="10.7109375" customWidth="1"/>
    <col min="315" max="315" width="17.42578125" customWidth="1"/>
    <col min="316" max="316" width="10.7109375" customWidth="1"/>
    <col min="317" max="320" width="6.7109375" customWidth="1"/>
    <col min="321" max="323" width="10.7109375" customWidth="1"/>
    <col min="324" max="324" width="17.42578125" customWidth="1"/>
    <col min="325" max="325" width="10.7109375" customWidth="1"/>
    <col min="326" max="329" width="6.7109375" customWidth="1"/>
    <col min="330" max="332" width="10.7109375" customWidth="1"/>
    <col min="333" max="333" width="17.42578125" customWidth="1"/>
    <col min="334" max="334" width="10.7109375" customWidth="1"/>
    <col min="335" max="338" width="6.7109375" customWidth="1"/>
    <col min="339" max="341" width="10.7109375" customWidth="1"/>
    <col min="342" max="342" width="17.42578125" customWidth="1"/>
    <col min="343" max="343" width="10.7109375" customWidth="1"/>
    <col min="344" max="347" width="6.7109375" customWidth="1"/>
    <col min="348" max="350" width="10.7109375" customWidth="1"/>
    <col min="351" max="351" width="17.42578125" customWidth="1"/>
    <col min="352" max="352" width="10.7109375" customWidth="1"/>
    <col min="353" max="356" width="6.7109375" customWidth="1"/>
    <col min="357" max="359" width="10.7109375" customWidth="1"/>
    <col min="360" max="360" width="17.42578125" customWidth="1"/>
    <col min="361" max="361" width="10.7109375" customWidth="1"/>
    <col min="362" max="365" width="6.7109375" customWidth="1"/>
    <col min="366" max="368" width="10.7109375" customWidth="1"/>
    <col min="369" max="369" width="17.42578125" customWidth="1"/>
    <col min="370" max="370" width="10.7109375" customWidth="1"/>
    <col min="371" max="374" width="6.7109375" customWidth="1"/>
    <col min="375" max="377" width="10.7109375" customWidth="1"/>
    <col min="378" max="378" width="17.42578125" customWidth="1"/>
    <col min="379" max="379" width="10.7109375" customWidth="1"/>
    <col min="380" max="383" width="6.7109375" customWidth="1"/>
    <col min="384" max="386" width="10.7109375" customWidth="1"/>
    <col min="387" max="387" width="17.42578125" customWidth="1"/>
    <col min="388" max="388" width="10.7109375" customWidth="1"/>
    <col min="389" max="392" width="6.7109375" customWidth="1"/>
    <col min="393" max="395" width="10.7109375" customWidth="1"/>
    <col min="396" max="396" width="17.42578125" customWidth="1"/>
    <col min="397" max="397" width="10.7109375" customWidth="1"/>
    <col min="398" max="401" width="6.7109375" customWidth="1"/>
    <col min="402" max="404" width="10.7109375" customWidth="1"/>
    <col min="405" max="405" width="17.42578125" customWidth="1"/>
    <col min="406" max="406" width="10.7109375" customWidth="1"/>
    <col min="407" max="410" width="6.7109375" customWidth="1"/>
    <col min="411" max="413" width="10.7109375" customWidth="1"/>
    <col min="414" max="414" width="17.42578125" customWidth="1"/>
    <col min="415" max="415" width="10.7109375" customWidth="1"/>
    <col min="416" max="419" width="6.7109375" customWidth="1"/>
    <col min="420" max="422" width="10.7109375" customWidth="1"/>
    <col min="423" max="423" width="17.42578125" customWidth="1"/>
    <col min="424" max="424" width="10.7109375" customWidth="1"/>
    <col min="425" max="428" width="6.7109375" customWidth="1"/>
    <col min="429" max="431" width="10.7109375" customWidth="1"/>
    <col min="432" max="432" width="17.42578125" customWidth="1"/>
    <col min="433" max="433" width="10.7109375" customWidth="1"/>
    <col min="434" max="437" width="6.7109375" customWidth="1"/>
    <col min="438" max="440" width="10.7109375" customWidth="1"/>
    <col min="441" max="441" width="17.42578125" customWidth="1"/>
    <col min="442" max="442" width="10.7109375" customWidth="1"/>
    <col min="443" max="446" width="6.7109375" customWidth="1"/>
    <col min="447" max="449" width="10.7109375" customWidth="1"/>
    <col min="450" max="450" width="17.42578125" customWidth="1"/>
    <col min="451" max="451" width="10.7109375" customWidth="1"/>
    <col min="452" max="455" width="6.7109375" customWidth="1"/>
    <col min="456" max="458" width="10.7109375" customWidth="1"/>
    <col min="459" max="459" width="17.42578125" customWidth="1"/>
    <col min="460" max="460" width="10.7109375" customWidth="1"/>
    <col min="461" max="464" width="6.7109375" customWidth="1"/>
    <col min="465" max="467" width="10.7109375" customWidth="1"/>
    <col min="468" max="468" width="17.42578125" customWidth="1"/>
    <col min="469" max="469" width="10.7109375" customWidth="1"/>
    <col min="470" max="473" width="6.7109375" customWidth="1"/>
    <col min="474" max="476" width="10.7109375" customWidth="1"/>
    <col min="477" max="477" width="17.42578125" customWidth="1"/>
    <col min="478" max="478" width="10.7109375" customWidth="1"/>
    <col min="479" max="482" width="6.7109375" customWidth="1"/>
    <col min="483" max="485" width="10.7109375" customWidth="1"/>
    <col min="486" max="486" width="17.42578125" customWidth="1"/>
    <col min="487" max="487" width="10.7109375" customWidth="1"/>
    <col min="488" max="491" width="6.7109375" customWidth="1"/>
    <col min="492" max="494" width="10.7109375" customWidth="1"/>
    <col min="495" max="495" width="17.42578125" customWidth="1"/>
    <col min="496" max="496" width="10.7109375" customWidth="1"/>
    <col min="497" max="500" width="6.7109375" customWidth="1"/>
    <col min="501" max="503" width="10.7109375" customWidth="1"/>
    <col min="504" max="504" width="17.42578125" customWidth="1"/>
    <col min="505" max="505" width="10.7109375" customWidth="1"/>
    <col min="506" max="509" width="6.7109375" customWidth="1"/>
    <col min="510" max="512" width="10.7109375" customWidth="1"/>
    <col min="513" max="513" width="17.42578125" customWidth="1"/>
    <col min="514" max="514" width="10.7109375" customWidth="1"/>
    <col min="515" max="518" width="6.7109375" customWidth="1"/>
    <col min="519" max="521" width="10.7109375" customWidth="1"/>
    <col min="522" max="522" width="17.42578125" customWidth="1"/>
    <col min="523" max="523" width="10.7109375" customWidth="1"/>
    <col min="524" max="527" width="6.7109375" customWidth="1"/>
    <col min="528" max="530" width="10.7109375" customWidth="1"/>
    <col min="531" max="531" width="17.42578125" customWidth="1"/>
    <col min="532" max="532" width="10.7109375" customWidth="1"/>
    <col min="533" max="536" width="6.7109375" customWidth="1"/>
    <col min="537" max="539" width="10.7109375" customWidth="1"/>
    <col min="540" max="540" width="17.42578125" customWidth="1"/>
    <col min="541" max="541" width="10.7109375" customWidth="1"/>
    <col min="542" max="545" width="6.7109375" customWidth="1"/>
    <col min="546" max="548" width="10.7109375" customWidth="1"/>
    <col min="549" max="549" width="17.42578125" customWidth="1"/>
    <col min="550" max="550" width="10.7109375" customWidth="1"/>
    <col min="551" max="554" width="6.7109375" customWidth="1"/>
    <col min="555" max="557" width="10.7109375" customWidth="1"/>
    <col min="558" max="558" width="17.42578125" customWidth="1"/>
    <col min="559" max="559" width="10.7109375" customWidth="1"/>
    <col min="560" max="563" width="6.7109375" customWidth="1"/>
    <col min="564" max="566" width="10.7109375" customWidth="1"/>
    <col min="567" max="567" width="17.42578125" customWidth="1"/>
    <col min="568" max="568" width="10.7109375" customWidth="1"/>
    <col min="569" max="572" width="6.7109375" customWidth="1"/>
    <col min="573" max="575" width="10.7109375" customWidth="1"/>
    <col min="576" max="576" width="17.42578125" customWidth="1"/>
    <col min="577" max="577" width="10.7109375" customWidth="1"/>
    <col min="578" max="581" width="6.7109375" customWidth="1"/>
    <col min="582" max="584" width="10.7109375" customWidth="1"/>
    <col min="585" max="585" width="17.42578125" customWidth="1"/>
    <col min="586" max="586" width="10.7109375" customWidth="1"/>
    <col min="587" max="590" width="6.7109375" customWidth="1"/>
    <col min="591" max="593" width="10.7109375" customWidth="1"/>
    <col min="594" max="594" width="17.42578125" customWidth="1"/>
    <col min="595" max="595" width="10.7109375" customWidth="1"/>
    <col min="596" max="599" width="6.7109375" customWidth="1"/>
    <col min="600" max="602" width="10.7109375" customWidth="1"/>
    <col min="603" max="603" width="17.42578125" customWidth="1"/>
    <col min="604" max="604" width="10.7109375" customWidth="1"/>
    <col min="605" max="608" width="6.7109375" customWidth="1"/>
    <col min="609" max="611" width="10.7109375" customWidth="1"/>
    <col min="612" max="612" width="17.42578125" customWidth="1"/>
    <col min="613" max="613" width="10.7109375" customWidth="1"/>
    <col min="614" max="617" width="6.7109375" customWidth="1"/>
    <col min="618" max="620" width="10.7109375" customWidth="1"/>
    <col min="621" max="621" width="17.42578125" customWidth="1"/>
    <col min="622" max="622" width="10.7109375" customWidth="1"/>
    <col min="623" max="626" width="6.7109375" customWidth="1"/>
    <col min="627" max="629" width="10.7109375" customWidth="1"/>
    <col min="630" max="630" width="17.42578125" customWidth="1"/>
    <col min="631" max="631" width="10.7109375" customWidth="1"/>
    <col min="632" max="635" width="6.7109375" customWidth="1"/>
    <col min="636" max="638" width="10.7109375" customWidth="1"/>
    <col min="639" max="639" width="17.42578125" customWidth="1"/>
    <col min="640" max="640" width="10.7109375" customWidth="1"/>
    <col min="641" max="644" width="6.7109375" customWidth="1"/>
    <col min="645" max="647" width="10.7109375" customWidth="1"/>
    <col min="648" max="648" width="17.42578125" customWidth="1"/>
    <col min="649" max="649" width="10.7109375" customWidth="1"/>
    <col min="650" max="653" width="6.7109375" customWidth="1"/>
    <col min="654" max="656" width="10.7109375" customWidth="1"/>
    <col min="657" max="657" width="17.42578125" customWidth="1"/>
    <col min="658" max="658" width="10.7109375" customWidth="1"/>
    <col min="659" max="662" width="6.7109375" customWidth="1"/>
    <col min="663" max="665" width="10.7109375" customWidth="1"/>
    <col min="666" max="666" width="17.42578125" customWidth="1"/>
    <col min="667" max="667" width="10.7109375" customWidth="1"/>
    <col min="668" max="671" width="6.7109375" customWidth="1"/>
    <col min="672" max="674" width="10.7109375" customWidth="1"/>
    <col min="675" max="675" width="17.42578125" customWidth="1"/>
    <col min="676" max="676" width="10.7109375" customWidth="1"/>
    <col min="677" max="680" width="6.7109375" customWidth="1"/>
    <col min="681" max="683" width="10.7109375" customWidth="1"/>
    <col min="684" max="684" width="17.42578125" customWidth="1"/>
    <col min="685" max="685" width="10.7109375" customWidth="1"/>
    <col min="686" max="689" width="6.7109375" customWidth="1"/>
    <col min="690" max="692" width="10.7109375" customWidth="1"/>
    <col min="693" max="693" width="17.42578125" customWidth="1"/>
    <col min="694" max="694" width="10.7109375" customWidth="1"/>
    <col min="695" max="698" width="6.7109375" customWidth="1"/>
    <col min="699" max="701" width="10.7109375" customWidth="1"/>
    <col min="702" max="702" width="17.42578125" customWidth="1"/>
  </cols>
  <sheetData>
    <row r="1" spans="1:11" ht="20.45" customHeight="1">
      <c r="A1" s="174" t="s">
        <v>0</v>
      </c>
      <c r="B1" s="175"/>
      <c r="C1" s="176">
        <v>45486</v>
      </c>
      <c r="D1" s="177"/>
      <c r="E1" s="178"/>
      <c r="F1" s="174" t="s">
        <v>1</v>
      </c>
      <c r="G1" s="175"/>
      <c r="H1" s="179" t="s">
        <v>131</v>
      </c>
      <c r="I1" s="180"/>
      <c r="J1" s="180"/>
      <c r="K1" s="181"/>
    </row>
    <row r="2" spans="1:11" ht="11.25" customHeight="1">
      <c r="A2" s="1"/>
      <c r="B2" s="2"/>
      <c r="C2" s="2"/>
      <c r="D2" s="2"/>
      <c r="E2" s="3"/>
      <c r="F2" s="3"/>
      <c r="G2" s="3"/>
      <c r="H2" s="2"/>
      <c r="I2" s="2"/>
      <c r="J2" s="2"/>
      <c r="K2" s="2"/>
    </row>
    <row r="3" spans="1:11" ht="27" customHeight="1">
      <c r="A3" s="182" t="s">
        <v>2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20.45" customHeight="1">
      <c r="A4" s="183" t="s">
        <v>3</v>
      </c>
      <c r="B4" s="184"/>
      <c r="C4" s="184"/>
      <c r="D4" s="184"/>
      <c r="E4" s="184"/>
      <c r="F4" s="184"/>
      <c r="G4" s="184"/>
      <c r="H4" s="184"/>
      <c r="I4" s="184"/>
      <c r="J4" s="184"/>
      <c r="K4" s="185"/>
    </row>
    <row r="5" spans="1:11" s="5" customFormat="1" ht="26.25" customHeight="1">
      <c r="A5" s="186" t="s">
        <v>4</v>
      </c>
      <c r="B5" s="188" t="s">
        <v>5</v>
      </c>
      <c r="C5" s="189"/>
      <c r="D5" s="189"/>
      <c r="E5" s="190"/>
      <c r="F5" s="191" t="s">
        <v>6</v>
      </c>
      <c r="G5" s="192"/>
      <c r="H5" s="192"/>
      <c r="I5" s="192"/>
      <c r="J5" s="192"/>
      <c r="K5" s="193"/>
    </row>
    <row r="6" spans="1:11" ht="20.25" customHeight="1">
      <c r="A6" s="187"/>
      <c r="B6" s="6" t="s">
        <v>7</v>
      </c>
      <c r="C6" s="6" t="s">
        <v>8</v>
      </c>
      <c r="D6" s="4" t="s">
        <v>9</v>
      </c>
      <c r="E6" s="7" t="s">
        <v>10</v>
      </c>
      <c r="F6" s="194"/>
      <c r="G6" s="195"/>
      <c r="H6" s="195"/>
      <c r="I6" s="195"/>
      <c r="J6" s="195"/>
      <c r="K6" s="196"/>
    </row>
    <row r="7" spans="1:11" ht="20.45" customHeight="1">
      <c r="A7" s="8">
        <v>65</v>
      </c>
      <c r="B7" s="9"/>
      <c r="C7" s="9">
        <v>45000</v>
      </c>
      <c r="D7" s="9"/>
      <c r="E7" s="11"/>
      <c r="F7" s="197" t="s">
        <v>132</v>
      </c>
      <c r="G7" s="198"/>
      <c r="H7" s="198"/>
      <c r="I7" s="198"/>
      <c r="J7" s="198"/>
      <c r="K7" s="199"/>
    </row>
    <row r="8" spans="1:11" ht="20.45" customHeight="1">
      <c r="A8" s="8">
        <v>66</v>
      </c>
      <c r="B8" s="9"/>
      <c r="C8" s="9">
        <v>78900</v>
      </c>
      <c r="D8" s="10"/>
      <c r="E8" s="11"/>
      <c r="F8" s="197" t="s">
        <v>133</v>
      </c>
      <c r="G8" s="198"/>
      <c r="H8" s="198"/>
      <c r="I8" s="198"/>
      <c r="J8" s="198"/>
      <c r="K8" s="199"/>
    </row>
    <row r="9" spans="1:11" ht="20.45" customHeight="1">
      <c r="A9" s="8" t="s">
        <v>134</v>
      </c>
      <c r="B9" s="9"/>
      <c r="C9" s="9">
        <f>89500+25000</f>
        <v>114500</v>
      </c>
      <c r="D9" s="10"/>
      <c r="E9" s="11"/>
      <c r="F9" s="197" t="s">
        <v>135</v>
      </c>
      <c r="G9" s="198"/>
      <c r="H9" s="198"/>
      <c r="I9" s="198"/>
      <c r="J9" s="198"/>
      <c r="K9" s="199"/>
    </row>
    <row r="10" spans="1:11" ht="20.45" customHeight="1">
      <c r="A10" s="8">
        <v>68</v>
      </c>
      <c r="B10" s="9"/>
      <c r="C10" s="9">
        <v>10000</v>
      </c>
      <c r="D10" s="10"/>
      <c r="E10" s="11"/>
      <c r="F10" s="197" t="s">
        <v>136</v>
      </c>
      <c r="G10" s="198"/>
      <c r="H10" s="198"/>
      <c r="I10" s="198"/>
      <c r="J10" s="198"/>
      <c r="K10" s="199"/>
    </row>
    <row r="11" spans="1:11" ht="20.45" customHeight="1">
      <c r="A11" s="8">
        <v>69</v>
      </c>
      <c r="B11" s="9"/>
      <c r="C11" s="9"/>
      <c r="D11" s="10">
        <v>174000</v>
      </c>
      <c r="E11" s="11"/>
      <c r="F11" s="197" t="s">
        <v>137</v>
      </c>
      <c r="G11" s="198"/>
      <c r="H11" s="198"/>
      <c r="I11" s="198"/>
      <c r="J11" s="198"/>
      <c r="K11" s="199"/>
    </row>
    <row r="12" spans="1:11" ht="20.45" customHeight="1">
      <c r="A12" s="8">
        <v>71</v>
      </c>
      <c r="B12" s="9"/>
      <c r="C12" s="9">
        <v>122700</v>
      </c>
      <c r="D12" s="10"/>
      <c r="E12" s="11"/>
      <c r="F12" s="197" t="s">
        <v>138</v>
      </c>
      <c r="G12" s="198"/>
      <c r="H12" s="198"/>
      <c r="I12" s="198"/>
      <c r="J12" s="198"/>
      <c r="K12" s="199"/>
    </row>
    <row r="13" spans="1:11" ht="20.45" customHeight="1">
      <c r="A13" s="8">
        <v>74</v>
      </c>
      <c r="B13" s="9"/>
      <c r="C13" s="9">
        <v>12300</v>
      </c>
      <c r="D13" s="10"/>
      <c r="E13" s="11"/>
      <c r="F13" s="197" t="s">
        <v>139</v>
      </c>
      <c r="G13" s="198"/>
      <c r="H13" s="198"/>
      <c r="I13" s="198"/>
      <c r="J13" s="198"/>
      <c r="K13" s="199"/>
    </row>
    <row r="14" spans="1:11" ht="20.45" customHeight="1">
      <c r="A14" s="8"/>
      <c r="B14" s="9"/>
      <c r="C14" s="9"/>
      <c r="D14" s="10"/>
      <c r="E14" s="11"/>
      <c r="F14" s="197"/>
      <c r="G14" s="198"/>
      <c r="H14" s="198"/>
      <c r="I14" s="198"/>
      <c r="J14" s="198"/>
      <c r="K14" s="199"/>
    </row>
    <row r="15" spans="1:11" ht="20.45" customHeight="1">
      <c r="A15" s="8"/>
      <c r="B15" s="9"/>
      <c r="C15" s="9"/>
      <c r="D15" s="10"/>
      <c r="E15" s="11"/>
      <c r="F15" s="197"/>
      <c r="G15" s="198"/>
      <c r="H15" s="198"/>
      <c r="I15" s="198"/>
      <c r="J15" s="198"/>
      <c r="K15" s="199"/>
    </row>
    <row r="16" spans="1:11" ht="20.45" customHeight="1">
      <c r="A16" s="8"/>
      <c r="B16" s="9"/>
      <c r="C16" s="9"/>
      <c r="D16" s="10"/>
      <c r="E16" s="11"/>
      <c r="F16" s="197"/>
      <c r="G16" s="198"/>
      <c r="H16" s="198"/>
      <c r="I16" s="198"/>
      <c r="J16" s="198"/>
      <c r="K16" s="199"/>
    </row>
    <row r="17" spans="1:11" ht="20.45" customHeight="1">
      <c r="A17" s="8"/>
      <c r="B17" s="9"/>
      <c r="C17" s="9"/>
      <c r="D17" s="10"/>
      <c r="E17" s="11"/>
      <c r="F17" s="197"/>
      <c r="G17" s="198"/>
      <c r="H17" s="198"/>
      <c r="I17" s="198"/>
      <c r="J17" s="198"/>
      <c r="K17" s="199"/>
    </row>
    <row r="18" spans="1:11" s="12" customFormat="1" ht="20.45" customHeight="1">
      <c r="A18" s="8"/>
      <c r="B18" s="9"/>
      <c r="C18" s="9"/>
      <c r="D18" s="10"/>
      <c r="E18" s="11"/>
      <c r="F18" s="197"/>
      <c r="G18" s="198"/>
      <c r="H18" s="198"/>
      <c r="I18" s="198"/>
      <c r="J18" s="198"/>
      <c r="K18" s="199"/>
    </row>
    <row r="19" spans="1:11" ht="20.45" customHeight="1">
      <c r="A19" s="8"/>
      <c r="B19" s="9"/>
      <c r="C19" s="9"/>
      <c r="D19" s="10"/>
      <c r="E19" s="11"/>
      <c r="F19" s="197"/>
      <c r="G19" s="198"/>
      <c r="H19" s="198"/>
      <c r="I19" s="198"/>
      <c r="J19" s="198"/>
      <c r="K19" s="199"/>
    </row>
    <row r="20" spans="1:11" s="12" customFormat="1" ht="20.45" customHeight="1">
      <c r="A20" s="8"/>
      <c r="B20" s="9"/>
      <c r="C20" s="9"/>
      <c r="D20" s="10"/>
      <c r="E20" s="11"/>
      <c r="F20" s="197"/>
      <c r="G20" s="198"/>
      <c r="H20" s="198"/>
      <c r="I20" s="198"/>
      <c r="J20" s="198"/>
      <c r="K20" s="199"/>
    </row>
    <row r="21" spans="1:11" ht="20.45" customHeight="1">
      <c r="A21" s="8"/>
      <c r="B21" s="9"/>
      <c r="C21" s="9"/>
      <c r="D21" s="10"/>
      <c r="E21" s="11"/>
      <c r="F21" s="197"/>
      <c r="G21" s="198"/>
      <c r="H21" s="198"/>
      <c r="I21" s="198"/>
      <c r="J21" s="198"/>
      <c r="K21" s="199"/>
    </row>
    <row r="22" spans="1:11" ht="20.45" customHeight="1">
      <c r="A22" s="8"/>
      <c r="B22" s="9"/>
      <c r="C22" s="9"/>
      <c r="D22" s="10"/>
      <c r="E22" s="11"/>
      <c r="F22" s="197"/>
      <c r="G22" s="198"/>
      <c r="H22" s="198"/>
      <c r="I22" s="198"/>
      <c r="J22" s="198"/>
      <c r="K22" s="199"/>
    </row>
    <row r="23" spans="1:11" ht="20.45" customHeight="1">
      <c r="A23" s="8"/>
      <c r="B23" s="9"/>
      <c r="C23" s="9"/>
      <c r="D23" s="10"/>
      <c r="E23" s="11"/>
      <c r="F23" s="197"/>
      <c r="G23" s="198"/>
      <c r="H23" s="198"/>
      <c r="I23" s="198"/>
      <c r="J23" s="198"/>
      <c r="K23" s="199"/>
    </row>
    <row r="24" spans="1:11" ht="20.25" customHeight="1">
      <c r="A24" s="14" t="s">
        <v>11</v>
      </c>
      <c r="B24" s="15">
        <f>SUM($B7:$B23)</f>
        <v>0</v>
      </c>
      <c r="C24" s="15">
        <f>SUM($C7:$C23)</f>
        <v>383400</v>
      </c>
      <c r="D24" s="15">
        <f>SUM($D7:$D23)</f>
        <v>174000</v>
      </c>
      <c r="E24" s="15">
        <f>SUM($E7:$E23)</f>
        <v>0</v>
      </c>
      <c r="F24" s="106"/>
      <c r="G24" s="107"/>
      <c r="H24" s="108"/>
      <c r="I24" s="108"/>
      <c r="J24" s="108"/>
      <c r="K24" s="108"/>
    </row>
    <row r="25" spans="1:11" ht="3.75" customHeight="1">
      <c r="A25" s="13"/>
      <c r="B25" s="17"/>
      <c r="C25" s="17"/>
      <c r="D25" s="17"/>
      <c r="E25" s="18"/>
      <c r="F25" s="16"/>
      <c r="G25" s="16"/>
      <c r="H25" s="19"/>
      <c r="I25" s="19"/>
      <c r="J25" s="105"/>
      <c r="K25" s="19"/>
    </row>
    <row r="26" spans="1:11" ht="21.75" customHeight="1">
      <c r="A26" s="13"/>
      <c r="B26" s="17"/>
      <c r="C26" s="17"/>
      <c r="D26" s="17"/>
      <c r="E26" s="18"/>
      <c r="F26" s="16"/>
      <c r="G26" s="16"/>
      <c r="H26" s="19"/>
      <c r="I26" s="20"/>
      <c r="J26" s="21" t="s">
        <v>12</v>
      </c>
      <c r="K26" s="22">
        <f>$B$24+$C$24+$D$24+$E$24</f>
        <v>557400</v>
      </c>
    </row>
    <row r="27" spans="1:11" ht="12" customHeight="1">
      <c r="A27" s="13"/>
      <c r="B27" s="17"/>
      <c r="C27" s="17"/>
      <c r="D27" s="17"/>
      <c r="E27" s="18"/>
      <c r="F27" s="23"/>
      <c r="G27" s="23"/>
      <c r="H27" s="17"/>
      <c r="I27" s="17"/>
      <c r="J27" s="17"/>
      <c r="K27" s="24"/>
    </row>
    <row r="28" spans="1:11" ht="26.25" customHeight="1">
      <c r="A28" s="25"/>
      <c r="B28" s="27"/>
      <c r="C28" s="27"/>
      <c r="D28" s="27"/>
      <c r="E28" s="28"/>
      <c r="F28" s="26"/>
      <c r="G28" s="28" t="s">
        <v>13</v>
      </c>
      <c r="H28" s="27"/>
      <c r="I28" s="27"/>
      <c r="J28" s="27"/>
      <c r="K28" s="27"/>
    </row>
    <row r="29" spans="1:11" ht="19.5" customHeight="1">
      <c r="A29" s="158" t="s">
        <v>14</v>
      </c>
      <c r="B29" s="159"/>
      <c r="C29" s="29"/>
      <c r="D29" s="30" t="s">
        <v>15</v>
      </c>
      <c r="E29" s="31"/>
      <c r="F29" s="164" t="s">
        <v>16</v>
      </c>
      <c r="G29" s="164"/>
      <c r="H29" s="159"/>
      <c r="I29" s="166" t="s">
        <v>17</v>
      </c>
      <c r="J29" s="167"/>
      <c r="K29" s="168"/>
    </row>
    <row r="30" spans="1:11" ht="18.75" customHeight="1">
      <c r="A30" s="160"/>
      <c r="B30" s="161"/>
      <c r="C30" s="169" t="s">
        <v>18</v>
      </c>
      <c r="D30" s="170"/>
      <c r="E30" s="32" t="s">
        <v>19</v>
      </c>
      <c r="F30" s="165"/>
      <c r="G30" s="165"/>
      <c r="H30" s="161"/>
      <c r="I30" s="169" t="s">
        <v>18</v>
      </c>
      <c r="J30" s="170"/>
      <c r="K30" s="32" t="s">
        <v>19</v>
      </c>
    </row>
    <row r="31" spans="1:11" ht="15.75" customHeight="1">
      <c r="A31" s="160"/>
      <c r="B31" s="161"/>
      <c r="C31" s="33" t="s">
        <v>20</v>
      </c>
      <c r="D31" s="34"/>
      <c r="E31" s="35">
        <f>B24</f>
        <v>0</v>
      </c>
      <c r="F31" s="165"/>
      <c r="G31" s="165"/>
      <c r="H31" s="161"/>
      <c r="I31" s="33" t="s">
        <v>7</v>
      </c>
      <c r="J31" s="34"/>
      <c r="K31" s="36">
        <f>30000+8300+5000+65000</f>
        <v>108300</v>
      </c>
    </row>
    <row r="32" spans="1:11" ht="15.75" customHeight="1">
      <c r="A32" s="160"/>
      <c r="B32" s="161"/>
      <c r="C32" s="33" t="s">
        <v>21</v>
      </c>
      <c r="D32" s="37"/>
      <c r="E32" s="35">
        <f>C24</f>
        <v>383400</v>
      </c>
      <c r="F32" s="165"/>
      <c r="G32" s="165"/>
      <c r="H32" s="161"/>
      <c r="I32" s="38" t="s">
        <v>22</v>
      </c>
      <c r="J32" s="39"/>
      <c r="K32" s="40"/>
    </row>
    <row r="33" spans="1:11" ht="15.75" customHeight="1">
      <c r="A33" s="160"/>
      <c r="B33" s="161"/>
      <c r="C33" s="33" t="s">
        <v>23</v>
      </c>
      <c r="D33" s="37"/>
      <c r="E33" s="35">
        <f>D24</f>
        <v>174000</v>
      </c>
      <c r="F33" s="165"/>
      <c r="G33" s="165"/>
      <c r="H33" s="161"/>
      <c r="I33" s="38" t="s">
        <v>24</v>
      </c>
      <c r="J33" s="39"/>
      <c r="K33" s="40"/>
    </row>
    <row r="34" spans="1:11" ht="15.75" customHeight="1">
      <c r="A34" s="160"/>
      <c r="B34" s="161"/>
      <c r="C34" s="33" t="s">
        <v>25</v>
      </c>
      <c r="D34" s="37"/>
      <c r="E34" s="35">
        <f>E24</f>
        <v>0</v>
      </c>
      <c r="F34" s="165"/>
      <c r="G34" s="165"/>
      <c r="H34" s="161"/>
      <c r="I34" s="38"/>
      <c r="J34" s="39"/>
      <c r="K34" s="40"/>
    </row>
    <row r="35" spans="1:11" ht="15.75" customHeight="1">
      <c r="A35" s="160"/>
      <c r="B35" s="161"/>
      <c r="C35" s="41" t="s">
        <v>12</v>
      </c>
      <c r="D35" s="42"/>
      <c r="E35" s="43">
        <f>SUM(E31:E34)</f>
        <v>557400</v>
      </c>
      <c r="F35" s="165"/>
      <c r="G35" s="165"/>
      <c r="H35" s="161"/>
      <c r="I35" s="38"/>
      <c r="J35" s="39"/>
      <c r="K35" s="40"/>
    </row>
    <row r="36" spans="1:11" ht="15.75" customHeight="1">
      <c r="A36" s="160"/>
      <c r="B36" s="161"/>
      <c r="C36" s="171" t="s">
        <v>26</v>
      </c>
      <c r="D36" s="172"/>
      <c r="E36" s="173"/>
      <c r="F36" s="165"/>
      <c r="G36" s="165"/>
      <c r="H36" s="161"/>
      <c r="I36" s="38"/>
      <c r="J36" s="39"/>
      <c r="K36" s="40"/>
    </row>
    <row r="37" spans="1:11" ht="15.75" customHeight="1">
      <c r="A37" s="160"/>
      <c r="B37" s="161"/>
      <c r="C37" s="169" t="s">
        <v>18</v>
      </c>
      <c r="D37" s="170"/>
      <c r="E37" s="32" t="s">
        <v>19</v>
      </c>
      <c r="F37" s="165"/>
      <c r="G37" s="165"/>
      <c r="H37" s="161"/>
      <c r="I37" s="38"/>
      <c r="J37" s="39"/>
      <c r="K37" s="40"/>
    </row>
    <row r="38" spans="1:11" ht="15.75" customHeight="1">
      <c r="A38" s="160"/>
      <c r="B38" s="161"/>
      <c r="C38" s="44" t="s">
        <v>7</v>
      </c>
      <c r="D38" s="45"/>
      <c r="E38" s="46">
        <v>100000</v>
      </c>
      <c r="F38" s="165"/>
      <c r="G38" s="165"/>
      <c r="H38" s="161"/>
      <c r="I38" s="41" t="s">
        <v>27</v>
      </c>
      <c r="J38" s="42"/>
      <c r="K38" s="43">
        <f>SUM(K31:K37)</f>
        <v>108300</v>
      </c>
    </row>
    <row r="39" spans="1:11" ht="15.75" customHeight="1">
      <c r="A39" s="160"/>
      <c r="B39" s="161"/>
      <c r="C39" s="47" t="s">
        <v>24</v>
      </c>
      <c r="D39" s="48"/>
      <c r="E39" s="49"/>
      <c r="F39" s="165"/>
      <c r="G39" s="165"/>
      <c r="H39" s="161"/>
      <c r="I39" s="166" t="s">
        <v>28</v>
      </c>
      <c r="J39" s="167"/>
      <c r="K39" s="168"/>
    </row>
    <row r="40" spans="1:11" ht="18.75" customHeight="1">
      <c r="A40" s="162"/>
      <c r="B40" s="163"/>
      <c r="C40" s="41" t="s">
        <v>29</v>
      </c>
      <c r="D40" s="42"/>
      <c r="E40" s="43">
        <f>SUM(E38:E39)</f>
        <v>100000</v>
      </c>
      <c r="F40" s="165"/>
      <c r="G40" s="165"/>
      <c r="H40" s="161"/>
      <c r="I40" s="38" t="s">
        <v>30</v>
      </c>
      <c r="J40" s="48"/>
      <c r="K40" s="49"/>
    </row>
    <row r="41" spans="1:11" ht="15.75" customHeight="1">
      <c r="A41" s="13"/>
      <c r="B41" s="50"/>
      <c r="C41" s="51"/>
      <c r="D41" s="52" t="s">
        <v>31</v>
      </c>
      <c r="E41" s="53">
        <f>E35+E40</f>
        <v>657400</v>
      </c>
      <c r="F41" s="54"/>
      <c r="G41" s="54"/>
      <c r="H41" s="55"/>
      <c r="I41" s="51"/>
      <c r="J41" s="52" t="s">
        <v>32</v>
      </c>
      <c r="K41" s="53">
        <f>K38+K40</f>
        <v>108300</v>
      </c>
    </row>
    <row r="42" spans="1:11" ht="11.25" customHeight="1">
      <c r="A42" s="13"/>
      <c r="B42" s="18"/>
      <c r="C42" s="18"/>
      <c r="D42" s="18"/>
      <c r="E42" s="18"/>
      <c r="F42" s="57"/>
      <c r="G42" s="57"/>
      <c r="H42" s="135"/>
      <c r="I42" s="135"/>
      <c r="J42" s="17"/>
      <c r="K42" s="17"/>
    </row>
    <row r="43" spans="1:11" ht="28.5">
      <c r="A43" s="25"/>
      <c r="B43" s="27"/>
      <c r="C43" s="27"/>
      <c r="D43" s="27"/>
      <c r="E43" s="28"/>
      <c r="F43" s="26"/>
      <c r="G43" s="28" t="s">
        <v>33</v>
      </c>
      <c r="H43" s="27"/>
      <c r="I43" s="27"/>
      <c r="J43" s="27"/>
      <c r="K43" s="27"/>
    </row>
    <row r="44" spans="1:11" ht="17.100000000000001" customHeight="1">
      <c r="A44" s="136" t="s">
        <v>34</v>
      </c>
      <c r="B44" s="137"/>
      <c r="C44" s="58" t="s">
        <v>35</v>
      </c>
      <c r="D44" s="58" t="s">
        <v>36</v>
      </c>
      <c r="E44" s="59" t="s">
        <v>19</v>
      </c>
      <c r="F44" s="142" t="s">
        <v>37</v>
      </c>
      <c r="G44" s="143"/>
      <c r="H44" s="137"/>
      <c r="I44" s="58" t="s">
        <v>35</v>
      </c>
      <c r="J44" s="58" t="s">
        <v>36</v>
      </c>
      <c r="K44" s="58" t="s">
        <v>19</v>
      </c>
    </row>
    <row r="45" spans="1:11" ht="17.100000000000001" customHeight="1">
      <c r="A45" s="138"/>
      <c r="B45" s="139"/>
      <c r="C45" s="60">
        <v>20000</v>
      </c>
      <c r="D45" s="61"/>
      <c r="E45" s="62">
        <f>C45*D45</f>
        <v>0</v>
      </c>
      <c r="F45" s="144"/>
      <c r="G45" s="145"/>
      <c r="H45" s="139"/>
      <c r="I45" s="60">
        <v>500</v>
      </c>
      <c r="J45" s="61">
        <v>4</v>
      </c>
      <c r="K45" s="63">
        <f>I45*J45</f>
        <v>2000</v>
      </c>
    </row>
    <row r="46" spans="1:11" ht="17.100000000000001" customHeight="1">
      <c r="A46" s="138"/>
      <c r="B46" s="139"/>
      <c r="C46" s="60">
        <v>10000</v>
      </c>
      <c r="D46" s="61"/>
      <c r="E46" s="62">
        <f>C46*D46</f>
        <v>0</v>
      </c>
      <c r="F46" s="144"/>
      <c r="G46" s="145"/>
      <c r="H46" s="139"/>
      <c r="I46" s="60">
        <v>100</v>
      </c>
      <c r="J46" s="61">
        <v>32</v>
      </c>
      <c r="K46" s="63">
        <f>I46*J46</f>
        <v>3200</v>
      </c>
    </row>
    <row r="47" spans="1:11" ht="17.100000000000001" customHeight="1">
      <c r="A47" s="138"/>
      <c r="B47" s="139"/>
      <c r="C47" s="60">
        <v>5000</v>
      </c>
      <c r="D47" s="61">
        <v>1</v>
      </c>
      <c r="E47" s="62">
        <f>C47*D47</f>
        <v>5000</v>
      </c>
      <c r="F47" s="144"/>
      <c r="G47" s="145"/>
      <c r="H47" s="139"/>
      <c r="I47" s="60">
        <v>50</v>
      </c>
      <c r="J47" s="61">
        <v>8</v>
      </c>
      <c r="K47" s="63">
        <f>I47*J47</f>
        <v>400</v>
      </c>
    </row>
    <row r="48" spans="1:11" ht="17.100000000000001" customHeight="1">
      <c r="A48" s="138"/>
      <c r="B48" s="139"/>
      <c r="C48" s="60">
        <v>2000</v>
      </c>
      <c r="D48" s="61"/>
      <c r="E48" s="62">
        <f>C48*D48</f>
        <v>0</v>
      </c>
      <c r="F48" s="144"/>
      <c r="G48" s="145"/>
      <c r="H48" s="139"/>
      <c r="I48" s="60">
        <v>10</v>
      </c>
      <c r="J48" s="61">
        <v>15</v>
      </c>
      <c r="K48" s="63">
        <f>I48*J48</f>
        <v>150</v>
      </c>
    </row>
    <row r="49" spans="1:11" ht="17.100000000000001" customHeight="1">
      <c r="A49" s="140"/>
      <c r="B49" s="141"/>
      <c r="C49" s="60">
        <v>1000</v>
      </c>
      <c r="D49" s="61">
        <v>21</v>
      </c>
      <c r="E49" s="62">
        <f>C49*D49</f>
        <v>21000</v>
      </c>
      <c r="F49" s="146"/>
      <c r="G49" s="147"/>
      <c r="H49" s="141"/>
      <c r="I49" s="60"/>
      <c r="J49" s="64"/>
      <c r="K49" s="63"/>
    </row>
    <row r="50" spans="1:11" ht="18.75">
      <c r="A50" s="13"/>
      <c r="B50" s="65"/>
      <c r="C50" s="66"/>
      <c r="D50" s="67" t="s">
        <v>38</v>
      </c>
      <c r="E50" s="68">
        <f>SUM(E45:E49)</f>
        <v>26000</v>
      </c>
      <c r="F50" s="54"/>
      <c r="G50" s="54"/>
      <c r="H50" s="55"/>
      <c r="I50" s="66"/>
      <c r="J50" s="67" t="s">
        <v>39</v>
      </c>
      <c r="K50" s="68">
        <f>SUM(K45:K49)</f>
        <v>5750</v>
      </c>
    </row>
    <row r="51" spans="1:11" ht="18.75">
      <c r="A51" s="13"/>
      <c r="B51" s="18"/>
      <c r="C51" s="18"/>
      <c r="D51" s="18"/>
      <c r="E51" s="18"/>
      <c r="F51" s="16"/>
      <c r="G51" s="16"/>
      <c r="H51" s="65"/>
      <c r="I51" s="65"/>
      <c r="J51" s="17"/>
      <c r="K51" s="17"/>
    </row>
    <row r="52" spans="1:11" ht="18" customHeight="1">
      <c r="A52" s="13"/>
      <c r="B52" s="18"/>
      <c r="C52" s="18"/>
      <c r="D52" s="18"/>
      <c r="E52" s="18"/>
      <c r="F52" s="69"/>
      <c r="G52" s="69"/>
      <c r="H52" s="70" t="s">
        <v>40</v>
      </c>
      <c r="I52" s="71"/>
      <c r="J52" s="69"/>
      <c r="K52" s="17"/>
    </row>
    <row r="53" spans="1:11" ht="4.5" customHeight="1">
      <c r="A53" s="13"/>
      <c r="B53" s="18"/>
      <c r="C53" s="18"/>
      <c r="D53" s="18"/>
      <c r="E53" s="18"/>
      <c r="F53" s="16"/>
      <c r="G53" s="16"/>
      <c r="H53" s="17"/>
      <c r="I53" s="17"/>
      <c r="J53" s="17"/>
      <c r="K53" s="17"/>
    </row>
    <row r="54" spans="1:11" ht="15" customHeight="1">
      <c r="A54" s="72"/>
      <c r="B54" s="148" t="s">
        <v>41</v>
      </c>
      <c r="C54" s="149"/>
      <c r="D54" s="150"/>
      <c r="E54" s="18"/>
      <c r="F54" s="73"/>
      <c r="G54" s="73"/>
      <c r="H54" s="74" t="s">
        <v>42</v>
      </c>
      <c r="I54" s="75">
        <f>'12-07-2024'!I68</f>
        <v>40050</v>
      </c>
      <c r="J54" s="76"/>
      <c r="K54" s="17"/>
    </row>
    <row r="55" spans="1:11" ht="4.5" customHeight="1">
      <c r="A55" s="72"/>
      <c r="B55" s="151"/>
      <c r="C55" s="152"/>
      <c r="D55" s="153"/>
      <c r="E55" s="18"/>
      <c r="F55" s="16"/>
      <c r="G55" s="16"/>
      <c r="H55" s="17"/>
      <c r="I55" s="77"/>
      <c r="J55" s="17"/>
      <c r="K55" s="17"/>
    </row>
    <row r="56" spans="1:11" ht="18.75" customHeight="1">
      <c r="A56" s="78"/>
      <c r="B56" s="154" t="s">
        <v>140</v>
      </c>
      <c r="C56" s="154"/>
      <c r="D56" s="154"/>
      <c r="E56" s="18"/>
      <c r="F56" s="79"/>
      <c r="G56" s="79"/>
      <c r="H56" s="80" t="s">
        <v>43</v>
      </c>
      <c r="I56" s="81">
        <f>E50+K50</f>
        <v>31750</v>
      </c>
      <c r="J56" s="82"/>
      <c r="K56" s="17"/>
    </row>
    <row r="57" spans="1:11" ht="4.5" customHeight="1">
      <c r="A57" s="78"/>
      <c r="B57" s="154"/>
      <c r="C57" s="154"/>
      <c r="D57" s="154"/>
      <c r="E57" s="18"/>
      <c r="F57" s="56"/>
      <c r="G57" s="56"/>
      <c r="H57" s="57"/>
      <c r="I57" s="83"/>
      <c r="J57" s="65"/>
      <c r="K57" s="17"/>
    </row>
    <row r="58" spans="1:11" ht="18.75">
      <c r="A58" s="78"/>
      <c r="B58" s="154"/>
      <c r="C58" s="154"/>
      <c r="D58" s="154"/>
      <c r="E58" s="18"/>
      <c r="F58" s="79"/>
      <c r="G58" s="79"/>
      <c r="H58" s="80" t="s">
        <v>12</v>
      </c>
      <c r="I58" s="81">
        <f>K26</f>
        <v>557400</v>
      </c>
      <c r="J58" s="82"/>
      <c r="K58" s="24"/>
    </row>
    <row r="59" spans="1:11" ht="4.5" customHeight="1">
      <c r="A59" s="78"/>
      <c r="B59" s="154"/>
      <c r="C59" s="154"/>
      <c r="D59" s="154"/>
      <c r="E59" s="18"/>
      <c r="F59" s="56"/>
      <c r="G59" s="56"/>
      <c r="H59" s="57"/>
      <c r="I59" s="83"/>
      <c r="J59" s="18"/>
      <c r="K59" s="17"/>
    </row>
    <row r="60" spans="1:11" ht="18.75">
      <c r="A60" s="78"/>
      <c r="B60" s="154"/>
      <c r="C60" s="154"/>
      <c r="D60" s="154"/>
      <c r="E60" s="18"/>
      <c r="F60" s="84"/>
      <c r="G60" s="84"/>
      <c r="H60" s="85" t="s">
        <v>26</v>
      </c>
      <c r="I60" s="86">
        <f>E38</f>
        <v>100000</v>
      </c>
      <c r="J60" s="82"/>
      <c r="K60" s="17"/>
    </row>
    <row r="61" spans="1:11" ht="4.5" customHeight="1">
      <c r="A61" s="78"/>
      <c r="B61" s="154"/>
      <c r="C61" s="154"/>
      <c r="D61" s="154"/>
      <c r="E61" s="18"/>
      <c r="F61" s="13"/>
      <c r="G61" s="13"/>
      <c r="H61" s="16"/>
      <c r="I61" s="77"/>
      <c r="J61" s="17"/>
      <c r="K61" s="17"/>
    </row>
    <row r="62" spans="1:11" ht="18.75">
      <c r="A62" s="78"/>
      <c r="B62" s="154"/>
      <c r="C62" s="154"/>
      <c r="D62" s="154"/>
      <c r="E62" s="18"/>
      <c r="F62" s="84"/>
      <c r="G62" s="84"/>
      <c r="H62" s="85" t="s">
        <v>17</v>
      </c>
      <c r="I62" s="86">
        <f>K31+K40</f>
        <v>108300</v>
      </c>
      <c r="J62" s="82"/>
      <c r="K62" s="17"/>
    </row>
    <row r="63" spans="1:11" ht="4.5" customHeight="1">
      <c r="A63" s="78"/>
      <c r="B63" s="154"/>
      <c r="C63" s="154"/>
      <c r="D63" s="154"/>
      <c r="E63" s="18"/>
      <c r="F63" s="13"/>
      <c r="G63" s="13"/>
      <c r="H63" s="16"/>
      <c r="I63" s="77"/>
      <c r="J63" s="17"/>
      <c r="K63" s="17"/>
    </row>
    <row r="64" spans="1:11" ht="18.75">
      <c r="A64" s="78"/>
      <c r="B64" s="154"/>
      <c r="C64" s="154"/>
      <c r="D64" s="154"/>
      <c r="E64" s="18"/>
      <c r="F64" s="84"/>
      <c r="G64" s="84"/>
      <c r="H64" s="85" t="s">
        <v>44</v>
      </c>
      <c r="I64" s="86">
        <f>I54+I58+I60-I62</f>
        <v>589150</v>
      </c>
      <c r="J64" s="87"/>
      <c r="K64" s="17"/>
    </row>
    <row r="65" spans="1:11" ht="4.5" customHeight="1">
      <c r="A65" s="13"/>
      <c r="B65" s="154"/>
      <c r="C65" s="154"/>
      <c r="D65" s="154"/>
      <c r="E65" s="18"/>
      <c r="F65" s="16"/>
      <c r="G65" s="16"/>
      <c r="H65" s="18"/>
      <c r="I65" s="77"/>
      <c r="J65" s="17"/>
      <c r="K65" s="17"/>
    </row>
    <row r="66" spans="1:11" ht="18.75">
      <c r="A66" s="13"/>
      <c r="B66" s="154"/>
      <c r="C66" s="154"/>
      <c r="D66" s="154"/>
      <c r="E66" s="18"/>
      <c r="F66" s="73"/>
      <c r="G66" s="73"/>
      <c r="H66" s="74" t="s">
        <v>45</v>
      </c>
      <c r="I66" s="86">
        <f>I64-I54</f>
        <v>549100</v>
      </c>
      <c r="J66" s="88"/>
      <c r="K66" s="17"/>
    </row>
    <row r="67" spans="1:11" ht="4.5" customHeight="1">
      <c r="A67" s="78"/>
      <c r="B67" s="154"/>
      <c r="C67" s="154"/>
      <c r="D67" s="154"/>
      <c r="E67" s="18"/>
      <c r="F67" s="16"/>
      <c r="G67" s="16"/>
      <c r="H67" s="16"/>
      <c r="I67" s="77"/>
      <c r="J67" s="17"/>
      <c r="K67" s="17"/>
    </row>
    <row r="68" spans="1:11" ht="18.75">
      <c r="A68" s="13"/>
      <c r="B68" s="154"/>
      <c r="C68" s="154"/>
      <c r="D68" s="154"/>
      <c r="E68" s="18"/>
      <c r="F68" s="79"/>
      <c r="G68" s="79"/>
      <c r="H68" s="80" t="s">
        <v>46</v>
      </c>
      <c r="I68" s="86">
        <f>I54+E31+(E38-(K31+K40))</f>
        <v>31750</v>
      </c>
      <c r="J68" s="88"/>
      <c r="K68" s="17"/>
    </row>
    <row r="69" spans="1:11" ht="4.5" customHeight="1">
      <c r="A69" s="78"/>
      <c r="B69" s="154"/>
      <c r="C69" s="154"/>
      <c r="D69" s="154"/>
      <c r="E69" s="18"/>
      <c r="F69" s="16"/>
      <c r="G69" s="16"/>
      <c r="H69" s="16"/>
      <c r="I69" s="77"/>
      <c r="J69" s="17"/>
      <c r="K69" s="17"/>
    </row>
    <row r="70" spans="1:11" ht="18.75" customHeight="1">
      <c r="A70" s="78"/>
      <c r="B70" s="154"/>
      <c r="C70" s="154"/>
      <c r="D70" s="154"/>
      <c r="E70" s="18"/>
      <c r="F70" s="79"/>
      <c r="G70" s="79"/>
      <c r="H70" s="80" t="s">
        <v>47</v>
      </c>
      <c r="I70" s="89">
        <f>I56-I68</f>
        <v>0</v>
      </c>
      <c r="J70" s="90"/>
      <c r="K70" s="17"/>
    </row>
    <row r="71" spans="1:11" ht="15" customHeight="1">
      <c r="A71" s="91"/>
      <c r="B71" s="92"/>
      <c r="C71" s="92"/>
      <c r="D71" s="92"/>
      <c r="E71" s="93"/>
      <c r="F71" s="94"/>
      <c r="G71" s="94"/>
      <c r="H71" s="95"/>
      <c r="I71" s="95"/>
      <c r="J71" s="95"/>
      <c r="K71" s="95"/>
    </row>
    <row r="72" spans="1:11" ht="15" customHeight="1">
      <c r="A72" s="91"/>
      <c r="B72" s="92"/>
      <c r="C72" s="92"/>
      <c r="D72" s="92"/>
      <c r="E72" s="93"/>
      <c r="F72" s="94"/>
      <c r="G72" s="94"/>
      <c r="H72" s="95"/>
      <c r="I72" s="95"/>
      <c r="J72" s="95"/>
      <c r="K72" s="95"/>
    </row>
    <row r="73" spans="1:11" ht="15" customHeight="1">
      <c r="A73" s="91"/>
      <c r="B73" s="92"/>
      <c r="C73" s="92"/>
      <c r="D73" s="92"/>
      <c r="E73" s="93"/>
      <c r="F73" s="94"/>
      <c r="G73" s="94"/>
      <c r="H73" s="95"/>
      <c r="I73" s="95"/>
      <c r="J73" s="95"/>
      <c r="K73" s="95"/>
    </row>
    <row r="74" spans="1:11" ht="15" customHeight="1">
      <c r="A74" s="91"/>
      <c r="B74" s="92"/>
      <c r="C74" s="92"/>
      <c r="D74" s="92"/>
      <c r="E74" s="93"/>
      <c r="F74" s="94"/>
      <c r="G74" s="94"/>
      <c r="H74" s="95"/>
      <c r="I74" s="95"/>
      <c r="J74" s="95"/>
      <c r="K74" s="95"/>
    </row>
    <row r="75" spans="1:11" ht="15.75" customHeight="1">
      <c r="A75" s="91"/>
      <c r="B75" s="92"/>
      <c r="C75" s="92"/>
      <c r="D75" s="92"/>
      <c r="E75" s="93"/>
      <c r="F75" s="94"/>
      <c r="G75" s="94"/>
      <c r="H75" s="95"/>
      <c r="I75" s="95"/>
      <c r="J75" s="95"/>
      <c r="K75" s="95"/>
    </row>
    <row r="76" spans="1:11" ht="14.25" customHeight="1">
      <c r="A76" s="91"/>
      <c r="B76" s="92"/>
      <c r="C76" s="92"/>
      <c r="D76" s="92"/>
      <c r="E76" s="93"/>
      <c r="F76" s="94"/>
      <c r="G76" s="94"/>
      <c r="H76" s="95"/>
      <c r="I76" s="95"/>
      <c r="J76" s="95"/>
      <c r="K76" s="95"/>
    </row>
    <row r="77" spans="1:11">
      <c r="A77" s="96"/>
      <c r="B77" s="98"/>
      <c r="C77" s="98"/>
      <c r="D77" s="98"/>
      <c r="E77" s="98"/>
      <c r="F77" s="97"/>
      <c r="G77" s="97"/>
      <c r="H77" s="99"/>
      <c r="I77" s="99"/>
      <c r="J77" s="99"/>
      <c r="K77" s="99"/>
    </row>
    <row r="78" spans="1:11">
      <c r="D78" s="102"/>
      <c r="E78" s="102"/>
    </row>
    <row r="79" spans="1:11">
      <c r="D79" s="102"/>
      <c r="E79" s="102"/>
      <c r="H79" s="102"/>
    </row>
    <row r="80" spans="1:11">
      <c r="D80" s="102"/>
      <c r="E80" s="102"/>
      <c r="H80" s="102"/>
    </row>
    <row r="81" spans="4:11">
      <c r="D81" s="102"/>
      <c r="E81" s="102"/>
      <c r="H81" s="102"/>
      <c r="I81" s="102"/>
      <c r="J81" s="102"/>
      <c r="K81" s="102"/>
    </row>
    <row r="82" spans="4:11">
      <c r="D82" s="102"/>
      <c r="E82" s="102"/>
      <c r="H82" s="102"/>
      <c r="I82" s="102"/>
      <c r="J82" s="102"/>
      <c r="K82" s="102"/>
    </row>
    <row r="83" spans="4:11">
      <c r="D83" s="102"/>
      <c r="E83" s="102"/>
      <c r="H83" s="102"/>
      <c r="I83" s="102"/>
      <c r="J83" s="102"/>
      <c r="K83" s="102"/>
    </row>
    <row r="84" spans="4:11">
      <c r="D84" s="102"/>
      <c r="E84" s="102"/>
      <c r="H84" s="102"/>
      <c r="I84" s="102"/>
      <c r="J84" s="102"/>
      <c r="K84" s="102"/>
    </row>
    <row r="85" spans="4:11">
      <c r="D85" s="102"/>
      <c r="E85" s="102"/>
      <c r="H85" s="102"/>
      <c r="I85" s="102"/>
      <c r="J85" s="102"/>
      <c r="K85" s="102"/>
    </row>
    <row r="86" spans="4:11">
      <c r="D86" s="102"/>
      <c r="E86" s="102"/>
      <c r="H86" s="102"/>
      <c r="I86" s="102"/>
      <c r="J86" s="102"/>
      <c r="K86" s="102"/>
    </row>
    <row r="87" spans="4:11">
      <c r="D87" s="102"/>
      <c r="E87" s="102"/>
      <c r="H87" s="102"/>
      <c r="I87" s="102"/>
      <c r="J87" s="102"/>
      <c r="K87" s="102"/>
    </row>
    <row r="88" spans="4:11">
      <c r="D88" s="102"/>
      <c r="E88" s="102"/>
      <c r="H88" s="102"/>
      <c r="I88" s="102"/>
      <c r="J88" s="102"/>
      <c r="K88" s="102"/>
    </row>
  </sheetData>
  <mergeCells count="39">
    <mergeCell ref="H42:I42"/>
    <mergeCell ref="A44:B49"/>
    <mergeCell ref="F44:H49"/>
    <mergeCell ref="B54:D55"/>
    <mergeCell ref="B56:D70"/>
    <mergeCell ref="F22:K22"/>
    <mergeCell ref="F23:K23"/>
    <mergeCell ref="A29:B40"/>
    <mergeCell ref="F29:H40"/>
    <mergeCell ref="I29:K29"/>
    <mergeCell ref="C30:D30"/>
    <mergeCell ref="I30:J30"/>
    <mergeCell ref="C36:E36"/>
    <mergeCell ref="C37:D37"/>
    <mergeCell ref="I39:K39"/>
    <mergeCell ref="F21:K21"/>
    <mergeCell ref="F10:K10"/>
    <mergeCell ref="F11:K11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9:K9"/>
    <mergeCell ref="A1:B1"/>
    <mergeCell ref="C1:E1"/>
    <mergeCell ref="F1:G1"/>
    <mergeCell ref="H1:K1"/>
    <mergeCell ref="A3:K3"/>
    <mergeCell ref="A4:K4"/>
    <mergeCell ref="A5:A6"/>
    <mergeCell ref="B5:E5"/>
    <mergeCell ref="F5:K6"/>
    <mergeCell ref="F7:K7"/>
    <mergeCell ref="F8:K8"/>
  </mergeCells>
  <conditionalFormatting sqref="I70">
    <cfRule type="expression" dxfId="23" priority="1">
      <formula>$I70=0</formula>
    </cfRule>
    <cfRule type="expression" dxfId="22" priority="2">
      <formula>$I70&gt;=1</formula>
    </cfRule>
    <cfRule type="expression" dxfId="21" priority="3">
      <formula>$I70&lt;=-1</formula>
    </cfRule>
  </conditionalFormatting>
  <pageMargins left="0.25" right="0.25" top="0.75" bottom="0.75" header="0.3" footer="0.3"/>
  <pageSetup scale="58" fitToWidth="0" orientation="portrait" r:id="rId1"/>
  <headerFooter>
    <oddHeader>&amp;L&amp;"-,Negrita Cursiva"&amp;14Pet Exotic SpA&amp;C&amp;"-,Negrita Cursiva"&amp;18Libro de Ventas&amp;R&amp;22&amp;G</oddHeader>
  </headerFooter>
  <ignoredErrors>
    <ignoredError sqref="K31 C9" unlockedFormula="1"/>
  </ignoredErrors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7241-AC2D-4658-A7D2-5555898B321E}">
  <sheetPr>
    <tabColor theme="2"/>
    <pageSetUpPr fitToPage="1"/>
  </sheetPr>
  <dimension ref="A1:K88"/>
  <sheetViews>
    <sheetView showWhiteSpace="0" view="pageLayout" zoomScale="80" zoomScaleNormal="80" zoomScalePageLayoutView="80" workbookViewId="0">
      <selection activeCell="A13" sqref="A13"/>
    </sheetView>
  </sheetViews>
  <sheetFormatPr defaultColWidth="20.7109375" defaultRowHeight="15"/>
  <cols>
    <col min="1" max="1" width="13.5703125" style="100" customWidth="1"/>
    <col min="2" max="3" width="13.7109375" style="102" customWidth="1"/>
    <col min="4" max="4" width="13.7109375" style="103" customWidth="1"/>
    <col min="5" max="5" width="14.7109375" style="104" customWidth="1"/>
    <col min="6" max="7" width="13.7109375" style="101" customWidth="1"/>
    <col min="8" max="10" width="13.7109375" style="103" customWidth="1"/>
    <col min="11" max="11" width="28.140625" style="103" customWidth="1"/>
    <col min="12" max="14" width="6.7109375" customWidth="1"/>
    <col min="15" max="17" width="10.7109375" customWidth="1"/>
    <col min="18" max="18" width="17.42578125" customWidth="1"/>
    <col min="19" max="19" width="10.7109375" customWidth="1"/>
    <col min="20" max="23" width="6.7109375" customWidth="1"/>
    <col min="24" max="26" width="10.7109375" customWidth="1"/>
    <col min="27" max="27" width="17.42578125" customWidth="1"/>
    <col min="28" max="28" width="10.7109375" customWidth="1"/>
    <col min="29" max="32" width="6.7109375" customWidth="1"/>
    <col min="33" max="35" width="10.7109375" customWidth="1"/>
    <col min="36" max="36" width="17.42578125" customWidth="1"/>
    <col min="37" max="37" width="10.7109375" customWidth="1"/>
    <col min="38" max="41" width="6.7109375" customWidth="1"/>
    <col min="42" max="44" width="10.7109375" customWidth="1"/>
    <col min="45" max="45" width="17.42578125" customWidth="1"/>
    <col min="46" max="46" width="10.7109375" customWidth="1"/>
    <col min="47" max="50" width="6.7109375" customWidth="1"/>
    <col min="51" max="53" width="10.7109375" customWidth="1"/>
    <col min="54" max="54" width="17.42578125" customWidth="1"/>
    <col min="55" max="55" width="10.7109375" customWidth="1"/>
    <col min="56" max="59" width="6.7109375" customWidth="1"/>
    <col min="60" max="62" width="10.7109375" customWidth="1"/>
    <col min="63" max="63" width="17.42578125" customWidth="1"/>
    <col min="64" max="64" width="10.7109375" customWidth="1"/>
    <col min="65" max="68" width="6.7109375" customWidth="1"/>
    <col min="69" max="71" width="10.7109375" customWidth="1"/>
    <col min="72" max="72" width="17.42578125" customWidth="1"/>
    <col min="73" max="73" width="10.7109375" customWidth="1"/>
    <col min="74" max="77" width="6.7109375" customWidth="1"/>
    <col min="78" max="80" width="10.7109375" customWidth="1"/>
    <col min="81" max="81" width="17.42578125" customWidth="1"/>
    <col min="82" max="82" width="10.7109375" customWidth="1"/>
    <col min="83" max="86" width="6.7109375" customWidth="1"/>
    <col min="87" max="89" width="10.7109375" customWidth="1"/>
    <col min="90" max="90" width="17.42578125" customWidth="1"/>
    <col min="91" max="91" width="10.7109375" customWidth="1"/>
    <col min="92" max="95" width="6.7109375" customWidth="1"/>
    <col min="96" max="98" width="10.7109375" customWidth="1"/>
    <col min="99" max="99" width="17.42578125" customWidth="1"/>
    <col min="100" max="100" width="10.7109375" customWidth="1"/>
    <col min="101" max="104" width="6.7109375" customWidth="1"/>
    <col min="105" max="107" width="10.7109375" customWidth="1"/>
    <col min="108" max="108" width="17.42578125" customWidth="1"/>
    <col min="109" max="109" width="10.7109375" customWidth="1"/>
    <col min="110" max="113" width="6.7109375" customWidth="1"/>
    <col min="114" max="116" width="10.7109375" customWidth="1"/>
    <col min="117" max="117" width="17.42578125" customWidth="1"/>
    <col min="118" max="118" width="10.7109375" customWidth="1"/>
    <col min="119" max="122" width="6.7109375" customWidth="1"/>
    <col min="123" max="125" width="10.7109375" customWidth="1"/>
    <col min="126" max="126" width="17.42578125" customWidth="1"/>
    <col min="127" max="127" width="10.7109375" customWidth="1"/>
    <col min="128" max="131" width="6.7109375" customWidth="1"/>
    <col min="132" max="134" width="10.7109375" customWidth="1"/>
    <col min="135" max="135" width="17.42578125" customWidth="1"/>
    <col min="136" max="136" width="10.7109375" customWidth="1"/>
    <col min="137" max="140" width="6.7109375" customWidth="1"/>
    <col min="141" max="143" width="10.7109375" customWidth="1"/>
    <col min="144" max="144" width="17.42578125" customWidth="1"/>
    <col min="145" max="145" width="10.7109375" customWidth="1"/>
    <col min="146" max="149" width="6.7109375" customWidth="1"/>
    <col min="150" max="152" width="10.7109375" customWidth="1"/>
    <col min="153" max="153" width="17.42578125" customWidth="1"/>
    <col min="154" max="154" width="10.7109375" customWidth="1"/>
    <col min="155" max="158" width="6.7109375" customWidth="1"/>
    <col min="159" max="161" width="10.7109375" customWidth="1"/>
    <col min="162" max="162" width="17.42578125" customWidth="1"/>
    <col min="163" max="163" width="10.7109375" customWidth="1"/>
    <col min="164" max="167" width="6.7109375" customWidth="1"/>
    <col min="168" max="170" width="10.7109375" customWidth="1"/>
    <col min="171" max="171" width="17.42578125" customWidth="1"/>
    <col min="172" max="172" width="10.7109375" customWidth="1"/>
    <col min="173" max="176" width="6.7109375" customWidth="1"/>
    <col min="177" max="179" width="10.7109375" customWidth="1"/>
    <col min="180" max="180" width="17.42578125" customWidth="1"/>
    <col min="181" max="181" width="10.7109375" customWidth="1"/>
    <col min="182" max="185" width="6.7109375" customWidth="1"/>
    <col min="186" max="188" width="10.7109375" customWidth="1"/>
    <col min="189" max="189" width="17.42578125" customWidth="1"/>
    <col min="190" max="190" width="10.7109375" customWidth="1"/>
    <col min="191" max="194" width="6.7109375" customWidth="1"/>
    <col min="195" max="197" width="10.7109375" customWidth="1"/>
    <col min="198" max="198" width="17.42578125" customWidth="1"/>
    <col min="199" max="199" width="10.7109375" customWidth="1"/>
    <col min="200" max="203" width="6.7109375" customWidth="1"/>
    <col min="204" max="206" width="10.7109375" customWidth="1"/>
    <col min="207" max="207" width="17.42578125" customWidth="1"/>
    <col min="208" max="208" width="10.7109375" customWidth="1"/>
    <col min="209" max="212" width="6.7109375" customWidth="1"/>
    <col min="213" max="215" width="10.7109375" customWidth="1"/>
    <col min="216" max="216" width="17.42578125" customWidth="1"/>
    <col min="217" max="217" width="10.7109375" customWidth="1"/>
    <col min="218" max="221" width="6.7109375" customWidth="1"/>
    <col min="222" max="224" width="10.7109375" customWidth="1"/>
    <col min="225" max="225" width="17.42578125" customWidth="1"/>
    <col min="226" max="226" width="10.7109375" customWidth="1"/>
    <col min="227" max="230" width="6.7109375" customWidth="1"/>
    <col min="231" max="233" width="10.7109375" customWidth="1"/>
    <col min="234" max="234" width="17.42578125" customWidth="1"/>
    <col min="235" max="235" width="10.7109375" customWidth="1"/>
    <col min="236" max="239" width="6.7109375" customWidth="1"/>
    <col min="240" max="242" width="10.7109375" customWidth="1"/>
    <col min="243" max="243" width="17.42578125" customWidth="1"/>
    <col min="244" max="244" width="10.7109375" customWidth="1"/>
    <col min="245" max="248" width="6.7109375" customWidth="1"/>
    <col min="249" max="251" width="10.7109375" customWidth="1"/>
    <col min="252" max="252" width="17.42578125" customWidth="1"/>
    <col min="253" max="253" width="10.7109375" customWidth="1"/>
    <col min="254" max="257" width="6.7109375" customWidth="1"/>
    <col min="258" max="260" width="10.7109375" customWidth="1"/>
    <col min="261" max="261" width="17.42578125" customWidth="1"/>
    <col min="262" max="262" width="10.7109375" customWidth="1"/>
    <col min="263" max="266" width="6.7109375" customWidth="1"/>
    <col min="267" max="269" width="10.7109375" customWidth="1"/>
    <col min="270" max="270" width="17.42578125" customWidth="1"/>
    <col min="271" max="271" width="10.7109375" customWidth="1"/>
    <col min="272" max="275" width="6.7109375" customWidth="1"/>
    <col min="276" max="278" width="10.7109375" customWidth="1"/>
    <col min="279" max="279" width="17.42578125" customWidth="1"/>
    <col min="280" max="280" width="10.7109375" customWidth="1"/>
    <col min="281" max="284" width="6.7109375" customWidth="1"/>
    <col min="285" max="287" width="10.7109375" customWidth="1"/>
    <col min="288" max="288" width="17.42578125" customWidth="1"/>
    <col min="289" max="289" width="10.7109375" customWidth="1"/>
    <col min="290" max="293" width="6.7109375" customWidth="1"/>
    <col min="294" max="296" width="10.7109375" customWidth="1"/>
    <col min="297" max="297" width="17.42578125" customWidth="1"/>
    <col min="298" max="298" width="10.7109375" customWidth="1"/>
    <col min="299" max="302" width="6.7109375" customWidth="1"/>
    <col min="303" max="305" width="10.7109375" customWidth="1"/>
    <col min="306" max="306" width="17.42578125" customWidth="1"/>
    <col min="307" max="307" width="10.7109375" customWidth="1"/>
    <col min="308" max="311" width="6.7109375" customWidth="1"/>
    <col min="312" max="314" width="10.7109375" customWidth="1"/>
    <col min="315" max="315" width="17.42578125" customWidth="1"/>
    <col min="316" max="316" width="10.7109375" customWidth="1"/>
    <col min="317" max="320" width="6.7109375" customWidth="1"/>
    <col min="321" max="323" width="10.7109375" customWidth="1"/>
    <col min="324" max="324" width="17.42578125" customWidth="1"/>
    <col min="325" max="325" width="10.7109375" customWidth="1"/>
    <col min="326" max="329" width="6.7109375" customWidth="1"/>
    <col min="330" max="332" width="10.7109375" customWidth="1"/>
    <col min="333" max="333" width="17.42578125" customWidth="1"/>
    <col min="334" max="334" width="10.7109375" customWidth="1"/>
    <col min="335" max="338" width="6.7109375" customWidth="1"/>
    <col min="339" max="341" width="10.7109375" customWidth="1"/>
    <col min="342" max="342" width="17.42578125" customWidth="1"/>
    <col min="343" max="343" width="10.7109375" customWidth="1"/>
    <col min="344" max="347" width="6.7109375" customWidth="1"/>
    <col min="348" max="350" width="10.7109375" customWidth="1"/>
    <col min="351" max="351" width="17.42578125" customWidth="1"/>
    <col min="352" max="352" width="10.7109375" customWidth="1"/>
    <col min="353" max="356" width="6.7109375" customWidth="1"/>
    <col min="357" max="359" width="10.7109375" customWidth="1"/>
    <col min="360" max="360" width="17.42578125" customWidth="1"/>
    <col min="361" max="361" width="10.7109375" customWidth="1"/>
    <col min="362" max="365" width="6.7109375" customWidth="1"/>
    <col min="366" max="368" width="10.7109375" customWidth="1"/>
    <col min="369" max="369" width="17.42578125" customWidth="1"/>
    <col min="370" max="370" width="10.7109375" customWidth="1"/>
    <col min="371" max="374" width="6.7109375" customWidth="1"/>
    <col min="375" max="377" width="10.7109375" customWidth="1"/>
    <col min="378" max="378" width="17.42578125" customWidth="1"/>
    <col min="379" max="379" width="10.7109375" customWidth="1"/>
    <col min="380" max="383" width="6.7109375" customWidth="1"/>
    <col min="384" max="386" width="10.7109375" customWidth="1"/>
    <col min="387" max="387" width="17.42578125" customWidth="1"/>
    <col min="388" max="388" width="10.7109375" customWidth="1"/>
    <col min="389" max="392" width="6.7109375" customWidth="1"/>
    <col min="393" max="395" width="10.7109375" customWidth="1"/>
    <col min="396" max="396" width="17.42578125" customWidth="1"/>
    <col min="397" max="397" width="10.7109375" customWidth="1"/>
    <col min="398" max="401" width="6.7109375" customWidth="1"/>
    <col min="402" max="404" width="10.7109375" customWidth="1"/>
    <col min="405" max="405" width="17.42578125" customWidth="1"/>
    <col min="406" max="406" width="10.7109375" customWidth="1"/>
    <col min="407" max="410" width="6.7109375" customWidth="1"/>
    <col min="411" max="413" width="10.7109375" customWidth="1"/>
    <col min="414" max="414" width="17.42578125" customWidth="1"/>
    <col min="415" max="415" width="10.7109375" customWidth="1"/>
    <col min="416" max="419" width="6.7109375" customWidth="1"/>
    <col min="420" max="422" width="10.7109375" customWidth="1"/>
    <col min="423" max="423" width="17.42578125" customWidth="1"/>
    <col min="424" max="424" width="10.7109375" customWidth="1"/>
    <col min="425" max="428" width="6.7109375" customWidth="1"/>
    <col min="429" max="431" width="10.7109375" customWidth="1"/>
    <col min="432" max="432" width="17.42578125" customWidth="1"/>
    <col min="433" max="433" width="10.7109375" customWidth="1"/>
    <col min="434" max="437" width="6.7109375" customWidth="1"/>
    <col min="438" max="440" width="10.7109375" customWidth="1"/>
    <col min="441" max="441" width="17.42578125" customWidth="1"/>
    <col min="442" max="442" width="10.7109375" customWidth="1"/>
    <col min="443" max="446" width="6.7109375" customWidth="1"/>
    <col min="447" max="449" width="10.7109375" customWidth="1"/>
    <col min="450" max="450" width="17.42578125" customWidth="1"/>
    <col min="451" max="451" width="10.7109375" customWidth="1"/>
    <col min="452" max="455" width="6.7109375" customWidth="1"/>
    <col min="456" max="458" width="10.7109375" customWidth="1"/>
    <col min="459" max="459" width="17.42578125" customWidth="1"/>
    <col min="460" max="460" width="10.7109375" customWidth="1"/>
    <col min="461" max="464" width="6.7109375" customWidth="1"/>
    <col min="465" max="467" width="10.7109375" customWidth="1"/>
    <col min="468" max="468" width="17.42578125" customWidth="1"/>
    <col min="469" max="469" width="10.7109375" customWidth="1"/>
    <col min="470" max="473" width="6.7109375" customWidth="1"/>
    <col min="474" max="476" width="10.7109375" customWidth="1"/>
    <col min="477" max="477" width="17.42578125" customWidth="1"/>
    <col min="478" max="478" width="10.7109375" customWidth="1"/>
    <col min="479" max="482" width="6.7109375" customWidth="1"/>
    <col min="483" max="485" width="10.7109375" customWidth="1"/>
    <col min="486" max="486" width="17.42578125" customWidth="1"/>
    <col min="487" max="487" width="10.7109375" customWidth="1"/>
    <col min="488" max="491" width="6.7109375" customWidth="1"/>
    <col min="492" max="494" width="10.7109375" customWidth="1"/>
    <col min="495" max="495" width="17.42578125" customWidth="1"/>
    <col min="496" max="496" width="10.7109375" customWidth="1"/>
    <col min="497" max="500" width="6.7109375" customWidth="1"/>
    <col min="501" max="503" width="10.7109375" customWidth="1"/>
    <col min="504" max="504" width="17.42578125" customWidth="1"/>
    <col min="505" max="505" width="10.7109375" customWidth="1"/>
    <col min="506" max="509" width="6.7109375" customWidth="1"/>
    <col min="510" max="512" width="10.7109375" customWidth="1"/>
    <col min="513" max="513" width="17.42578125" customWidth="1"/>
    <col min="514" max="514" width="10.7109375" customWidth="1"/>
    <col min="515" max="518" width="6.7109375" customWidth="1"/>
    <col min="519" max="521" width="10.7109375" customWidth="1"/>
    <col min="522" max="522" width="17.42578125" customWidth="1"/>
    <col min="523" max="523" width="10.7109375" customWidth="1"/>
    <col min="524" max="527" width="6.7109375" customWidth="1"/>
    <col min="528" max="530" width="10.7109375" customWidth="1"/>
    <col min="531" max="531" width="17.42578125" customWidth="1"/>
    <col min="532" max="532" width="10.7109375" customWidth="1"/>
    <col min="533" max="536" width="6.7109375" customWidth="1"/>
    <col min="537" max="539" width="10.7109375" customWidth="1"/>
    <col min="540" max="540" width="17.42578125" customWidth="1"/>
    <col min="541" max="541" width="10.7109375" customWidth="1"/>
    <col min="542" max="545" width="6.7109375" customWidth="1"/>
    <col min="546" max="548" width="10.7109375" customWidth="1"/>
    <col min="549" max="549" width="17.42578125" customWidth="1"/>
    <col min="550" max="550" width="10.7109375" customWidth="1"/>
    <col min="551" max="554" width="6.7109375" customWidth="1"/>
    <col min="555" max="557" width="10.7109375" customWidth="1"/>
    <col min="558" max="558" width="17.42578125" customWidth="1"/>
    <col min="559" max="559" width="10.7109375" customWidth="1"/>
    <col min="560" max="563" width="6.7109375" customWidth="1"/>
    <col min="564" max="566" width="10.7109375" customWidth="1"/>
    <col min="567" max="567" width="17.42578125" customWidth="1"/>
    <col min="568" max="568" width="10.7109375" customWidth="1"/>
    <col min="569" max="572" width="6.7109375" customWidth="1"/>
    <col min="573" max="575" width="10.7109375" customWidth="1"/>
    <col min="576" max="576" width="17.42578125" customWidth="1"/>
    <col min="577" max="577" width="10.7109375" customWidth="1"/>
    <col min="578" max="581" width="6.7109375" customWidth="1"/>
    <col min="582" max="584" width="10.7109375" customWidth="1"/>
    <col min="585" max="585" width="17.42578125" customWidth="1"/>
    <col min="586" max="586" width="10.7109375" customWidth="1"/>
    <col min="587" max="590" width="6.7109375" customWidth="1"/>
    <col min="591" max="593" width="10.7109375" customWidth="1"/>
    <col min="594" max="594" width="17.42578125" customWidth="1"/>
    <col min="595" max="595" width="10.7109375" customWidth="1"/>
    <col min="596" max="599" width="6.7109375" customWidth="1"/>
    <col min="600" max="602" width="10.7109375" customWidth="1"/>
    <col min="603" max="603" width="17.42578125" customWidth="1"/>
    <col min="604" max="604" width="10.7109375" customWidth="1"/>
    <col min="605" max="608" width="6.7109375" customWidth="1"/>
    <col min="609" max="611" width="10.7109375" customWidth="1"/>
    <col min="612" max="612" width="17.42578125" customWidth="1"/>
    <col min="613" max="613" width="10.7109375" customWidth="1"/>
    <col min="614" max="617" width="6.7109375" customWidth="1"/>
    <col min="618" max="620" width="10.7109375" customWidth="1"/>
    <col min="621" max="621" width="17.42578125" customWidth="1"/>
    <col min="622" max="622" width="10.7109375" customWidth="1"/>
    <col min="623" max="626" width="6.7109375" customWidth="1"/>
    <col min="627" max="629" width="10.7109375" customWidth="1"/>
    <col min="630" max="630" width="17.42578125" customWidth="1"/>
    <col min="631" max="631" width="10.7109375" customWidth="1"/>
    <col min="632" max="635" width="6.7109375" customWidth="1"/>
    <col min="636" max="638" width="10.7109375" customWidth="1"/>
    <col min="639" max="639" width="17.42578125" customWidth="1"/>
    <col min="640" max="640" width="10.7109375" customWidth="1"/>
    <col min="641" max="644" width="6.7109375" customWidth="1"/>
    <col min="645" max="647" width="10.7109375" customWidth="1"/>
    <col min="648" max="648" width="17.42578125" customWidth="1"/>
    <col min="649" max="649" width="10.7109375" customWidth="1"/>
    <col min="650" max="653" width="6.7109375" customWidth="1"/>
    <col min="654" max="656" width="10.7109375" customWidth="1"/>
    <col min="657" max="657" width="17.42578125" customWidth="1"/>
    <col min="658" max="658" width="10.7109375" customWidth="1"/>
    <col min="659" max="662" width="6.7109375" customWidth="1"/>
    <col min="663" max="665" width="10.7109375" customWidth="1"/>
    <col min="666" max="666" width="17.42578125" customWidth="1"/>
    <col min="667" max="667" width="10.7109375" customWidth="1"/>
    <col min="668" max="671" width="6.7109375" customWidth="1"/>
    <col min="672" max="674" width="10.7109375" customWidth="1"/>
    <col min="675" max="675" width="17.42578125" customWidth="1"/>
    <col min="676" max="676" width="10.7109375" customWidth="1"/>
    <col min="677" max="680" width="6.7109375" customWidth="1"/>
    <col min="681" max="683" width="10.7109375" customWidth="1"/>
    <col min="684" max="684" width="17.42578125" customWidth="1"/>
    <col min="685" max="685" width="10.7109375" customWidth="1"/>
    <col min="686" max="689" width="6.7109375" customWidth="1"/>
    <col min="690" max="692" width="10.7109375" customWidth="1"/>
    <col min="693" max="693" width="17.42578125" customWidth="1"/>
    <col min="694" max="694" width="10.7109375" customWidth="1"/>
    <col min="695" max="698" width="6.7109375" customWidth="1"/>
    <col min="699" max="701" width="10.7109375" customWidth="1"/>
    <col min="702" max="702" width="17.42578125" customWidth="1"/>
  </cols>
  <sheetData>
    <row r="1" spans="1:11" ht="20.45" customHeight="1">
      <c r="A1" s="174" t="s">
        <v>0</v>
      </c>
      <c r="B1" s="175"/>
      <c r="C1" s="176">
        <v>45485</v>
      </c>
      <c r="D1" s="177"/>
      <c r="E1" s="178"/>
      <c r="F1" s="174" t="s">
        <v>1</v>
      </c>
      <c r="G1" s="175"/>
      <c r="H1" s="179" t="s">
        <v>131</v>
      </c>
      <c r="I1" s="180"/>
      <c r="J1" s="180"/>
      <c r="K1" s="181"/>
    </row>
    <row r="2" spans="1:11" ht="11.25" customHeight="1">
      <c r="A2" s="1"/>
      <c r="B2" s="2"/>
      <c r="C2" s="2"/>
      <c r="D2" s="2"/>
      <c r="E2" s="3"/>
      <c r="F2" s="3"/>
      <c r="G2" s="3"/>
      <c r="H2" s="2"/>
      <c r="I2" s="2"/>
      <c r="J2" s="2"/>
      <c r="K2" s="2"/>
    </row>
    <row r="3" spans="1:11" ht="27" customHeight="1">
      <c r="A3" s="182" t="s">
        <v>2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20.45" customHeight="1">
      <c r="A4" s="183" t="s">
        <v>3</v>
      </c>
      <c r="B4" s="184"/>
      <c r="C4" s="184"/>
      <c r="D4" s="184"/>
      <c r="E4" s="184"/>
      <c r="F4" s="184"/>
      <c r="G4" s="184"/>
      <c r="H4" s="184"/>
      <c r="I4" s="184"/>
      <c r="J4" s="184"/>
      <c r="K4" s="185"/>
    </row>
    <row r="5" spans="1:11" s="5" customFormat="1" ht="26.25" customHeight="1">
      <c r="A5" s="186" t="s">
        <v>4</v>
      </c>
      <c r="B5" s="188" t="s">
        <v>5</v>
      </c>
      <c r="C5" s="189"/>
      <c r="D5" s="189"/>
      <c r="E5" s="190"/>
      <c r="F5" s="191" t="s">
        <v>6</v>
      </c>
      <c r="G5" s="192"/>
      <c r="H5" s="192"/>
      <c r="I5" s="192"/>
      <c r="J5" s="192"/>
      <c r="K5" s="193"/>
    </row>
    <row r="6" spans="1:11" ht="20.25" customHeight="1">
      <c r="A6" s="187"/>
      <c r="B6" s="6" t="s">
        <v>7</v>
      </c>
      <c r="C6" s="6" t="s">
        <v>8</v>
      </c>
      <c r="D6" s="4" t="s">
        <v>9</v>
      </c>
      <c r="E6" s="7" t="s">
        <v>10</v>
      </c>
      <c r="F6" s="194"/>
      <c r="G6" s="195"/>
      <c r="H6" s="195"/>
      <c r="I6" s="195"/>
      <c r="J6" s="195"/>
      <c r="K6" s="196"/>
    </row>
    <row r="7" spans="1:11" ht="20.45" customHeight="1">
      <c r="A7" s="8">
        <v>63</v>
      </c>
      <c r="B7" s="9"/>
      <c r="C7" s="9">
        <v>25000</v>
      </c>
      <c r="D7" s="9"/>
      <c r="E7" s="11"/>
      <c r="F7" s="197" t="s">
        <v>141</v>
      </c>
      <c r="G7" s="198"/>
      <c r="H7" s="198"/>
      <c r="I7" s="198"/>
      <c r="J7" s="198"/>
      <c r="K7" s="199"/>
    </row>
    <row r="8" spans="1:11" ht="20.45" customHeight="1">
      <c r="A8" s="8">
        <v>72</v>
      </c>
      <c r="B8" s="9"/>
      <c r="C8" s="9">
        <v>4100</v>
      </c>
      <c r="D8" s="10"/>
      <c r="E8" s="11"/>
      <c r="F8" s="197" t="s">
        <v>142</v>
      </c>
      <c r="G8" s="198"/>
      <c r="H8" s="198"/>
      <c r="I8" s="198"/>
      <c r="J8" s="198"/>
      <c r="K8" s="199"/>
    </row>
    <row r="9" spans="1:11" ht="20.45" customHeight="1">
      <c r="A9" s="8">
        <v>64</v>
      </c>
      <c r="B9" s="9"/>
      <c r="C9" s="9">
        <v>47770</v>
      </c>
      <c r="D9" s="10"/>
      <c r="E9" s="11"/>
      <c r="F9" s="197" t="s">
        <v>143</v>
      </c>
      <c r="G9" s="198"/>
      <c r="H9" s="198"/>
      <c r="I9" s="198"/>
      <c r="J9" s="198"/>
      <c r="K9" s="199"/>
    </row>
    <row r="10" spans="1:11" ht="20.45" customHeight="1">
      <c r="A10" s="8"/>
      <c r="B10" s="9">
        <v>155000</v>
      </c>
      <c r="C10" s="9"/>
      <c r="D10" s="10"/>
      <c r="E10" s="11"/>
      <c r="F10" s="197" t="s">
        <v>144</v>
      </c>
      <c r="G10" s="198"/>
      <c r="H10" s="198"/>
      <c r="I10" s="198"/>
      <c r="J10" s="198"/>
      <c r="K10" s="199"/>
    </row>
    <row r="11" spans="1:11" ht="20.45" customHeight="1">
      <c r="A11" s="8"/>
      <c r="B11" s="9"/>
      <c r="C11" s="9"/>
      <c r="D11" s="10"/>
      <c r="E11" s="11"/>
      <c r="F11" s="197"/>
      <c r="G11" s="198"/>
      <c r="H11" s="198"/>
      <c r="I11" s="198"/>
      <c r="J11" s="198"/>
      <c r="K11" s="199"/>
    </row>
    <row r="12" spans="1:11" ht="20.45" customHeight="1">
      <c r="A12" s="8"/>
      <c r="B12" s="9"/>
      <c r="C12" s="9"/>
      <c r="D12" s="10"/>
      <c r="E12" s="11"/>
      <c r="F12" s="197"/>
      <c r="G12" s="198"/>
      <c r="H12" s="198"/>
      <c r="I12" s="198"/>
      <c r="J12" s="198"/>
      <c r="K12" s="199"/>
    </row>
    <row r="13" spans="1:11" ht="20.45" customHeight="1">
      <c r="A13" s="8"/>
      <c r="B13" s="9"/>
      <c r="C13" s="9"/>
      <c r="D13" s="10"/>
      <c r="E13" s="11"/>
      <c r="F13" s="197"/>
      <c r="G13" s="198"/>
      <c r="H13" s="198"/>
      <c r="I13" s="198"/>
      <c r="J13" s="198"/>
      <c r="K13" s="199"/>
    </row>
    <row r="14" spans="1:11" ht="20.45" customHeight="1">
      <c r="A14" s="8"/>
      <c r="B14" s="9"/>
      <c r="C14" s="9"/>
      <c r="D14" s="10"/>
      <c r="E14" s="11"/>
      <c r="F14" s="197"/>
      <c r="G14" s="198"/>
      <c r="H14" s="198"/>
      <c r="I14" s="198"/>
      <c r="J14" s="198"/>
      <c r="K14" s="199"/>
    </row>
    <row r="15" spans="1:11" ht="20.45" customHeight="1">
      <c r="A15" s="8"/>
      <c r="B15" s="9"/>
      <c r="C15" s="9"/>
      <c r="D15" s="10"/>
      <c r="E15" s="11"/>
      <c r="F15" s="197"/>
      <c r="G15" s="198"/>
      <c r="H15" s="198"/>
      <c r="I15" s="198"/>
      <c r="J15" s="198"/>
      <c r="K15" s="199"/>
    </row>
    <row r="16" spans="1:11" ht="20.45" customHeight="1">
      <c r="A16" s="8"/>
      <c r="B16" s="9"/>
      <c r="C16" s="9"/>
      <c r="D16" s="10"/>
      <c r="E16" s="11"/>
      <c r="F16" s="197"/>
      <c r="G16" s="198"/>
      <c r="H16" s="198"/>
      <c r="I16" s="198"/>
      <c r="J16" s="198"/>
      <c r="K16" s="199"/>
    </row>
    <row r="17" spans="1:11" ht="20.45" customHeight="1">
      <c r="A17" s="8"/>
      <c r="B17" s="9"/>
      <c r="C17" s="9"/>
      <c r="D17" s="10"/>
      <c r="E17" s="11"/>
      <c r="F17" s="197"/>
      <c r="G17" s="198"/>
      <c r="H17" s="198"/>
      <c r="I17" s="198"/>
      <c r="J17" s="198"/>
      <c r="K17" s="199"/>
    </row>
    <row r="18" spans="1:11" s="12" customFormat="1" ht="20.45" customHeight="1">
      <c r="A18" s="8"/>
      <c r="B18" s="9"/>
      <c r="C18" s="9"/>
      <c r="D18" s="10"/>
      <c r="E18" s="11"/>
      <c r="F18" s="197"/>
      <c r="G18" s="198"/>
      <c r="H18" s="198"/>
      <c r="I18" s="198"/>
      <c r="J18" s="198"/>
      <c r="K18" s="199"/>
    </row>
    <row r="19" spans="1:11" ht="20.45" customHeight="1">
      <c r="A19" s="8"/>
      <c r="B19" s="9"/>
      <c r="C19" s="9"/>
      <c r="D19" s="10"/>
      <c r="E19" s="11"/>
      <c r="F19" s="197"/>
      <c r="G19" s="198"/>
      <c r="H19" s="198"/>
      <c r="I19" s="198"/>
      <c r="J19" s="198"/>
      <c r="K19" s="199"/>
    </row>
    <row r="20" spans="1:11" s="12" customFormat="1" ht="20.45" customHeight="1">
      <c r="A20" s="8"/>
      <c r="B20" s="9"/>
      <c r="C20" s="9"/>
      <c r="D20" s="10"/>
      <c r="E20" s="11"/>
      <c r="F20" s="197"/>
      <c r="G20" s="198"/>
      <c r="H20" s="198"/>
      <c r="I20" s="198"/>
      <c r="J20" s="198"/>
      <c r="K20" s="199"/>
    </row>
    <row r="21" spans="1:11" ht="20.45" customHeight="1">
      <c r="A21" s="8"/>
      <c r="B21" s="9"/>
      <c r="C21" s="9"/>
      <c r="D21" s="10"/>
      <c r="E21" s="11"/>
      <c r="F21" s="197"/>
      <c r="G21" s="198"/>
      <c r="H21" s="198"/>
      <c r="I21" s="198"/>
      <c r="J21" s="198"/>
      <c r="K21" s="199"/>
    </row>
    <row r="22" spans="1:11" ht="20.45" customHeight="1">
      <c r="A22" s="8"/>
      <c r="B22" s="9"/>
      <c r="C22" s="9"/>
      <c r="D22" s="10"/>
      <c r="E22" s="11"/>
      <c r="F22" s="197"/>
      <c r="G22" s="198"/>
      <c r="H22" s="198"/>
      <c r="I22" s="198"/>
      <c r="J22" s="198"/>
      <c r="K22" s="199"/>
    </row>
    <row r="23" spans="1:11" ht="20.45" customHeight="1">
      <c r="A23" s="8"/>
      <c r="B23" s="9"/>
      <c r="C23" s="9"/>
      <c r="D23" s="10"/>
      <c r="E23" s="11"/>
      <c r="F23" s="197"/>
      <c r="G23" s="198"/>
      <c r="H23" s="198"/>
      <c r="I23" s="198"/>
      <c r="J23" s="198"/>
      <c r="K23" s="199"/>
    </row>
    <row r="24" spans="1:11" ht="20.25" customHeight="1">
      <c r="A24" s="14" t="s">
        <v>11</v>
      </c>
      <c r="B24" s="15">
        <f>SUM($B7:$B23)</f>
        <v>155000</v>
      </c>
      <c r="C24" s="15">
        <f>SUM($C7:$C23)</f>
        <v>76870</v>
      </c>
      <c r="D24" s="15">
        <f>SUM($D7:$D23)</f>
        <v>0</v>
      </c>
      <c r="E24" s="15">
        <f>SUM($E7:$E23)</f>
        <v>0</v>
      </c>
      <c r="F24" s="106"/>
      <c r="G24" s="107"/>
      <c r="H24" s="108"/>
      <c r="I24" s="108"/>
      <c r="J24" s="108"/>
      <c r="K24" s="108"/>
    </row>
    <row r="25" spans="1:11" ht="3.75" customHeight="1">
      <c r="A25" s="13"/>
      <c r="B25" s="17"/>
      <c r="C25" s="17"/>
      <c r="D25" s="17"/>
      <c r="E25" s="18"/>
      <c r="F25" s="16"/>
      <c r="G25" s="16"/>
      <c r="H25" s="19"/>
      <c r="I25" s="19"/>
      <c r="J25" s="105"/>
      <c r="K25" s="19"/>
    </row>
    <row r="26" spans="1:11" ht="21.75" customHeight="1">
      <c r="A26" s="13"/>
      <c r="B26" s="17"/>
      <c r="C26" s="17"/>
      <c r="D26" s="17"/>
      <c r="E26" s="18"/>
      <c r="F26" s="16"/>
      <c r="G26" s="16"/>
      <c r="H26" s="19"/>
      <c r="I26" s="20"/>
      <c r="J26" s="21" t="s">
        <v>12</v>
      </c>
      <c r="K26" s="22">
        <f>$B$24+$C$24+$D$24+$E$24</f>
        <v>231870</v>
      </c>
    </row>
    <row r="27" spans="1:11" ht="12" customHeight="1">
      <c r="A27" s="13"/>
      <c r="B27" s="17"/>
      <c r="C27" s="17"/>
      <c r="D27" s="17"/>
      <c r="E27" s="18"/>
      <c r="F27" s="23"/>
      <c r="G27" s="23"/>
      <c r="H27" s="17"/>
      <c r="I27" s="17"/>
      <c r="J27" s="17"/>
      <c r="K27" s="24"/>
    </row>
    <row r="28" spans="1:11" ht="26.25" customHeight="1">
      <c r="A28" s="25"/>
      <c r="B28" s="27"/>
      <c r="C28" s="27"/>
      <c r="D28" s="27"/>
      <c r="E28" s="28"/>
      <c r="F28" s="26"/>
      <c r="G28" s="28" t="s">
        <v>13</v>
      </c>
      <c r="H28" s="27"/>
      <c r="I28" s="27"/>
      <c r="J28" s="27"/>
      <c r="K28" s="27"/>
    </row>
    <row r="29" spans="1:11" ht="19.5" customHeight="1">
      <c r="A29" s="158" t="s">
        <v>14</v>
      </c>
      <c r="B29" s="159"/>
      <c r="C29" s="29"/>
      <c r="D29" s="30" t="s">
        <v>15</v>
      </c>
      <c r="E29" s="31"/>
      <c r="F29" s="164" t="s">
        <v>16</v>
      </c>
      <c r="G29" s="164"/>
      <c r="H29" s="159"/>
      <c r="I29" s="166" t="s">
        <v>17</v>
      </c>
      <c r="J29" s="167"/>
      <c r="K29" s="168"/>
    </row>
    <row r="30" spans="1:11" ht="18.75" customHeight="1">
      <c r="A30" s="160"/>
      <c r="B30" s="161"/>
      <c r="C30" s="169" t="s">
        <v>18</v>
      </c>
      <c r="D30" s="170"/>
      <c r="E30" s="32" t="s">
        <v>19</v>
      </c>
      <c r="F30" s="165"/>
      <c r="G30" s="165"/>
      <c r="H30" s="161"/>
      <c r="I30" s="169" t="s">
        <v>18</v>
      </c>
      <c r="J30" s="170"/>
      <c r="K30" s="32" t="s">
        <v>19</v>
      </c>
    </row>
    <row r="31" spans="1:11" ht="15.75" customHeight="1">
      <c r="A31" s="160"/>
      <c r="B31" s="161"/>
      <c r="C31" s="33" t="s">
        <v>20</v>
      </c>
      <c r="D31" s="34"/>
      <c r="E31" s="35">
        <f>B24</f>
        <v>155000</v>
      </c>
      <c r="F31" s="165"/>
      <c r="G31" s="165"/>
      <c r="H31" s="161"/>
      <c r="I31" s="33" t="s">
        <v>7</v>
      </c>
      <c r="J31" s="34"/>
      <c r="K31" s="36">
        <v>23000</v>
      </c>
    </row>
    <row r="32" spans="1:11" ht="15.75" customHeight="1">
      <c r="A32" s="160"/>
      <c r="B32" s="161"/>
      <c r="C32" s="33" t="s">
        <v>21</v>
      </c>
      <c r="D32" s="37"/>
      <c r="E32" s="35">
        <f>C24</f>
        <v>76870</v>
      </c>
      <c r="F32" s="165"/>
      <c r="G32" s="165"/>
      <c r="H32" s="161"/>
      <c r="I32" s="38" t="s">
        <v>22</v>
      </c>
      <c r="J32" s="39"/>
      <c r="K32" s="40"/>
    </row>
    <row r="33" spans="1:11" ht="15.75" customHeight="1">
      <c r="A33" s="160"/>
      <c r="B33" s="161"/>
      <c r="C33" s="33" t="s">
        <v>23</v>
      </c>
      <c r="D33" s="37"/>
      <c r="E33" s="35">
        <f>D24</f>
        <v>0</v>
      </c>
      <c r="F33" s="165"/>
      <c r="G33" s="165"/>
      <c r="H33" s="161"/>
      <c r="I33" s="38" t="s">
        <v>24</v>
      </c>
      <c r="J33" s="39"/>
      <c r="K33" s="40"/>
    </row>
    <row r="34" spans="1:11" ht="15.75" customHeight="1">
      <c r="A34" s="160"/>
      <c r="B34" s="161"/>
      <c r="C34" s="33" t="s">
        <v>25</v>
      </c>
      <c r="D34" s="37"/>
      <c r="E34" s="35">
        <f>E24</f>
        <v>0</v>
      </c>
      <c r="F34" s="165"/>
      <c r="G34" s="165"/>
      <c r="H34" s="161"/>
      <c r="I34" s="38"/>
      <c r="J34" s="39"/>
      <c r="K34" s="40"/>
    </row>
    <row r="35" spans="1:11" ht="15.75" customHeight="1">
      <c r="A35" s="160"/>
      <c r="B35" s="161"/>
      <c r="C35" s="41" t="s">
        <v>12</v>
      </c>
      <c r="D35" s="42"/>
      <c r="E35" s="43">
        <f>SUM(E31:E34)</f>
        <v>231870</v>
      </c>
      <c r="F35" s="165"/>
      <c r="G35" s="165"/>
      <c r="H35" s="161"/>
      <c r="I35" s="38"/>
      <c r="J35" s="39"/>
      <c r="K35" s="40"/>
    </row>
    <row r="36" spans="1:11" ht="15.75" customHeight="1">
      <c r="A36" s="160"/>
      <c r="B36" s="161"/>
      <c r="C36" s="171" t="s">
        <v>26</v>
      </c>
      <c r="D36" s="172"/>
      <c r="E36" s="173"/>
      <c r="F36" s="165"/>
      <c r="G36" s="165"/>
      <c r="H36" s="161"/>
      <c r="I36" s="38"/>
      <c r="J36" s="39"/>
      <c r="K36" s="40"/>
    </row>
    <row r="37" spans="1:11" ht="15.75" customHeight="1">
      <c r="A37" s="160"/>
      <c r="B37" s="161"/>
      <c r="C37" s="169" t="s">
        <v>18</v>
      </c>
      <c r="D37" s="170"/>
      <c r="E37" s="32" t="s">
        <v>19</v>
      </c>
      <c r="F37" s="165"/>
      <c r="G37" s="165"/>
      <c r="H37" s="161"/>
      <c r="I37" s="38"/>
      <c r="J37" s="39"/>
      <c r="K37" s="40"/>
    </row>
    <row r="38" spans="1:11" ht="15.75" customHeight="1">
      <c r="A38" s="160"/>
      <c r="B38" s="161"/>
      <c r="C38" s="44" t="s">
        <v>7</v>
      </c>
      <c r="D38" s="45"/>
      <c r="E38" s="46"/>
      <c r="F38" s="165"/>
      <c r="G38" s="165"/>
      <c r="H38" s="161"/>
      <c r="I38" s="41" t="s">
        <v>27</v>
      </c>
      <c r="J38" s="42"/>
      <c r="K38" s="43">
        <f>SUM(K31:K37)</f>
        <v>23000</v>
      </c>
    </row>
    <row r="39" spans="1:11" ht="15.75" customHeight="1">
      <c r="A39" s="160"/>
      <c r="B39" s="161"/>
      <c r="C39" s="47" t="s">
        <v>24</v>
      </c>
      <c r="D39" s="48"/>
      <c r="E39" s="49"/>
      <c r="F39" s="165"/>
      <c r="G39" s="165"/>
      <c r="H39" s="161"/>
      <c r="I39" s="166" t="s">
        <v>28</v>
      </c>
      <c r="J39" s="167"/>
      <c r="K39" s="168"/>
    </row>
    <row r="40" spans="1:11" ht="18.75" customHeight="1">
      <c r="A40" s="162"/>
      <c r="B40" s="163"/>
      <c r="C40" s="41" t="s">
        <v>29</v>
      </c>
      <c r="D40" s="42"/>
      <c r="E40" s="43">
        <f>SUM(E38:E39)</f>
        <v>0</v>
      </c>
      <c r="F40" s="165"/>
      <c r="G40" s="165"/>
      <c r="H40" s="161"/>
      <c r="I40" s="38" t="s">
        <v>30</v>
      </c>
      <c r="J40" s="48"/>
      <c r="K40" s="49">
        <v>160000</v>
      </c>
    </row>
    <row r="41" spans="1:11" ht="15.75" customHeight="1">
      <c r="A41" s="13"/>
      <c r="B41" s="50"/>
      <c r="C41" s="51"/>
      <c r="D41" s="52" t="s">
        <v>31</v>
      </c>
      <c r="E41" s="53">
        <f>E35+E40</f>
        <v>231870</v>
      </c>
      <c r="F41" s="54"/>
      <c r="G41" s="54"/>
      <c r="H41" s="55"/>
      <c r="I41" s="51"/>
      <c r="J41" s="52" t="s">
        <v>32</v>
      </c>
      <c r="K41" s="53">
        <f>K38+K40</f>
        <v>183000</v>
      </c>
    </row>
    <row r="42" spans="1:11" ht="11.25" customHeight="1">
      <c r="A42" s="13"/>
      <c r="B42" s="18"/>
      <c r="C42" s="18"/>
      <c r="D42" s="18"/>
      <c r="E42" s="18"/>
      <c r="F42" s="57"/>
      <c r="G42" s="57"/>
      <c r="H42" s="135"/>
      <c r="I42" s="135"/>
      <c r="J42" s="17"/>
      <c r="K42" s="17"/>
    </row>
    <row r="43" spans="1:11" ht="28.5">
      <c r="A43" s="25"/>
      <c r="B43" s="27"/>
      <c r="C43" s="27"/>
      <c r="D43" s="27"/>
      <c r="E43" s="28"/>
      <c r="F43" s="26"/>
      <c r="G43" s="28" t="s">
        <v>33</v>
      </c>
      <c r="H43" s="27"/>
      <c r="I43" s="27"/>
      <c r="J43" s="27"/>
      <c r="K43" s="27"/>
    </row>
    <row r="44" spans="1:11" ht="17.100000000000001" customHeight="1">
      <c r="A44" s="136" t="s">
        <v>34</v>
      </c>
      <c r="B44" s="137"/>
      <c r="C44" s="58" t="s">
        <v>35</v>
      </c>
      <c r="D44" s="58" t="s">
        <v>36</v>
      </c>
      <c r="E44" s="59" t="s">
        <v>19</v>
      </c>
      <c r="F44" s="142" t="s">
        <v>37</v>
      </c>
      <c r="G44" s="143"/>
      <c r="H44" s="137"/>
      <c r="I44" s="58" t="s">
        <v>35</v>
      </c>
      <c r="J44" s="58" t="s">
        <v>36</v>
      </c>
      <c r="K44" s="58" t="s">
        <v>19</v>
      </c>
    </row>
    <row r="45" spans="1:11" ht="17.100000000000001" customHeight="1">
      <c r="A45" s="138"/>
      <c r="B45" s="139"/>
      <c r="C45" s="60">
        <v>20000</v>
      </c>
      <c r="D45" s="61"/>
      <c r="E45" s="62">
        <f>C45*D45</f>
        <v>0</v>
      </c>
      <c r="F45" s="144"/>
      <c r="G45" s="145"/>
      <c r="H45" s="139"/>
      <c r="I45" s="60">
        <v>500</v>
      </c>
      <c r="J45" s="61">
        <v>3</v>
      </c>
      <c r="K45" s="63">
        <f>I45*J45</f>
        <v>1500</v>
      </c>
    </row>
    <row r="46" spans="1:11" ht="17.100000000000001" customHeight="1">
      <c r="A46" s="138"/>
      <c r="B46" s="139"/>
      <c r="C46" s="60">
        <v>10000</v>
      </c>
      <c r="D46" s="61"/>
      <c r="E46" s="62">
        <f>C46*D46</f>
        <v>0</v>
      </c>
      <c r="F46" s="144"/>
      <c r="G46" s="145"/>
      <c r="H46" s="139"/>
      <c r="I46" s="60">
        <v>100</v>
      </c>
      <c r="J46" s="61">
        <v>30</v>
      </c>
      <c r="K46" s="63">
        <f>I46*J46</f>
        <v>3000</v>
      </c>
    </row>
    <row r="47" spans="1:11" ht="17.100000000000001" customHeight="1">
      <c r="A47" s="138"/>
      <c r="B47" s="139"/>
      <c r="C47" s="60">
        <v>5000</v>
      </c>
      <c r="D47" s="61">
        <v>3</v>
      </c>
      <c r="E47" s="62">
        <f>C47*D47</f>
        <v>15000</v>
      </c>
      <c r="F47" s="144"/>
      <c r="G47" s="145"/>
      <c r="H47" s="139"/>
      <c r="I47" s="60">
        <v>50</v>
      </c>
      <c r="J47" s="61">
        <v>8</v>
      </c>
      <c r="K47" s="63">
        <f>I47*J47</f>
        <v>400</v>
      </c>
    </row>
    <row r="48" spans="1:11" ht="17.100000000000001" customHeight="1">
      <c r="A48" s="138"/>
      <c r="B48" s="139"/>
      <c r="C48" s="60">
        <v>2000</v>
      </c>
      <c r="D48" s="61"/>
      <c r="E48" s="62">
        <f>C48*D48</f>
        <v>0</v>
      </c>
      <c r="F48" s="144"/>
      <c r="G48" s="145"/>
      <c r="H48" s="139"/>
      <c r="I48" s="60">
        <v>10</v>
      </c>
      <c r="J48" s="61">
        <v>15</v>
      </c>
      <c r="K48" s="63">
        <f>I48*J48</f>
        <v>150</v>
      </c>
    </row>
    <row r="49" spans="1:11" ht="17.100000000000001" customHeight="1">
      <c r="A49" s="140"/>
      <c r="B49" s="141"/>
      <c r="C49" s="60">
        <v>1000</v>
      </c>
      <c r="D49" s="61">
        <v>20</v>
      </c>
      <c r="E49" s="62">
        <f>C49*D49</f>
        <v>20000</v>
      </c>
      <c r="F49" s="146"/>
      <c r="G49" s="147"/>
      <c r="H49" s="141"/>
      <c r="I49" s="60"/>
      <c r="J49" s="64"/>
      <c r="K49" s="63"/>
    </row>
    <row r="50" spans="1:11" ht="18.75">
      <c r="A50" s="13"/>
      <c r="B50" s="65"/>
      <c r="C50" s="66"/>
      <c r="D50" s="67" t="s">
        <v>38</v>
      </c>
      <c r="E50" s="68">
        <f>SUM(E45:E49)</f>
        <v>35000</v>
      </c>
      <c r="F50" s="54"/>
      <c r="G50" s="54"/>
      <c r="H50" s="55"/>
      <c r="I50" s="66"/>
      <c r="J50" s="67" t="s">
        <v>39</v>
      </c>
      <c r="K50" s="68">
        <f>SUM(K45:K49)</f>
        <v>5050</v>
      </c>
    </row>
    <row r="51" spans="1:11" ht="18.75">
      <c r="A51" s="13"/>
      <c r="B51" s="18"/>
      <c r="C51" s="18"/>
      <c r="D51" s="18"/>
      <c r="E51" s="18"/>
      <c r="F51" s="16"/>
      <c r="G51" s="16"/>
      <c r="H51" s="65"/>
      <c r="I51" s="65"/>
      <c r="J51" s="17"/>
      <c r="K51" s="17"/>
    </row>
    <row r="52" spans="1:11" ht="18" customHeight="1">
      <c r="A52" s="13"/>
      <c r="B52" s="18"/>
      <c r="C52" s="18"/>
      <c r="D52" s="18"/>
      <c r="E52" s="18"/>
      <c r="F52" s="69"/>
      <c r="G52" s="69"/>
      <c r="H52" s="70" t="s">
        <v>40</v>
      </c>
      <c r="I52" s="71"/>
      <c r="J52" s="69"/>
      <c r="K52" s="17"/>
    </row>
    <row r="53" spans="1:11" ht="4.5" customHeight="1">
      <c r="A53" s="13"/>
      <c r="B53" s="18"/>
      <c r="C53" s="18"/>
      <c r="D53" s="18"/>
      <c r="E53" s="18"/>
      <c r="F53" s="16"/>
      <c r="G53" s="16"/>
      <c r="H53" s="17"/>
      <c r="I53" s="17"/>
      <c r="J53" s="17"/>
      <c r="K53" s="17"/>
    </row>
    <row r="54" spans="1:11" ht="15" customHeight="1">
      <c r="A54" s="72"/>
      <c r="B54" s="148" t="s">
        <v>41</v>
      </c>
      <c r="C54" s="149"/>
      <c r="D54" s="150"/>
      <c r="E54" s="18"/>
      <c r="F54" s="73"/>
      <c r="G54" s="73"/>
      <c r="H54" s="74" t="s">
        <v>42</v>
      </c>
      <c r="I54" s="75">
        <f>'11-07-2024'!I68</f>
        <v>68050</v>
      </c>
      <c r="J54" s="76"/>
      <c r="K54" s="17"/>
    </row>
    <row r="55" spans="1:11" ht="4.5" customHeight="1">
      <c r="A55" s="72"/>
      <c r="B55" s="151"/>
      <c r="C55" s="152"/>
      <c r="D55" s="153"/>
      <c r="E55" s="18"/>
      <c r="F55" s="16"/>
      <c r="G55" s="16"/>
      <c r="H55" s="17"/>
      <c r="I55" s="77"/>
      <c r="J55" s="17"/>
      <c r="K55" s="17"/>
    </row>
    <row r="56" spans="1:11" ht="18.75" customHeight="1">
      <c r="A56" s="78"/>
      <c r="B56" s="154" t="s">
        <v>145</v>
      </c>
      <c r="C56" s="154"/>
      <c r="D56" s="154"/>
      <c r="E56" s="18"/>
      <c r="F56" s="79"/>
      <c r="G56" s="79"/>
      <c r="H56" s="80" t="s">
        <v>43</v>
      </c>
      <c r="I56" s="81">
        <f>E50+K50</f>
        <v>40050</v>
      </c>
      <c r="J56" s="82"/>
      <c r="K56" s="17"/>
    </row>
    <row r="57" spans="1:11" ht="4.5" customHeight="1">
      <c r="A57" s="78"/>
      <c r="B57" s="154"/>
      <c r="C57" s="154"/>
      <c r="D57" s="154"/>
      <c r="E57" s="18"/>
      <c r="F57" s="56"/>
      <c r="G57" s="56"/>
      <c r="H57" s="57"/>
      <c r="I57" s="83"/>
      <c r="J57" s="65"/>
      <c r="K57" s="17"/>
    </row>
    <row r="58" spans="1:11" ht="18.75">
      <c r="A58" s="78"/>
      <c r="B58" s="154"/>
      <c r="C58" s="154"/>
      <c r="D58" s="154"/>
      <c r="E58" s="18"/>
      <c r="F58" s="79"/>
      <c r="G58" s="79"/>
      <c r="H58" s="80" t="s">
        <v>12</v>
      </c>
      <c r="I58" s="81">
        <f>K26</f>
        <v>231870</v>
      </c>
      <c r="J58" s="82"/>
      <c r="K58" s="24"/>
    </row>
    <row r="59" spans="1:11" ht="4.5" customHeight="1">
      <c r="A59" s="78"/>
      <c r="B59" s="154"/>
      <c r="C59" s="154"/>
      <c r="D59" s="154"/>
      <c r="E59" s="18"/>
      <c r="F59" s="56"/>
      <c r="G59" s="56"/>
      <c r="H59" s="57"/>
      <c r="I59" s="83"/>
      <c r="J59" s="18"/>
      <c r="K59" s="17"/>
    </row>
    <row r="60" spans="1:11" ht="18.75">
      <c r="A60" s="78"/>
      <c r="B60" s="154"/>
      <c r="C60" s="154"/>
      <c r="D60" s="154"/>
      <c r="E60" s="18"/>
      <c r="F60" s="84"/>
      <c r="G60" s="84"/>
      <c r="H60" s="85" t="s">
        <v>26</v>
      </c>
      <c r="I60" s="86">
        <f>E38</f>
        <v>0</v>
      </c>
      <c r="J60" s="82"/>
      <c r="K60" s="17"/>
    </row>
    <row r="61" spans="1:11" ht="4.5" customHeight="1">
      <c r="A61" s="78"/>
      <c r="B61" s="154"/>
      <c r="C61" s="154"/>
      <c r="D61" s="154"/>
      <c r="E61" s="18"/>
      <c r="F61" s="13"/>
      <c r="G61" s="13"/>
      <c r="H61" s="16"/>
      <c r="I61" s="77"/>
      <c r="J61" s="17"/>
      <c r="K61" s="17"/>
    </row>
    <row r="62" spans="1:11" ht="18.75">
      <c r="A62" s="78"/>
      <c r="B62" s="154"/>
      <c r="C62" s="154"/>
      <c r="D62" s="154"/>
      <c r="E62" s="18"/>
      <c r="F62" s="84"/>
      <c r="G62" s="84"/>
      <c r="H62" s="85" t="s">
        <v>17</v>
      </c>
      <c r="I62" s="86">
        <f>K31+K40</f>
        <v>183000</v>
      </c>
      <c r="J62" s="82"/>
      <c r="K62" s="17"/>
    </row>
    <row r="63" spans="1:11" ht="4.5" customHeight="1">
      <c r="A63" s="78"/>
      <c r="B63" s="154"/>
      <c r="C63" s="154"/>
      <c r="D63" s="154"/>
      <c r="E63" s="18"/>
      <c r="F63" s="13"/>
      <c r="G63" s="13"/>
      <c r="H63" s="16"/>
      <c r="I63" s="77"/>
      <c r="J63" s="17"/>
      <c r="K63" s="17"/>
    </row>
    <row r="64" spans="1:11" ht="18.75">
      <c r="A64" s="78"/>
      <c r="B64" s="154"/>
      <c r="C64" s="154"/>
      <c r="D64" s="154"/>
      <c r="E64" s="18"/>
      <c r="F64" s="84"/>
      <c r="G64" s="84"/>
      <c r="H64" s="85" t="s">
        <v>44</v>
      </c>
      <c r="I64" s="86">
        <f>I54+I58+I60-I62</f>
        <v>116920</v>
      </c>
      <c r="J64" s="87"/>
      <c r="K64" s="17"/>
    </row>
    <row r="65" spans="1:11" ht="4.5" customHeight="1">
      <c r="A65" s="13"/>
      <c r="B65" s="154"/>
      <c r="C65" s="154"/>
      <c r="D65" s="154"/>
      <c r="E65" s="18"/>
      <c r="F65" s="16"/>
      <c r="G65" s="16"/>
      <c r="H65" s="18"/>
      <c r="I65" s="77"/>
      <c r="J65" s="17"/>
      <c r="K65" s="17"/>
    </row>
    <row r="66" spans="1:11" ht="18.75">
      <c r="A66" s="13"/>
      <c r="B66" s="154"/>
      <c r="C66" s="154"/>
      <c r="D66" s="154"/>
      <c r="E66" s="18"/>
      <c r="F66" s="73"/>
      <c r="G66" s="73"/>
      <c r="H66" s="74" t="s">
        <v>45</v>
      </c>
      <c r="I66" s="86">
        <f>I64-I54</f>
        <v>48870</v>
      </c>
      <c r="J66" s="88"/>
      <c r="K66" s="17"/>
    </row>
    <row r="67" spans="1:11" ht="4.5" customHeight="1">
      <c r="A67" s="78"/>
      <c r="B67" s="154"/>
      <c r="C67" s="154"/>
      <c r="D67" s="154"/>
      <c r="E67" s="18"/>
      <c r="F67" s="16"/>
      <c r="G67" s="16"/>
      <c r="H67" s="16"/>
      <c r="I67" s="77"/>
      <c r="J67" s="17"/>
      <c r="K67" s="17"/>
    </row>
    <row r="68" spans="1:11" ht="18.75">
      <c r="A68" s="13"/>
      <c r="B68" s="154"/>
      <c r="C68" s="154"/>
      <c r="D68" s="154"/>
      <c r="E68" s="18"/>
      <c r="F68" s="79"/>
      <c r="G68" s="79"/>
      <c r="H68" s="80" t="s">
        <v>46</v>
      </c>
      <c r="I68" s="86">
        <f>I54+E31+(E38-(K31+K40))</f>
        <v>40050</v>
      </c>
      <c r="J68" s="88"/>
      <c r="K68" s="17"/>
    </row>
    <row r="69" spans="1:11" ht="4.5" customHeight="1">
      <c r="A69" s="78"/>
      <c r="B69" s="154"/>
      <c r="C69" s="154"/>
      <c r="D69" s="154"/>
      <c r="E69" s="18"/>
      <c r="F69" s="16"/>
      <c r="G69" s="16"/>
      <c r="H69" s="16"/>
      <c r="I69" s="77"/>
      <c r="J69" s="17"/>
      <c r="K69" s="17"/>
    </row>
    <row r="70" spans="1:11" ht="18.75" customHeight="1">
      <c r="A70" s="78"/>
      <c r="B70" s="154"/>
      <c r="C70" s="154"/>
      <c r="D70" s="154"/>
      <c r="E70" s="18"/>
      <c r="F70" s="79"/>
      <c r="G70" s="79"/>
      <c r="H70" s="80" t="s">
        <v>47</v>
      </c>
      <c r="I70" s="89">
        <f>I56-I68</f>
        <v>0</v>
      </c>
      <c r="J70" s="90"/>
      <c r="K70" s="17"/>
    </row>
    <row r="71" spans="1:11" ht="15" customHeight="1">
      <c r="A71" s="91"/>
      <c r="B71" s="92"/>
      <c r="C71" s="92"/>
      <c r="D71" s="92"/>
      <c r="E71" s="93"/>
      <c r="F71" s="94"/>
      <c r="G71" s="94"/>
      <c r="H71" s="95"/>
      <c r="I71" s="95"/>
      <c r="J71" s="95"/>
      <c r="K71" s="95"/>
    </row>
    <row r="72" spans="1:11" ht="15" customHeight="1">
      <c r="A72" s="91"/>
      <c r="B72" s="92"/>
      <c r="C72" s="92"/>
      <c r="D72" s="92"/>
      <c r="E72" s="93"/>
      <c r="F72" s="94"/>
      <c r="G72" s="94"/>
      <c r="H72" s="95"/>
      <c r="I72" s="95"/>
      <c r="J72" s="95"/>
      <c r="K72" s="95"/>
    </row>
    <row r="73" spans="1:11" ht="15" customHeight="1">
      <c r="A73" s="91"/>
      <c r="B73" s="92"/>
      <c r="C73" s="92"/>
      <c r="D73" s="92"/>
      <c r="E73" s="93"/>
      <c r="F73" s="94"/>
      <c r="G73" s="94"/>
      <c r="H73" s="95"/>
      <c r="I73" s="95"/>
      <c r="J73" s="95"/>
      <c r="K73" s="95"/>
    </row>
    <row r="74" spans="1:11" ht="15" customHeight="1">
      <c r="A74" s="91"/>
      <c r="B74" s="92"/>
      <c r="C74" s="92"/>
      <c r="D74" s="92"/>
      <c r="E74" s="93"/>
      <c r="F74" s="94"/>
      <c r="G74" s="94"/>
      <c r="H74" s="95"/>
      <c r="I74" s="95"/>
      <c r="J74" s="95"/>
      <c r="K74" s="95"/>
    </row>
    <row r="75" spans="1:11" ht="15.75" customHeight="1">
      <c r="A75" s="91"/>
      <c r="B75" s="92"/>
      <c r="C75" s="92"/>
      <c r="D75" s="92"/>
      <c r="E75" s="93"/>
      <c r="F75" s="94"/>
      <c r="G75" s="94"/>
      <c r="H75" s="95"/>
      <c r="I75" s="95"/>
      <c r="J75" s="95"/>
      <c r="K75" s="95"/>
    </row>
    <row r="76" spans="1:11" ht="14.25" customHeight="1">
      <c r="A76" s="91"/>
      <c r="B76" s="92"/>
      <c r="C76" s="92"/>
      <c r="D76" s="92"/>
      <c r="E76" s="93"/>
      <c r="F76" s="94"/>
      <c r="G76" s="94"/>
      <c r="H76" s="95"/>
      <c r="I76" s="95"/>
      <c r="J76" s="95"/>
      <c r="K76" s="95"/>
    </row>
    <row r="77" spans="1:11">
      <c r="A77" s="96"/>
      <c r="B77" s="98"/>
      <c r="C77" s="98"/>
      <c r="D77" s="98"/>
      <c r="E77" s="98"/>
      <c r="F77" s="97"/>
      <c r="G77" s="97"/>
      <c r="H77" s="99"/>
      <c r="I77" s="99"/>
      <c r="J77" s="99"/>
      <c r="K77" s="99"/>
    </row>
    <row r="78" spans="1:11">
      <c r="D78" s="102"/>
      <c r="E78" s="102"/>
    </row>
    <row r="79" spans="1:11">
      <c r="D79" s="102"/>
      <c r="E79" s="102"/>
      <c r="H79" s="102"/>
    </row>
    <row r="80" spans="1:11">
      <c r="D80" s="102"/>
      <c r="E80" s="102"/>
      <c r="H80" s="102"/>
    </row>
    <row r="81" spans="4:11">
      <c r="D81" s="102"/>
      <c r="E81" s="102"/>
      <c r="H81" s="102"/>
      <c r="I81" s="102"/>
      <c r="J81" s="102"/>
      <c r="K81" s="102"/>
    </row>
    <row r="82" spans="4:11">
      <c r="D82" s="102"/>
      <c r="E82" s="102"/>
      <c r="H82" s="102"/>
      <c r="I82" s="102"/>
      <c r="J82" s="102"/>
      <c r="K82" s="102"/>
    </row>
    <row r="83" spans="4:11">
      <c r="D83" s="102"/>
      <c r="E83" s="102"/>
      <c r="H83" s="102"/>
      <c r="I83" s="102"/>
      <c r="J83" s="102"/>
      <c r="K83" s="102"/>
    </row>
    <row r="84" spans="4:11">
      <c r="D84" s="102"/>
      <c r="E84" s="102"/>
      <c r="H84" s="102"/>
      <c r="I84" s="102"/>
      <c r="J84" s="102"/>
      <c r="K84" s="102"/>
    </row>
    <row r="85" spans="4:11">
      <c r="D85" s="102"/>
      <c r="E85" s="102"/>
      <c r="H85" s="102"/>
      <c r="I85" s="102"/>
      <c r="J85" s="102"/>
      <c r="K85" s="102"/>
    </row>
    <row r="86" spans="4:11">
      <c r="D86" s="102"/>
      <c r="E86" s="102"/>
      <c r="H86" s="102"/>
      <c r="I86" s="102"/>
      <c r="J86" s="102"/>
      <c r="K86" s="102"/>
    </row>
    <row r="87" spans="4:11">
      <c r="D87" s="102"/>
      <c r="E87" s="102"/>
      <c r="H87" s="102"/>
      <c r="I87" s="102"/>
      <c r="J87" s="102"/>
      <c r="K87" s="102"/>
    </row>
    <row r="88" spans="4:11">
      <c r="D88" s="102"/>
      <c r="E88" s="102"/>
      <c r="H88" s="102"/>
      <c r="I88" s="102"/>
      <c r="J88" s="102"/>
      <c r="K88" s="102"/>
    </row>
  </sheetData>
  <mergeCells count="39">
    <mergeCell ref="H42:I42"/>
    <mergeCell ref="A44:B49"/>
    <mergeCell ref="F44:H49"/>
    <mergeCell ref="B54:D55"/>
    <mergeCell ref="B56:D70"/>
    <mergeCell ref="F22:K22"/>
    <mergeCell ref="F23:K23"/>
    <mergeCell ref="A29:B40"/>
    <mergeCell ref="F29:H40"/>
    <mergeCell ref="I29:K29"/>
    <mergeCell ref="C30:D30"/>
    <mergeCell ref="I30:J30"/>
    <mergeCell ref="C36:E36"/>
    <mergeCell ref="C37:D37"/>
    <mergeCell ref="I39:K39"/>
    <mergeCell ref="F21:K21"/>
    <mergeCell ref="F10:K10"/>
    <mergeCell ref="F11:K11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9:K9"/>
    <mergeCell ref="A1:B1"/>
    <mergeCell ref="C1:E1"/>
    <mergeCell ref="F1:G1"/>
    <mergeCell ref="H1:K1"/>
    <mergeCell ref="A3:K3"/>
    <mergeCell ref="A4:K4"/>
    <mergeCell ref="A5:A6"/>
    <mergeCell ref="B5:E5"/>
    <mergeCell ref="F5:K6"/>
    <mergeCell ref="F7:K7"/>
    <mergeCell ref="F8:K8"/>
  </mergeCells>
  <conditionalFormatting sqref="I70">
    <cfRule type="expression" dxfId="20" priority="1">
      <formula>$I70=0</formula>
    </cfRule>
    <cfRule type="expression" dxfId="19" priority="2">
      <formula>$I70&gt;=1</formula>
    </cfRule>
    <cfRule type="expression" dxfId="18" priority="3">
      <formula>$I70&lt;=-1</formula>
    </cfRule>
  </conditionalFormatting>
  <pageMargins left="0.25" right="0.25" top="0.75" bottom="0.75" header="0.3" footer="0.3"/>
  <pageSetup scale="58" fitToWidth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7EC79-66C6-4D43-A2FA-8CCFB2D494D4}">
  <sheetPr>
    <tabColor theme="2"/>
    <pageSetUpPr fitToPage="1"/>
  </sheetPr>
  <dimension ref="A1:K88"/>
  <sheetViews>
    <sheetView showWhiteSpace="0" view="pageLayout" zoomScale="80" zoomScaleNormal="80" zoomScalePageLayoutView="80" workbookViewId="0">
      <selection activeCell="K76" sqref="K76"/>
    </sheetView>
  </sheetViews>
  <sheetFormatPr defaultColWidth="20.7109375" defaultRowHeight="15"/>
  <cols>
    <col min="1" max="1" width="13.5703125" style="100" customWidth="1"/>
    <col min="2" max="3" width="13.7109375" style="102" customWidth="1"/>
    <col min="4" max="4" width="13.7109375" style="103" customWidth="1"/>
    <col min="5" max="5" width="14.7109375" style="104" customWidth="1"/>
    <col min="6" max="7" width="13.7109375" style="101" customWidth="1"/>
    <col min="8" max="10" width="13.7109375" style="103" customWidth="1"/>
    <col min="11" max="11" width="28.140625" style="103" customWidth="1"/>
    <col min="12" max="14" width="6.7109375" customWidth="1"/>
    <col min="15" max="17" width="10.7109375" customWidth="1"/>
    <col min="18" max="18" width="17.42578125" customWidth="1"/>
    <col min="19" max="19" width="10.7109375" customWidth="1"/>
    <col min="20" max="23" width="6.7109375" customWidth="1"/>
    <col min="24" max="26" width="10.7109375" customWidth="1"/>
    <col min="27" max="27" width="17.42578125" customWidth="1"/>
    <col min="28" max="28" width="10.7109375" customWidth="1"/>
    <col min="29" max="32" width="6.7109375" customWidth="1"/>
    <col min="33" max="35" width="10.7109375" customWidth="1"/>
    <col min="36" max="36" width="17.42578125" customWidth="1"/>
    <col min="37" max="37" width="10.7109375" customWidth="1"/>
    <col min="38" max="41" width="6.7109375" customWidth="1"/>
    <col min="42" max="44" width="10.7109375" customWidth="1"/>
    <col min="45" max="45" width="17.42578125" customWidth="1"/>
    <col min="46" max="46" width="10.7109375" customWidth="1"/>
    <col min="47" max="50" width="6.7109375" customWidth="1"/>
    <col min="51" max="53" width="10.7109375" customWidth="1"/>
    <col min="54" max="54" width="17.42578125" customWidth="1"/>
    <col min="55" max="55" width="10.7109375" customWidth="1"/>
    <col min="56" max="59" width="6.7109375" customWidth="1"/>
    <col min="60" max="62" width="10.7109375" customWidth="1"/>
    <col min="63" max="63" width="17.42578125" customWidth="1"/>
    <col min="64" max="64" width="10.7109375" customWidth="1"/>
    <col min="65" max="68" width="6.7109375" customWidth="1"/>
    <col min="69" max="71" width="10.7109375" customWidth="1"/>
    <col min="72" max="72" width="17.42578125" customWidth="1"/>
    <col min="73" max="73" width="10.7109375" customWidth="1"/>
    <col min="74" max="77" width="6.7109375" customWidth="1"/>
    <col min="78" max="80" width="10.7109375" customWidth="1"/>
    <col min="81" max="81" width="17.42578125" customWidth="1"/>
    <col min="82" max="82" width="10.7109375" customWidth="1"/>
    <col min="83" max="86" width="6.7109375" customWidth="1"/>
    <col min="87" max="89" width="10.7109375" customWidth="1"/>
    <col min="90" max="90" width="17.42578125" customWidth="1"/>
    <col min="91" max="91" width="10.7109375" customWidth="1"/>
    <col min="92" max="95" width="6.7109375" customWidth="1"/>
    <col min="96" max="98" width="10.7109375" customWidth="1"/>
    <col min="99" max="99" width="17.42578125" customWidth="1"/>
    <col min="100" max="100" width="10.7109375" customWidth="1"/>
    <col min="101" max="104" width="6.7109375" customWidth="1"/>
    <col min="105" max="107" width="10.7109375" customWidth="1"/>
    <col min="108" max="108" width="17.42578125" customWidth="1"/>
    <col min="109" max="109" width="10.7109375" customWidth="1"/>
    <col min="110" max="113" width="6.7109375" customWidth="1"/>
    <col min="114" max="116" width="10.7109375" customWidth="1"/>
    <col min="117" max="117" width="17.42578125" customWidth="1"/>
    <col min="118" max="118" width="10.7109375" customWidth="1"/>
    <col min="119" max="122" width="6.7109375" customWidth="1"/>
    <col min="123" max="125" width="10.7109375" customWidth="1"/>
    <col min="126" max="126" width="17.42578125" customWidth="1"/>
    <col min="127" max="127" width="10.7109375" customWidth="1"/>
    <col min="128" max="131" width="6.7109375" customWidth="1"/>
    <col min="132" max="134" width="10.7109375" customWidth="1"/>
    <col min="135" max="135" width="17.42578125" customWidth="1"/>
    <col min="136" max="136" width="10.7109375" customWidth="1"/>
    <col min="137" max="140" width="6.7109375" customWidth="1"/>
    <col min="141" max="143" width="10.7109375" customWidth="1"/>
    <col min="144" max="144" width="17.42578125" customWidth="1"/>
    <col min="145" max="145" width="10.7109375" customWidth="1"/>
    <col min="146" max="149" width="6.7109375" customWidth="1"/>
    <col min="150" max="152" width="10.7109375" customWidth="1"/>
    <col min="153" max="153" width="17.42578125" customWidth="1"/>
    <col min="154" max="154" width="10.7109375" customWidth="1"/>
    <col min="155" max="158" width="6.7109375" customWidth="1"/>
    <col min="159" max="161" width="10.7109375" customWidth="1"/>
    <col min="162" max="162" width="17.42578125" customWidth="1"/>
    <col min="163" max="163" width="10.7109375" customWidth="1"/>
    <col min="164" max="167" width="6.7109375" customWidth="1"/>
    <col min="168" max="170" width="10.7109375" customWidth="1"/>
    <col min="171" max="171" width="17.42578125" customWidth="1"/>
    <col min="172" max="172" width="10.7109375" customWidth="1"/>
    <col min="173" max="176" width="6.7109375" customWidth="1"/>
    <col min="177" max="179" width="10.7109375" customWidth="1"/>
    <col min="180" max="180" width="17.42578125" customWidth="1"/>
    <col min="181" max="181" width="10.7109375" customWidth="1"/>
    <col min="182" max="185" width="6.7109375" customWidth="1"/>
    <col min="186" max="188" width="10.7109375" customWidth="1"/>
    <col min="189" max="189" width="17.42578125" customWidth="1"/>
    <col min="190" max="190" width="10.7109375" customWidth="1"/>
    <col min="191" max="194" width="6.7109375" customWidth="1"/>
    <col min="195" max="197" width="10.7109375" customWidth="1"/>
    <col min="198" max="198" width="17.42578125" customWidth="1"/>
    <col min="199" max="199" width="10.7109375" customWidth="1"/>
    <col min="200" max="203" width="6.7109375" customWidth="1"/>
    <col min="204" max="206" width="10.7109375" customWidth="1"/>
    <col min="207" max="207" width="17.42578125" customWidth="1"/>
    <col min="208" max="208" width="10.7109375" customWidth="1"/>
    <col min="209" max="212" width="6.7109375" customWidth="1"/>
    <col min="213" max="215" width="10.7109375" customWidth="1"/>
    <col min="216" max="216" width="17.42578125" customWidth="1"/>
    <col min="217" max="217" width="10.7109375" customWidth="1"/>
    <col min="218" max="221" width="6.7109375" customWidth="1"/>
    <col min="222" max="224" width="10.7109375" customWidth="1"/>
    <col min="225" max="225" width="17.42578125" customWidth="1"/>
    <col min="226" max="226" width="10.7109375" customWidth="1"/>
    <col min="227" max="230" width="6.7109375" customWidth="1"/>
    <col min="231" max="233" width="10.7109375" customWidth="1"/>
    <col min="234" max="234" width="17.42578125" customWidth="1"/>
    <col min="235" max="235" width="10.7109375" customWidth="1"/>
    <col min="236" max="239" width="6.7109375" customWidth="1"/>
    <col min="240" max="242" width="10.7109375" customWidth="1"/>
    <col min="243" max="243" width="17.42578125" customWidth="1"/>
    <col min="244" max="244" width="10.7109375" customWidth="1"/>
    <col min="245" max="248" width="6.7109375" customWidth="1"/>
    <col min="249" max="251" width="10.7109375" customWidth="1"/>
    <col min="252" max="252" width="17.42578125" customWidth="1"/>
    <col min="253" max="253" width="10.7109375" customWidth="1"/>
    <col min="254" max="257" width="6.7109375" customWidth="1"/>
    <col min="258" max="260" width="10.7109375" customWidth="1"/>
    <col min="261" max="261" width="17.42578125" customWidth="1"/>
    <col min="262" max="262" width="10.7109375" customWidth="1"/>
    <col min="263" max="266" width="6.7109375" customWidth="1"/>
    <col min="267" max="269" width="10.7109375" customWidth="1"/>
    <col min="270" max="270" width="17.42578125" customWidth="1"/>
    <col min="271" max="271" width="10.7109375" customWidth="1"/>
    <col min="272" max="275" width="6.7109375" customWidth="1"/>
    <col min="276" max="278" width="10.7109375" customWidth="1"/>
    <col min="279" max="279" width="17.42578125" customWidth="1"/>
    <col min="280" max="280" width="10.7109375" customWidth="1"/>
    <col min="281" max="284" width="6.7109375" customWidth="1"/>
    <col min="285" max="287" width="10.7109375" customWidth="1"/>
    <col min="288" max="288" width="17.42578125" customWidth="1"/>
    <col min="289" max="289" width="10.7109375" customWidth="1"/>
    <col min="290" max="293" width="6.7109375" customWidth="1"/>
    <col min="294" max="296" width="10.7109375" customWidth="1"/>
    <col min="297" max="297" width="17.42578125" customWidth="1"/>
    <col min="298" max="298" width="10.7109375" customWidth="1"/>
    <col min="299" max="302" width="6.7109375" customWidth="1"/>
    <col min="303" max="305" width="10.7109375" customWidth="1"/>
    <col min="306" max="306" width="17.42578125" customWidth="1"/>
    <col min="307" max="307" width="10.7109375" customWidth="1"/>
    <col min="308" max="311" width="6.7109375" customWidth="1"/>
    <col min="312" max="314" width="10.7109375" customWidth="1"/>
    <col min="315" max="315" width="17.42578125" customWidth="1"/>
    <col min="316" max="316" width="10.7109375" customWidth="1"/>
    <col min="317" max="320" width="6.7109375" customWidth="1"/>
    <col min="321" max="323" width="10.7109375" customWidth="1"/>
    <col min="324" max="324" width="17.42578125" customWidth="1"/>
    <col min="325" max="325" width="10.7109375" customWidth="1"/>
    <col min="326" max="329" width="6.7109375" customWidth="1"/>
    <col min="330" max="332" width="10.7109375" customWidth="1"/>
    <col min="333" max="333" width="17.42578125" customWidth="1"/>
    <col min="334" max="334" width="10.7109375" customWidth="1"/>
    <col min="335" max="338" width="6.7109375" customWidth="1"/>
    <col min="339" max="341" width="10.7109375" customWidth="1"/>
    <col min="342" max="342" width="17.42578125" customWidth="1"/>
    <col min="343" max="343" width="10.7109375" customWidth="1"/>
    <col min="344" max="347" width="6.7109375" customWidth="1"/>
    <col min="348" max="350" width="10.7109375" customWidth="1"/>
    <col min="351" max="351" width="17.42578125" customWidth="1"/>
    <col min="352" max="352" width="10.7109375" customWidth="1"/>
    <col min="353" max="356" width="6.7109375" customWidth="1"/>
    <col min="357" max="359" width="10.7109375" customWidth="1"/>
    <col min="360" max="360" width="17.42578125" customWidth="1"/>
    <col min="361" max="361" width="10.7109375" customWidth="1"/>
    <col min="362" max="365" width="6.7109375" customWidth="1"/>
    <col min="366" max="368" width="10.7109375" customWidth="1"/>
    <col min="369" max="369" width="17.42578125" customWidth="1"/>
    <col min="370" max="370" width="10.7109375" customWidth="1"/>
    <col min="371" max="374" width="6.7109375" customWidth="1"/>
    <col min="375" max="377" width="10.7109375" customWidth="1"/>
    <col min="378" max="378" width="17.42578125" customWidth="1"/>
    <col min="379" max="379" width="10.7109375" customWidth="1"/>
    <col min="380" max="383" width="6.7109375" customWidth="1"/>
    <col min="384" max="386" width="10.7109375" customWidth="1"/>
    <col min="387" max="387" width="17.42578125" customWidth="1"/>
    <col min="388" max="388" width="10.7109375" customWidth="1"/>
    <col min="389" max="392" width="6.7109375" customWidth="1"/>
    <col min="393" max="395" width="10.7109375" customWidth="1"/>
    <col min="396" max="396" width="17.42578125" customWidth="1"/>
    <col min="397" max="397" width="10.7109375" customWidth="1"/>
    <col min="398" max="401" width="6.7109375" customWidth="1"/>
    <col min="402" max="404" width="10.7109375" customWidth="1"/>
    <col min="405" max="405" width="17.42578125" customWidth="1"/>
    <col min="406" max="406" width="10.7109375" customWidth="1"/>
    <col min="407" max="410" width="6.7109375" customWidth="1"/>
    <col min="411" max="413" width="10.7109375" customWidth="1"/>
    <col min="414" max="414" width="17.42578125" customWidth="1"/>
    <col min="415" max="415" width="10.7109375" customWidth="1"/>
    <col min="416" max="419" width="6.7109375" customWidth="1"/>
    <col min="420" max="422" width="10.7109375" customWidth="1"/>
    <col min="423" max="423" width="17.42578125" customWidth="1"/>
    <col min="424" max="424" width="10.7109375" customWidth="1"/>
    <col min="425" max="428" width="6.7109375" customWidth="1"/>
    <col min="429" max="431" width="10.7109375" customWidth="1"/>
    <col min="432" max="432" width="17.42578125" customWidth="1"/>
    <col min="433" max="433" width="10.7109375" customWidth="1"/>
    <col min="434" max="437" width="6.7109375" customWidth="1"/>
    <col min="438" max="440" width="10.7109375" customWidth="1"/>
    <col min="441" max="441" width="17.42578125" customWidth="1"/>
    <col min="442" max="442" width="10.7109375" customWidth="1"/>
    <col min="443" max="446" width="6.7109375" customWidth="1"/>
    <col min="447" max="449" width="10.7109375" customWidth="1"/>
    <col min="450" max="450" width="17.42578125" customWidth="1"/>
    <col min="451" max="451" width="10.7109375" customWidth="1"/>
    <col min="452" max="455" width="6.7109375" customWidth="1"/>
    <col min="456" max="458" width="10.7109375" customWidth="1"/>
    <col min="459" max="459" width="17.42578125" customWidth="1"/>
    <col min="460" max="460" width="10.7109375" customWidth="1"/>
    <col min="461" max="464" width="6.7109375" customWidth="1"/>
    <col min="465" max="467" width="10.7109375" customWidth="1"/>
    <col min="468" max="468" width="17.42578125" customWidth="1"/>
    <col min="469" max="469" width="10.7109375" customWidth="1"/>
    <col min="470" max="473" width="6.7109375" customWidth="1"/>
    <col min="474" max="476" width="10.7109375" customWidth="1"/>
    <col min="477" max="477" width="17.42578125" customWidth="1"/>
    <col min="478" max="478" width="10.7109375" customWidth="1"/>
    <col min="479" max="482" width="6.7109375" customWidth="1"/>
    <col min="483" max="485" width="10.7109375" customWidth="1"/>
    <col min="486" max="486" width="17.42578125" customWidth="1"/>
    <col min="487" max="487" width="10.7109375" customWidth="1"/>
    <col min="488" max="491" width="6.7109375" customWidth="1"/>
    <col min="492" max="494" width="10.7109375" customWidth="1"/>
    <col min="495" max="495" width="17.42578125" customWidth="1"/>
    <col min="496" max="496" width="10.7109375" customWidth="1"/>
    <col min="497" max="500" width="6.7109375" customWidth="1"/>
    <col min="501" max="503" width="10.7109375" customWidth="1"/>
    <col min="504" max="504" width="17.42578125" customWidth="1"/>
    <col min="505" max="505" width="10.7109375" customWidth="1"/>
    <col min="506" max="509" width="6.7109375" customWidth="1"/>
    <col min="510" max="512" width="10.7109375" customWidth="1"/>
    <col min="513" max="513" width="17.42578125" customWidth="1"/>
    <col min="514" max="514" width="10.7109375" customWidth="1"/>
    <col min="515" max="518" width="6.7109375" customWidth="1"/>
    <col min="519" max="521" width="10.7109375" customWidth="1"/>
    <col min="522" max="522" width="17.42578125" customWidth="1"/>
    <col min="523" max="523" width="10.7109375" customWidth="1"/>
    <col min="524" max="527" width="6.7109375" customWidth="1"/>
    <col min="528" max="530" width="10.7109375" customWidth="1"/>
    <col min="531" max="531" width="17.42578125" customWidth="1"/>
    <col min="532" max="532" width="10.7109375" customWidth="1"/>
    <col min="533" max="536" width="6.7109375" customWidth="1"/>
    <col min="537" max="539" width="10.7109375" customWidth="1"/>
    <col min="540" max="540" width="17.42578125" customWidth="1"/>
    <col min="541" max="541" width="10.7109375" customWidth="1"/>
    <col min="542" max="545" width="6.7109375" customWidth="1"/>
    <col min="546" max="548" width="10.7109375" customWidth="1"/>
    <col min="549" max="549" width="17.42578125" customWidth="1"/>
    <col min="550" max="550" width="10.7109375" customWidth="1"/>
    <col min="551" max="554" width="6.7109375" customWidth="1"/>
    <col min="555" max="557" width="10.7109375" customWidth="1"/>
    <col min="558" max="558" width="17.42578125" customWidth="1"/>
    <col min="559" max="559" width="10.7109375" customWidth="1"/>
    <col min="560" max="563" width="6.7109375" customWidth="1"/>
    <col min="564" max="566" width="10.7109375" customWidth="1"/>
    <col min="567" max="567" width="17.42578125" customWidth="1"/>
    <col min="568" max="568" width="10.7109375" customWidth="1"/>
    <col min="569" max="572" width="6.7109375" customWidth="1"/>
    <col min="573" max="575" width="10.7109375" customWidth="1"/>
    <col min="576" max="576" width="17.42578125" customWidth="1"/>
    <col min="577" max="577" width="10.7109375" customWidth="1"/>
    <col min="578" max="581" width="6.7109375" customWidth="1"/>
    <col min="582" max="584" width="10.7109375" customWidth="1"/>
    <col min="585" max="585" width="17.42578125" customWidth="1"/>
    <col min="586" max="586" width="10.7109375" customWidth="1"/>
    <col min="587" max="590" width="6.7109375" customWidth="1"/>
    <col min="591" max="593" width="10.7109375" customWidth="1"/>
    <col min="594" max="594" width="17.42578125" customWidth="1"/>
    <col min="595" max="595" width="10.7109375" customWidth="1"/>
    <col min="596" max="599" width="6.7109375" customWidth="1"/>
    <col min="600" max="602" width="10.7109375" customWidth="1"/>
    <col min="603" max="603" width="17.42578125" customWidth="1"/>
    <col min="604" max="604" width="10.7109375" customWidth="1"/>
    <col min="605" max="608" width="6.7109375" customWidth="1"/>
    <col min="609" max="611" width="10.7109375" customWidth="1"/>
    <col min="612" max="612" width="17.42578125" customWidth="1"/>
    <col min="613" max="613" width="10.7109375" customWidth="1"/>
    <col min="614" max="617" width="6.7109375" customWidth="1"/>
    <col min="618" max="620" width="10.7109375" customWidth="1"/>
    <col min="621" max="621" width="17.42578125" customWidth="1"/>
    <col min="622" max="622" width="10.7109375" customWidth="1"/>
    <col min="623" max="626" width="6.7109375" customWidth="1"/>
    <col min="627" max="629" width="10.7109375" customWidth="1"/>
    <col min="630" max="630" width="17.42578125" customWidth="1"/>
    <col min="631" max="631" width="10.7109375" customWidth="1"/>
    <col min="632" max="635" width="6.7109375" customWidth="1"/>
    <col min="636" max="638" width="10.7109375" customWidth="1"/>
    <col min="639" max="639" width="17.42578125" customWidth="1"/>
    <col min="640" max="640" width="10.7109375" customWidth="1"/>
    <col min="641" max="644" width="6.7109375" customWidth="1"/>
    <col min="645" max="647" width="10.7109375" customWidth="1"/>
    <col min="648" max="648" width="17.42578125" customWidth="1"/>
    <col min="649" max="649" width="10.7109375" customWidth="1"/>
    <col min="650" max="653" width="6.7109375" customWidth="1"/>
    <col min="654" max="656" width="10.7109375" customWidth="1"/>
    <col min="657" max="657" width="17.42578125" customWidth="1"/>
    <col min="658" max="658" width="10.7109375" customWidth="1"/>
    <col min="659" max="662" width="6.7109375" customWidth="1"/>
    <col min="663" max="665" width="10.7109375" customWidth="1"/>
    <col min="666" max="666" width="17.42578125" customWidth="1"/>
    <col min="667" max="667" width="10.7109375" customWidth="1"/>
    <col min="668" max="671" width="6.7109375" customWidth="1"/>
    <col min="672" max="674" width="10.7109375" customWidth="1"/>
    <col min="675" max="675" width="17.42578125" customWidth="1"/>
    <col min="676" max="676" width="10.7109375" customWidth="1"/>
    <col min="677" max="680" width="6.7109375" customWidth="1"/>
    <col min="681" max="683" width="10.7109375" customWidth="1"/>
    <col min="684" max="684" width="17.42578125" customWidth="1"/>
    <col min="685" max="685" width="10.7109375" customWidth="1"/>
    <col min="686" max="689" width="6.7109375" customWidth="1"/>
    <col min="690" max="692" width="10.7109375" customWidth="1"/>
    <col min="693" max="693" width="17.42578125" customWidth="1"/>
    <col min="694" max="694" width="10.7109375" customWidth="1"/>
    <col min="695" max="698" width="6.7109375" customWidth="1"/>
    <col min="699" max="701" width="10.7109375" customWidth="1"/>
    <col min="702" max="702" width="17.42578125" customWidth="1"/>
  </cols>
  <sheetData>
    <row r="1" spans="1:11" ht="20.45" customHeight="1">
      <c r="A1" s="174" t="s">
        <v>0</v>
      </c>
      <c r="B1" s="175"/>
      <c r="C1" s="176">
        <v>45484</v>
      </c>
      <c r="D1" s="177"/>
      <c r="E1" s="178"/>
      <c r="F1" s="174" t="s">
        <v>1</v>
      </c>
      <c r="G1" s="175"/>
      <c r="H1" s="179" t="s">
        <v>131</v>
      </c>
      <c r="I1" s="180"/>
      <c r="J1" s="180"/>
      <c r="K1" s="181"/>
    </row>
    <row r="2" spans="1:11" ht="11.25" customHeight="1">
      <c r="A2" s="1"/>
      <c r="B2" s="2"/>
      <c r="C2" s="2"/>
      <c r="D2" s="2"/>
      <c r="E2" s="3"/>
      <c r="F2" s="3"/>
      <c r="G2" s="3"/>
      <c r="H2" s="2"/>
      <c r="I2" s="2"/>
      <c r="J2" s="2"/>
      <c r="K2" s="2"/>
    </row>
    <row r="3" spans="1:11" ht="27" customHeight="1">
      <c r="A3" s="182" t="s">
        <v>2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20.45" customHeight="1">
      <c r="A4" s="183" t="s">
        <v>3</v>
      </c>
      <c r="B4" s="184"/>
      <c r="C4" s="184"/>
      <c r="D4" s="184"/>
      <c r="E4" s="184"/>
      <c r="F4" s="184"/>
      <c r="G4" s="184"/>
      <c r="H4" s="184"/>
      <c r="I4" s="184"/>
      <c r="J4" s="184"/>
      <c r="K4" s="185"/>
    </row>
    <row r="5" spans="1:11" s="5" customFormat="1" ht="26.25" customHeight="1">
      <c r="A5" s="186" t="s">
        <v>4</v>
      </c>
      <c r="B5" s="188" t="s">
        <v>5</v>
      </c>
      <c r="C5" s="189"/>
      <c r="D5" s="189"/>
      <c r="E5" s="190"/>
      <c r="F5" s="191" t="s">
        <v>6</v>
      </c>
      <c r="G5" s="192"/>
      <c r="H5" s="192"/>
      <c r="I5" s="192"/>
      <c r="J5" s="192"/>
      <c r="K5" s="193"/>
    </row>
    <row r="6" spans="1:11" ht="20.25" customHeight="1">
      <c r="A6" s="187"/>
      <c r="B6" s="6" t="s">
        <v>7</v>
      </c>
      <c r="C6" s="6" t="s">
        <v>8</v>
      </c>
      <c r="D6" s="4" t="s">
        <v>9</v>
      </c>
      <c r="E6" s="7" t="s">
        <v>10</v>
      </c>
      <c r="F6" s="194"/>
      <c r="G6" s="195"/>
      <c r="H6" s="195"/>
      <c r="I6" s="195"/>
      <c r="J6" s="195"/>
      <c r="K6" s="196"/>
    </row>
    <row r="7" spans="1:11" ht="20.45" customHeight="1">
      <c r="A7" s="8">
        <v>55</v>
      </c>
      <c r="B7" s="9"/>
      <c r="C7" s="9"/>
      <c r="D7" s="9">
        <v>55000</v>
      </c>
      <c r="E7" s="11"/>
      <c r="F7" s="197" t="s">
        <v>146</v>
      </c>
      <c r="G7" s="198"/>
      <c r="H7" s="198"/>
      <c r="I7" s="198"/>
      <c r="J7" s="198"/>
      <c r="K7" s="199"/>
    </row>
    <row r="8" spans="1:11" ht="20.45" customHeight="1">
      <c r="A8" s="8" t="s">
        <v>147</v>
      </c>
      <c r="B8" s="9"/>
      <c r="C8" s="9">
        <f>30000+30000</f>
        <v>60000</v>
      </c>
      <c r="D8" s="10"/>
      <c r="E8" s="11"/>
      <c r="F8" s="197" t="s">
        <v>148</v>
      </c>
      <c r="G8" s="198"/>
      <c r="H8" s="198"/>
      <c r="I8" s="198"/>
      <c r="J8" s="198"/>
      <c r="K8" s="199"/>
    </row>
    <row r="9" spans="1:11" ht="20.45" customHeight="1">
      <c r="A9" s="8">
        <v>57</v>
      </c>
      <c r="B9" s="9"/>
      <c r="C9" s="9"/>
      <c r="D9" s="10">
        <v>45000</v>
      </c>
      <c r="E9" s="11"/>
      <c r="F9" s="197" t="s">
        <v>149</v>
      </c>
      <c r="G9" s="198"/>
      <c r="H9" s="198"/>
      <c r="I9" s="198"/>
      <c r="J9" s="198"/>
      <c r="K9" s="199"/>
    </row>
    <row r="10" spans="1:11" ht="20.45" customHeight="1">
      <c r="A10" s="8">
        <v>58</v>
      </c>
      <c r="B10" s="9"/>
      <c r="C10" s="9"/>
      <c r="D10" s="10">
        <v>45000</v>
      </c>
      <c r="E10" s="11"/>
      <c r="F10" s="197" t="s">
        <v>149</v>
      </c>
      <c r="G10" s="198"/>
      <c r="H10" s="198"/>
      <c r="I10" s="198"/>
      <c r="J10" s="198"/>
      <c r="K10" s="199"/>
    </row>
    <row r="11" spans="1:11" ht="20.45" customHeight="1">
      <c r="A11" s="8" t="s">
        <v>150</v>
      </c>
      <c r="B11" s="9"/>
      <c r="C11" s="9">
        <f>77500+87300</f>
        <v>164800</v>
      </c>
      <c r="D11" s="10"/>
      <c r="E11" s="11"/>
      <c r="F11" s="197" t="s">
        <v>151</v>
      </c>
      <c r="G11" s="198"/>
      <c r="H11" s="198"/>
      <c r="I11" s="198"/>
      <c r="J11" s="198"/>
      <c r="K11" s="199"/>
    </row>
    <row r="12" spans="1:11" ht="20.45" customHeight="1">
      <c r="A12" s="8">
        <v>62</v>
      </c>
      <c r="B12" s="9"/>
      <c r="C12" s="9">
        <v>24500</v>
      </c>
      <c r="D12" s="10"/>
      <c r="E12" s="11"/>
      <c r="F12" s="197" t="s">
        <v>152</v>
      </c>
      <c r="G12" s="198"/>
      <c r="H12" s="198"/>
      <c r="I12" s="198"/>
      <c r="J12" s="198"/>
      <c r="K12" s="199"/>
    </row>
    <row r="13" spans="1:11" ht="20.45" customHeight="1">
      <c r="A13" s="8"/>
      <c r="B13" s="9"/>
      <c r="C13" s="9"/>
      <c r="D13" s="10"/>
      <c r="E13" s="11"/>
      <c r="F13" s="197"/>
      <c r="G13" s="198"/>
      <c r="H13" s="198"/>
      <c r="I13" s="198"/>
      <c r="J13" s="198"/>
      <c r="K13" s="199"/>
    </row>
    <row r="14" spans="1:11" ht="20.45" customHeight="1">
      <c r="A14" s="8"/>
      <c r="B14" s="9"/>
      <c r="C14" s="9"/>
      <c r="D14" s="10"/>
      <c r="E14" s="11"/>
      <c r="F14" s="197"/>
      <c r="G14" s="198"/>
      <c r="H14" s="198"/>
      <c r="I14" s="198"/>
      <c r="J14" s="198"/>
      <c r="K14" s="199"/>
    </row>
    <row r="15" spans="1:11" ht="20.45" customHeight="1">
      <c r="A15" s="8"/>
      <c r="B15" s="9"/>
      <c r="C15" s="9"/>
      <c r="D15" s="10"/>
      <c r="E15" s="11"/>
      <c r="F15" s="197"/>
      <c r="G15" s="198"/>
      <c r="H15" s="198"/>
      <c r="I15" s="198"/>
      <c r="J15" s="198"/>
      <c r="K15" s="199"/>
    </row>
    <row r="16" spans="1:11" ht="20.45" customHeight="1">
      <c r="A16" s="8"/>
      <c r="B16" s="9"/>
      <c r="C16" s="9"/>
      <c r="D16" s="10"/>
      <c r="E16" s="11"/>
      <c r="F16" s="197"/>
      <c r="G16" s="198"/>
      <c r="H16" s="198"/>
      <c r="I16" s="198"/>
      <c r="J16" s="198"/>
      <c r="K16" s="199"/>
    </row>
    <row r="17" spans="1:11" ht="20.45" customHeight="1">
      <c r="A17" s="8"/>
      <c r="B17" s="9"/>
      <c r="C17" s="9"/>
      <c r="D17" s="10"/>
      <c r="E17" s="11"/>
      <c r="F17" s="197"/>
      <c r="G17" s="198"/>
      <c r="H17" s="198"/>
      <c r="I17" s="198"/>
      <c r="J17" s="198"/>
      <c r="K17" s="199"/>
    </row>
    <row r="18" spans="1:11" s="12" customFormat="1" ht="20.45" customHeight="1">
      <c r="A18" s="8"/>
      <c r="B18" s="9"/>
      <c r="C18" s="9"/>
      <c r="D18" s="10"/>
      <c r="E18" s="11"/>
      <c r="F18" s="197"/>
      <c r="G18" s="198"/>
      <c r="H18" s="198"/>
      <c r="I18" s="198"/>
      <c r="J18" s="198"/>
      <c r="K18" s="199"/>
    </row>
    <row r="19" spans="1:11" ht="20.45" customHeight="1">
      <c r="A19" s="8"/>
      <c r="B19" s="9"/>
      <c r="C19" s="9"/>
      <c r="D19" s="10"/>
      <c r="E19" s="11"/>
      <c r="F19" s="197"/>
      <c r="G19" s="198"/>
      <c r="H19" s="198"/>
      <c r="I19" s="198"/>
      <c r="J19" s="198"/>
      <c r="K19" s="199"/>
    </row>
    <row r="20" spans="1:11" s="12" customFormat="1" ht="20.45" customHeight="1">
      <c r="A20" s="8"/>
      <c r="B20" s="9"/>
      <c r="C20" s="9"/>
      <c r="D20" s="10"/>
      <c r="E20" s="11"/>
      <c r="F20" s="197"/>
      <c r="G20" s="198"/>
      <c r="H20" s="198"/>
      <c r="I20" s="198"/>
      <c r="J20" s="198"/>
      <c r="K20" s="199"/>
    </row>
    <row r="21" spans="1:11" ht="20.45" customHeight="1">
      <c r="A21" s="8"/>
      <c r="B21" s="9"/>
      <c r="C21" s="9"/>
      <c r="D21" s="10"/>
      <c r="E21" s="11"/>
      <c r="F21" s="197"/>
      <c r="G21" s="198"/>
      <c r="H21" s="198"/>
      <c r="I21" s="198"/>
      <c r="J21" s="198"/>
      <c r="K21" s="199"/>
    </row>
    <row r="22" spans="1:11" ht="20.45" customHeight="1">
      <c r="A22" s="8"/>
      <c r="B22" s="9"/>
      <c r="C22" s="9"/>
      <c r="D22" s="10"/>
      <c r="E22" s="11"/>
      <c r="F22" s="197"/>
      <c r="G22" s="198"/>
      <c r="H22" s="198"/>
      <c r="I22" s="198"/>
      <c r="J22" s="198"/>
      <c r="K22" s="199"/>
    </row>
    <row r="23" spans="1:11" ht="20.45" customHeight="1">
      <c r="A23" s="8"/>
      <c r="B23" s="9"/>
      <c r="C23" s="9"/>
      <c r="D23" s="10"/>
      <c r="E23" s="11"/>
      <c r="F23" s="197"/>
      <c r="G23" s="198"/>
      <c r="H23" s="198"/>
      <c r="I23" s="198"/>
      <c r="J23" s="198"/>
      <c r="K23" s="199"/>
    </row>
    <row r="24" spans="1:11" ht="20.25" customHeight="1">
      <c r="A24" s="14" t="s">
        <v>11</v>
      </c>
      <c r="B24" s="15">
        <f>SUM($B7:$B23)</f>
        <v>0</v>
      </c>
      <c r="C24" s="15">
        <f>SUM($C7:$C23)</f>
        <v>249300</v>
      </c>
      <c r="D24" s="15">
        <f>SUM($D7:$D23)</f>
        <v>145000</v>
      </c>
      <c r="E24" s="15">
        <f>SUM($E7:$E23)</f>
        <v>0</v>
      </c>
      <c r="F24" s="106"/>
      <c r="G24" s="107"/>
      <c r="H24" s="108"/>
      <c r="I24" s="108"/>
      <c r="J24" s="108"/>
      <c r="K24" s="108"/>
    </row>
    <row r="25" spans="1:11" ht="3.75" customHeight="1">
      <c r="A25" s="13"/>
      <c r="B25" s="17"/>
      <c r="C25" s="17"/>
      <c r="D25" s="17"/>
      <c r="E25" s="18"/>
      <c r="F25" s="16"/>
      <c r="G25" s="16"/>
      <c r="H25" s="19"/>
      <c r="I25" s="19"/>
      <c r="J25" s="105"/>
      <c r="K25" s="19"/>
    </row>
    <row r="26" spans="1:11" ht="21.75" customHeight="1">
      <c r="A26" s="13"/>
      <c r="B26" s="17"/>
      <c r="C26" s="17"/>
      <c r="D26" s="17"/>
      <c r="E26" s="18"/>
      <c r="F26" s="16"/>
      <c r="G26" s="16"/>
      <c r="H26" s="19"/>
      <c r="I26" s="20"/>
      <c r="J26" s="21" t="s">
        <v>12</v>
      </c>
      <c r="K26" s="22">
        <f>$B$24+$C$24+$D$24+$E$24</f>
        <v>394300</v>
      </c>
    </row>
    <row r="27" spans="1:11" ht="12" customHeight="1">
      <c r="A27" s="13"/>
      <c r="B27" s="17"/>
      <c r="C27" s="17"/>
      <c r="D27" s="17"/>
      <c r="E27" s="18"/>
      <c r="F27" s="23"/>
      <c r="G27" s="23"/>
      <c r="H27" s="17"/>
      <c r="I27" s="17"/>
      <c r="J27" s="17"/>
      <c r="K27" s="24"/>
    </row>
    <row r="28" spans="1:11" ht="26.25" customHeight="1">
      <c r="A28" s="25"/>
      <c r="B28" s="27"/>
      <c r="C28" s="27"/>
      <c r="D28" s="27"/>
      <c r="E28" s="28"/>
      <c r="F28" s="26"/>
      <c r="G28" s="28" t="s">
        <v>13</v>
      </c>
      <c r="H28" s="27"/>
      <c r="I28" s="27"/>
      <c r="J28" s="27"/>
      <c r="K28" s="27"/>
    </row>
    <row r="29" spans="1:11" ht="19.5" customHeight="1">
      <c r="A29" s="158" t="s">
        <v>14</v>
      </c>
      <c r="B29" s="159"/>
      <c r="C29" s="29"/>
      <c r="D29" s="30" t="s">
        <v>15</v>
      </c>
      <c r="E29" s="31"/>
      <c r="F29" s="164" t="s">
        <v>16</v>
      </c>
      <c r="G29" s="164"/>
      <c r="H29" s="159"/>
      <c r="I29" s="166" t="s">
        <v>17</v>
      </c>
      <c r="J29" s="167"/>
      <c r="K29" s="168"/>
    </row>
    <row r="30" spans="1:11" ht="18.75" customHeight="1">
      <c r="A30" s="160"/>
      <c r="B30" s="161"/>
      <c r="C30" s="169" t="s">
        <v>18</v>
      </c>
      <c r="D30" s="170"/>
      <c r="E30" s="32" t="s">
        <v>19</v>
      </c>
      <c r="F30" s="165"/>
      <c r="G30" s="165"/>
      <c r="H30" s="161"/>
      <c r="I30" s="169" t="s">
        <v>18</v>
      </c>
      <c r="J30" s="170"/>
      <c r="K30" s="32" t="s">
        <v>19</v>
      </c>
    </row>
    <row r="31" spans="1:11" ht="15.75" customHeight="1">
      <c r="A31" s="160"/>
      <c r="B31" s="161"/>
      <c r="C31" s="33" t="s">
        <v>20</v>
      </c>
      <c r="D31" s="34"/>
      <c r="E31" s="35">
        <f>B24</f>
        <v>0</v>
      </c>
      <c r="F31" s="165"/>
      <c r="G31" s="165"/>
      <c r="H31" s="161"/>
      <c r="I31" s="33" t="s">
        <v>7</v>
      </c>
      <c r="J31" s="34"/>
      <c r="K31" s="36"/>
    </row>
    <row r="32" spans="1:11" ht="15.75" customHeight="1">
      <c r="A32" s="160"/>
      <c r="B32" s="161"/>
      <c r="C32" s="33" t="s">
        <v>21</v>
      </c>
      <c r="D32" s="37"/>
      <c r="E32" s="35">
        <f>C24</f>
        <v>249300</v>
      </c>
      <c r="F32" s="165"/>
      <c r="G32" s="165"/>
      <c r="H32" s="161"/>
      <c r="I32" s="38" t="s">
        <v>22</v>
      </c>
      <c r="J32" s="39"/>
      <c r="K32" s="40"/>
    </row>
    <row r="33" spans="1:11" ht="15.75" customHeight="1">
      <c r="A33" s="160"/>
      <c r="B33" s="161"/>
      <c r="C33" s="33" t="s">
        <v>23</v>
      </c>
      <c r="D33" s="37"/>
      <c r="E33" s="35">
        <f>D24</f>
        <v>145000</v>
      </c>
      <c r="F33" s="165"/>
      <c r="G33" s="165"/>
      <c r="H33" s="161"/>
      <c r="I33" s="38" t="s">
        <v>24</v>
      </c>
      <c r="J33" s="39"/>
      <c r="K33" s="40"/>
    </row>
    <row r="34" spans="1:11" ht="15.75" customHeight="1">
      <c r="A34" s="160"/>
      <c r="B34" s="161"/>
      <c r="C34" s="33" t="s">
        <v>25</v>
      </c>
      <c r="D34" s="37"/>
      <c r="E34" s="35">
        <f>E24</f>
        <v>0</v>
      </c>
      <c r="F34" s="165"/>
      <c r="G34" s="165"/>
      <c r="H34" s="161"/>
      <c r="I34" s="38"/>
      <c r="J34" s="39"/>
      <c r="K34" s="40"/>
    </row>
    <row r="35" spans="1:11" ht="15.75" customHeight="1">
      <c r="A35" s="160"/>
      <c r="B35" s="161"/>
      <c r="C35" s="41" t="s">
        <v>12</v>
      </c>
      <c r="D35" s="42"/>
      <c r="E35" s="43">
        <f>SUM(E31:E34)</f>
        <v>394300</v>
      </c>
      <c r="F35" s="165"/>
      <c r="G35" s="165"/>
      <c r="H35" s="161"/>
      <c r="I35" s="38"/>
      <c r="J35" s="39"/>
      <c r="K35" s="40"/>
    </row>
    <row r="36" spans="1:11" ht="15.75" customHeight="1">
      <c r="A36" s="160"/>
      <c r="B36" s="161"/>
      <c r="C36" s="171" t="s">
        <v>26</v>
      </c>
      <c r="D36" s="172"/>
      <c r="E36" s="173"/>
      <c r="F36" s="165"/>
      <c r="G36" s="165"/>
      <c r="H36" s="161"/>
      <c r="I36" s="38"/>
      <c r="J36" s="39"/>
      <c r="K36" s="40"/>
    </row>
    <row r="37" spans="1:11" ht="15.75" customHeight="1">
      <c r="A37" s="160"/>
      <c r="B37" s="161"/>
      <c r="C37" s="169" t="s">
        <v>18</v>
      </c>
      <c r="D37" s="170"/>
      <c r="E37" s="32" t="s">
        <v>19</v>
      </c>
      <c r="F37" s="165"/>
      <c r="G37" s="165"/>
      <c r="H37" s="161"/>
      <c r="I37" s="38"/>
      <c r="J37" s="39"/>
      <c r="K37" s="40"/>
    </row>
    <row r="38" spans="1:11" ht="15.75" customHeight="1">
      <c r="A38" s="160"/>
      <c r="B38" s="161"/>
      <c r="C38" s="44" t="s">
        <v>7</v>
      </c>
      <c r="D38" s="45"/>
      <c r="E38" s="46"/>
      <c r="F38" s="165"/>
      <c r="G38" s="165"/>
      <c r="H38" s="161"/>
      <c r="I38" s="41" t="s">
        <v>27</v>
      </c>
      <c r="J38" s="42"/>
      <c r="K38" s="43">
        <f>SUM(K31:K37)</f>
        <v>0</v>
      </c>
    </row>
    <row r="39" spans="1:11" ht="15.75" customHeight="1">
      <c r="A39" s="160"/>
      <c r="B39" s="161"/>
      <c r="C39" s="47" t="s">
        <v>24</v>
      </c>
      <c r="D39" s="48"/>
      <c r="E39" s="49"/>
      <c r="F39" s="165"/>
      <c r="G39" s="165"/>
      <c r="H39" s="161"/>
      <c r="I39" s="166" t="s">
        <v>28</v>
      </c>
      <c r="J39" s="167"/>
      <c r="K39" s="168"/>
    </row>
    <row r="40" spans="1:11" ht="18.75" customHeight="1">
      <c r="A40" s="162"/>
      <c r="B40" s="163"/>
      <c r="C40" s="41" t="s">
        <v>29</v>
      </c>
      <c r="D40" s="42"/>
      <c r="E40" s="43">
        <f>SUM(E38:E39)</f>
        <v>0</v>
      </c>
      <c r="F40" s="165"/>
      <c r="G40" s="165"/>
      <c r="H40" s="161"/>
      <c r="I40" s="38" t="s">
        <v>30</v>
      </c>
      <c r="J40" s="48"/>
      <c r="K40" s="49"/>
    </row>
    <row r="41" spans="1:11" ht="15.75" customHeight="1">
      <c r="A41" s="13"/>
      <c r="B41" s="50"/>
      <c r="C41" s="51"/>
      <c r="D41" s="52" t="s">
        <v>31</v>
      </c>
      <c r="E41" s="53">
        <f>E35+E40</f>
        <v>394300</v>
      </c>
      <c r="F41" s="54"/>
      <c r="G41" s="54"/>
      <c r="H41" s="55"/>
      <c r="I41" s="51"/>
      <c r="J41" s="52" t="s">
        <v>32</v>
      </c>
      <c r="K41" s="53">
        <f>K38+K40</f>
        <v>0</v>
      </c>
    </row>
    <row r="42" spans="1:11" ht="11.25" customHeight="1">
      <c r="A42" s="13"/>
      <c r="B42" s="18"/>
      <c r="C42" s="18"/>
      <c r="D42" s="18"/>
      <c r="E42" s="18"/>
      <c r="F42" s="57"/>
      <c r="G42" s="57"/>
      <c r="H42" s="135"/>
      <c r="I42" s="135"/>
      <c r="J42" s="17"/>
      <c r="K42" s="17"/>
    </row>
    <row r="43" spans="1:11" ht="28.5">
      <c r="A43" s="25"/>
      <c r="B43" s="27"/>
      <c r="C43" s="27"/>
      <c r="D43" s="27"/>
      <c r="E43" s="28"/>
      <c r="F43" s="26"/>
      <c r="G43" s="28" t="s">
        <v>33</v>
      </c>
      <c r="H43" s="27"/>
      <c r="I43" s="27"/>
      <c r="J43" s="27"/>
      <c r="K43" s="27"/>
    </row>
    <row r="44" spans="1:11" ht="17.100000000000001" customHeight="1">
      <c r="A44" s="136" t="s">
        <v>34</v>
      </c>
      <c r="B44" s="137"/>
      <c r="C44" s="58" t="s">
        <v>35</v>
      </c>
      <c r="D44" s="58" t="s">
        <v>36</v>
      </c>
      <c r="E44" s="59" t="s">
        <v>19</v>
      </c>
      <c r="F44" s="142" t="s">
        <v>37</v>
      </c>
      <c r="G44" s="143"/>
      <c r="H44" s="137"/>
      <c r="I44" s="58" t="s">
        <v>35</v>
      </c>
      <c r="J44" s="58" t="s">
        <v>36</v>
      </c>
      <c r="K44" s="58" t="s">
        <v>19</v>
      </c>
    </row>
    <row r="45" spans="1:11" ht="17.100000000000001" customHeight="1">
      <c r="A45" s="138"/>
      <c r="B45" s="139"/>
      <c r="C45" s="60">
        <v>20000</v>
      </c>
      <c r="D45" s="61"/>
      <c r="E45" s="62">
        <f>C45*D45</f>
        <v>0</v>
      </c>
      <c r="F45" s="144"/>
      <c r="G45" s="145"/>
      <c r="H45" s="139"/>
      <c r="I45" s="60">
        <v>500</v>
      </c>
      <c r="J45" s="61">
        <v>3</v>
      </c>
      <c r="K45" s="63">
        <f>I45*J45</f>
        <v>1500</v>
      </c>
    </row>
    <row r="46" spans="1:11" ht="17.100000000000001" customHeight="1">
      <c r="A46" s="138"/>
      <c r="B46" s="139"/>
      <c r="C46" s="60">
        <v>10000</v>
      </c>
      <c r="D46" s="61">
        <v>2</v>
      </c>
      <c r="E46" s="62">
        <f>C46*D46</f>
        <v>20000</v>
      </c>
      <c r="F46" s="144"/>
      <c r="G46" s="145"/>
      <c r="H46" s="139"/>
      <c r="I46" s="60">
        <v>100</v>
      </c>
      <c r="J46" s="61">
        <v>30</v>
      </c>
      <c r="K46" s="63">
        <f>I46*J46</f>
        <v>3000</v>
      </c>
    </row>
    <row r="47" spans="1:11" ht="17.100000000000001" customHeight="1">
      <c r="A47" s="138"/>
      <c r="B47" s="139"/>
      <c r="C47" s="60">
        <v>5000</v>
      </c>
      <c r="D47" s="61">
        <v>4</v>
      </c>
      <c r="E47" s="62">
        <f>C47*D47</f>
        <v>20000</v>
      </c>
      <c r="F47" s="144"/>
      <c r="G47" s="145"/>
      <c r="H47" s="139"/>
      <c r="I47" s="60">
        <v>50</v>
      </c>
      <c r="J47" s="61">
        <v>8</v>
      </c>
      <c r="K47" s="63">
        <f>I47*J47</f>
        <v>400</v>
      </c>
    </row>
    <row r="48" spans="1:11" ht="17.100000000000001" customHeight="1">
      <c r="A48" s="138"/>
      <c r="B48" s="139"/>
      <c r="C48" s="60">
        <v>2000</v>
      </c>
      <c r="D48" s="61"/>
      <c r="E48" s="62">
        <f>C48*D48</f>
        <v>0</v>
      </c>
      <c r="F48" s="144"/>
      <c r="G48" s="145"/>
      <c r="H48" s="139"/>
      <c r="I48" s="60">
        <v>10</v>
      </c>
      <c r="J48" s="61">
        <v>15</v>
      </c>
      <c r="K48" s="63">
        <f>I48*J48</f>
        <v>150</v>
      </c>
    </row>
    <row r="49" spans="1:11" ht="17.100000000000001" customHeight="1">
      <c r="A49" s="140"/>
      <c r="B49" s="141"/>
      <c r="C49" s="60">
        <v>1000</v>
      </c>
      <c r="D49" s="61">
        <v>23</v>
      </c>
      <c r="E49" s="62">
        <f>C49*D49</f>
        <v>23000</v>
      </c>
      <c r="F49" s="146"/>
      <c r="G49" s="147"/>
      <c r="H49" s="141"/>
      <c r="I49" s="60"/>
      <c r="J49" s="64"/>
      <c r="K49" s="63"/>
    </row>
    <row r="50" spans="1:11" ht="18.75">
      <c r="A50" s="13"/>
      <c r="B50" s="65"/>
      <c r="C50" s="66"/>
      <c r="D50" s="67" t="s">
        <v>38</v>
      </c>
      <c r="E50" s="68">
        <f>SUM(E45:E49)</f>
        <v>63000</v>
      </c>
      <c r="F50" s="54"/>
      <c r="G50" s="54"/>
      <c r="H50" s="55"/>
      <c r="I50" s="66"/>
      <c r="J50" s="67" t="s">
        <v>39</v>
      </c>
      <c r="K50" s="68">
        <f>SUM(K45:K49)</f>
        <v>5050</v>
      </c>
    </row>
    <row r="51" spans="1:11" ht="18.75">
      <c r="A51" s="13"/>
      <c r="B51" s="18"/>
      <c r="C51" s="18"/>
      <c r="D51" s="18"/>
      <c r="E51" s="18"/>
      <c r="F51" s="16"/>
      <c r="G51" s="16"/>
      <c r="H51" s="65"/>
      <c r="I51" s="65"/>
      <c r="J51" s="17"/>
      <c r="K51" s="17"/>
    </row>
    <row r="52" spans="1:11" ht="18" customHeight="1">
      <c r="A52" s="13"/>
      <c r="B52" s="18"/>
      <c r="C52" s="18"/>
      <c r="D52" s="18"/>
      <c r="E52" s="18"/>
      <c r="F52" s="69"/>
      <c r="G52" s="69"/>
      <c r="H52" s="70" t="s">
        <v>40</v>
      </c>
      <c r="I52" s="71"/>
      <c r="J52" s="69"/>
      <c r="K52" s="17"/>
    </row>
    <row r="53" spans="1:11" ht="4.5" customHeight="1">
      <c r="A53" s="13"/>
      <c r="B53" s="18"/>
      <c r="C53" s="18"/>
      <c r="D53" s="18"/>
      <c r="E53" s="18"/>
      <c r="F53" s="16"/>
      <c r="G53" s="16"/>
      <c r="H53" s="17"/>
      <c r="I53" s="17"/>
      <c r="J53" s="17"/>
      <c r="K53" s="17"/>
    </row>
    <row r="54" spans="1:11" ht="15" customHeight="1">
      <c r="A54" s="72"/>
      <c r="B54" s="148" t="s">
        <v>41</v>
      </c>
      <c r="C54" s="149"/>
      <c r="D54" s="150"/>
      <c r="E54" s="18"/>
      <c r="F54" s="73"/>
      <c r="G54" s="73"/>
      <c r="H54" s="74" t="s">
        <v>42</v>
      </c>
      <c r="I54" s="75">
        <f>'10-07-2024'!I68</f>
        <v>68050</v>
      </c>
      <c r="J54" s="76"/>
      <c r="K54" s="17"/>
    </row>
    <row r="55" spans="1:11" ht="4.5" customHeight="1">
      <c r="A55" s="72"/>
      <c r="B55" s="151"/>
      <c r="C55" s="152"/>
      <c r="D55" s="153"/>
      <c r="E55" s="18"/>
      <c r="F55" s="16"/>
      <c r="G55" s="16"/>
      <c r="H55" s="17"/>
      <c r="I55" s="77"/>
      <c r="J55" s="17"/>
      <c r="K55" s="17"/>
    </row>
    <row r="56" spans="1:11" ht="18.75" customHeight="1">
      <c r="A56" s="78"/>
      <c r="B56" s="154"/>
      <c r="C56" s="154"/>
      <c r="D56" s="154"/>
      <c r="E56" s="18"/>
      <c r="F56" s="79"/>
      <c r="G56" s="79"/>
      <c r="H56" s="80" t="s">
        <v>43</v>
      </c>
      <c r="I56" s="81">
        <f>E50+K50</f>
        <v>68050</v>
      </c>
      <c r="J56" s="82"/>
      <c r="K56" s="17"/>
    </row>
    <row r="57" spans="1:11" ht="4.5" customHeight="1">
      <c r="A57" s="78"/>
      <c r="B57" s="154"/>
      <c r="C57" s="154"/>
      <c r="D57" s="154"/>
      <c r="E57" s="18"/>
      <c r="F57" s="56"/>
      <c r="G57" s="56"/>
      <c r="H57" s="57"/>
      <c r="I57" s="83"/>
      <c r="J57" s="65"/>
      <c r="K57" s="17"/>
    </row>
    <row r="58" spans="1:11" ht="18.75">
      <c r="A58" s="78"/>
      <c r="B58" s="154"/>
      <c r="C58" s="154"/>
      <c r="D58" s="154"/>
      <c r="E58" s="18"/>
      <c r="F58" s="79"/>
      <c r="G58" s="79"/>
      <c r="H58" s="80" t="s">
        <v>12</v>
      </c>
      <c r="I58" s="81">
        <f>K26</f>
        <v>394300</v>
      </c>
      <c r="J58" s="82"/>
      <c r="K58" s="24"/>
    </row>
    <row r="59" spans="1:11" ht="4.5" customHeight="1">
      <c r="A59" s="78"/>
      <c r="B59" s="154"/>
      <c r="C59" s="154"/>
      <c r="D59" s="154"/>
      <c r="E59" s="18"/>
      <c r="F59" s="56"/>
      <c r="G59" s="56"/>
      <c r="H59" s="57"/>
      <c r="I59" s="83"/>
      <c r="J59" s="18"/>
      <c r="K59" s="17"/>
    </row>
    <row r="60" spans="1:11" ht="18.75">
      <c r="A60" s="78"/>
      <c r="B60" s="154"/>
      <c r="C60" s="154"/>
      <c r="D60" s="154"/>
      <c r="E60" s="18"/>
      <c r="F60" s="84"/>
      <c r="G60" s="84"/>
      <c r="H60" s="85" t="s">
        <v>26</v>
      </c>
      <c r="I60" s="86">
        <f>E38</f>
        <v>0</v>
      </c>
      <c r="J60" s="82"/>
      <c r="K60" s="17"/>
    </row>
    <row r="61" spans="1:11" ht="4.5" customHeight="1">
      <c r="A61" s="78"/>
      <c r="B61" s="154"/>
      <c r="C61" s="154"/>
      <c r="D61" s="154"/>
      <c r="E61" s="18"/>
      <c r="F61" s="13"/>
      <c r="G61" s="13"/>
      <c r="H61" s="16"/>
      <c r="I61" s="77"/>
      <c r="J61" s="17"/>
      <c r="K61" s="17"/>
    </row>
    <row r="62" spans="1:11" ht="18.75">
      <c r="A62" s="78"/>
      <c r="B62" s="154"/>
      <c r="C62" s="154"/>
      <c r="D62" s="154"/>
      <c r="E62" s="18"/>
      <c r="F62" s="84"/>
      <c r="G62" s="84"/>
      <c r="H62" s="85" t="s">
        <v>17</v>
      </c>
      <c r="I62" s="86">
        <f>K31+K40</f>
        <v>0</v>
      </c>
      <c r="J62" s="82"/>
      <c r="K62" s="17"/>
    </row>
    <row r="63" spans="1:11" ht="4.5" customHeight="1">
      <c r="A63" s="78"/>
      <c r="B63" s="154"/>
      <c r="C63" s="154"/>
      <c r="D63" s="154"/>
      <c r="E63" s="18"/>
      <c r="F63" s="13"/>
      <c r="G63" s="13"/>
      <c r="H63" s="16"/>
      <c r="I63" s="77"/>
      <c r="J63" s="17"/>
      <c r="K63" s="17"/>
    </row>
    <row r="64" spans="1:11" ht="18.75">
      <c r="A64" s="78"/>
      <c r="B64" s="154"/>
      <c r="C64" s="154"/>
      <c r="D64" s="154"/>
      <c r="E64" s="18"/>
      <c r="F64" s="84"/>
      <c r="G64" s="84"/>
      <c r="H64" s="85" t="s">
        <v>44</v>
      </c>
      <c r="I64" s="86">
        <f>I54+I58+I60-I62</f>
        <v>462350</v>
      </c>
      <c r="J64" s="87"/>
      <c r="K64" s="17"/>
    </row>
    <row r="65" spans="1:11" ht="4.5" customHeight="1">
      <c r="A65" s="13"/>
      <c r="B65" s="154"/>
      <c r="C65" s="154"/>
      <c r="D65" s="154"/>
      <c r="E65" s="18"/>
      <c r="F65" s="16"/>
      <c r="G65" s="16"/>
      <c r="H65" s="18"/>
      <c r="I65" s="77"/>
      <c r="J65" s="17"/>
      <c r="K65" s="17"/>
    </row>
    <row r="66" spans="1:11" ht="18.75">
      <c r="A66" s="13"/>
      <c r="B66" s="154"/>
      <c r="C66" s="154"/>
      <c r="D66" s="154"/>
      <c r="E66" s="18"/>
      <c r="F66" s="73"/>
      <c r="G66" s="73"/>
      <c r="H66" s="74" t="s">
        <v>45</v>
      </c>
      <c r="I66" s="86">
        <f>I64-I54</f>
        <v>394300</v>
      </c>
      <c r="J66" s="88"/>
      <c r="K66" s="17"/>
    </row>
    <row r="67" spans="1:11" ht="4.5" customHeight="1">
      <c r="A67" s="78"/>
      <c r="B67" s="154"/>
      <c r="C67" s="154"/>
      <c r="D67" s="154"/>
      <c r="E67" s="18"/>
      <c r="F67" s="16"/>
      <c r="G67" s="16"/>
      <c r="H67" s="16"/>
      <c r="I67" s="77"/>
      <c r="J67" s="17"/>
      <c r="K67" s="17"/>
    </row>
    <row r="68" spans="1:11" ht="18.75">
      <c r="A68" s="13"/>
      <c r="B68" s="154"/>
      <c r="C68" s="154"/>
      <c r="D68" s="154"/>
      <c r="E68" s="18"/>
      <c r="F68" s="79"/>
      <c r="G68" s="79"/>
      <c r="H68" s="80" t="s">
        <v>46</v>
      </c>
      <c r="I68" s="86">
        <f>I54+E31+(E38-(K31+K40))</f>
        <v>68050</v>
      </c>
      <c r="J68" s="88"/>
      <c r="K68" s="17"/>
    </row>
    <row r="69" spans="1:11" ht="4.5" customHeight="1">
      <c r="A69" s="78"/>
      <c r="B69" s="154"/>
      <c r="C69" s="154"/>
      <c r="D69" s="154"/>
      <c r="E69" s="18"/>
      <c r="F69" s="16"/>
      <c r="G69" s="16"/>
      <c r="H69" s="16"/>
      <c r="I69" s="77"/>
      <c r="J69" s="17"/>
      <c r="K69" s="17"/>
    </row>
    <row r="70" spans="1:11" ht="18.75" customHeight="1">
      <c r="A70" s="78"/>
      <c r="B70" s="154"/>
      <c r="C70" s="154"/>
      <c r="D70" s="154"/>
      <c r="E70" s="18"/>
      <c r="F70" s="79"/>
      <c r="G70" s="79"/>
      <c r="H70" s="80" t="s">
        <v>47</v>
      </c>
      <c r="I70" s="89">
        <f>I56-I68</f>
        <v>0</v>
      </c>
      <c r="J70" s="90"/>
      <c r="K70" s="17"/>
    </row>
    <row r="71" spans="1:11" ht="15" customHeight="1">
      <c r="A71" s="91"/>
      <c r="B71" s="92"/>
      <c r="C71" s="92"/>
      <c r="D71" s="92"/>
      <c r="E71" s="93"/>
      <c r="F71" s="94"/>
      <c r="G71" s="94"/>
      <c r="H71" s="95"/>
      <c r="I71" s="95"/>
      <c r="J71" s="95"/>
      <c r="K71" s="95"/>
    </row>
    <row r="72" spans="1:11" ht="15" customHeight="1">
      <c r="A72" s="91"/>
      <c r="B72" s="92"/>
      <c r="C72" s="92"/>
      <c r="D72" s="92"/>
      <c r="E72" s="93"/>
      <c r="F72" s="94"/>
      <c r="G72" s="94"/>
      <c r="H72" s="95"/>
      <c r="I72" s="95"/>
      <c r="J72" s="95"/>
      <c r="K72" s="95"/>
    </row>
    <row r="73" spans="1:11" ht="15" customHeight="1">
      <c r="A73" s="91"/>
      <c r="B73" s="92"/>
      <c r="C73" s="92"/>
      <c r="D73" s="92"/>
      <c r="E73" s="93"/>
      <c r="F73" s="94"/>
      <c r="G73" s="94"/>
      <c r="H73" s="95"/>
      <c r="I73" s="95"/>
      <c r="J73" s="95"/>
      <c r="K73" s="95"/>
    </row>
    <row r="74" spans="1:11" ht="15" customHeight="1">
      <c r="A74" s="91"/>
      <c r="B74" s="92"/>
      <c r="C74" s="92"/>
      <c r="D74" s="92"/>
      <c r="E74" s="93"/>
      <c r="F74" s="94"/>
      <c r="G74" s="94"/>
      <c r="H74" s="95"/>
      <c r="I74" s="95"/>
      <c r="J74" s="95"/>
      <c r="K74" s="95"/>
    </row>
    <row r="75" spans="1:11" ht="15.75" customHeight="1">
      <c r="A75" s="91"/>
      <c r="B75" s="92"/>
      <c r="C75" s="92"/>
      <c r="D75" s="92"/>
      <c r="E75" s="93"/>
      <c r="F75" s="94"/>
      <c r="G75" s="94"/>
      <c r="H75" s="95"/>
      <c r="I75" s="95"/>
      <c r="J75" s="95"/>
      <c r="K75" s="95"/>
    </row>
    <row r="76" spans="1:11" ht="14.25" customHeight="1">
      <c r="A76" s="91"/>
      <c r="B76" s="92"/>
      <c r="C76" s="92"/>
      <c r="D76" s="92"/>
      <c r="E76" s="93"/>
      <c r="F76" s="94"/>
      <c r="G76" s="94"/>
      <c r="H76" s="95"/>
      <c r="I76" s="95"/>
      <c r="J76" s="95"/>
      <c r="K76" s="95"/>
    </row>
    <row r="77" spans="1:11">
      <c r="A77" s="96"/>
      <c r="B77" s="98"/>
      <c r="C77" s="98"/>
      <c r="D77" s="98"/>
      <c r="E77" s="98"/>
      <c r="F77" s="97"/>
      <c r="G77" s="97"/>
      <c r="H77" s="99"/>
      <c r="I77" s="99"/>
      <c r="J77" s="99"/>
      <c r="K77" s="99"/>
    </row>
    <row r="78" spans="1:11">
      <c r="D78" s="102"/>
      <c r="E78" s="102"/>
    </row>
    <row r="79" spans="1:11">
      <c r="D79" s="102"/>
      <c r="E79" s="102"/>
      <c r="H79" s="102"/>
    </row>
    <row r="80" spans="1:11">
      <c r="D80" s="102"/>
      <c r="E80" s="102"/>
      <c r="H80" s="102"/>
    </row>
    <row r="81" spans="4:11">
      <c r="D81" s="102"/>
      <c r="E81" s="102"/>
      <c r="H81" s="102"/>
      <c r="I81" s="102"/>
      <c r="J81" s="102"/>
      <c r="K81" s="102"/>
    </row>
    <row r="82" spans="4:11">
      <c r="D82" s="102"/>
      <c r="E82" s="102"/>
      <c r="H82" s="102"/>
      <c r="I82" s="102"/>
      <c r="J82" s="102"/>
      <c r="K82" s="102"/>
    </row>
    <row r="83" spans="4:11">
      <c r="D83" s="102"/>
      <c r="E83" s="102"/>
      <c r="H83" s="102"/>
      <c r="I83" s="102"/>
      <c r="J83" s="102"/>
      <c r="K83" s="102"/>
    </row>
    <row r="84" spans="4:11">
      <c r="D84" s="102"/>
      <c r="E84" s="102"/>
      <c r="H84" s="102"/>
      <c r="I84" s="102"/>
      <c r="J84" s="102"/>
      <c r="K84" s="102"/>
    </row>
    <row r="85" spans="4:11">
      <c r="D85" s="102"/>
      <c r="E85" s="102"/>
      <c r="H85" s="102"/>
      <c r="I85" s="102"/>
      <c r="J85" s="102"/>
      <c r="K85" s="102"/>
    </row>
    <row r="86" spans="4:11">
      <c r="D86" s="102"/>
      <c r="E86" s="102"/>
      <c r="H86" s="102"/>
      <c r="I86" s="102"/>
      <c r="J86" s="102"/>
      <c r="K86" s="102"/>
    </row>
    <row r="87" spans="4:11">
      <c r="D87" s="102"/>
      <c r="E87" s="102"/>
      <c r="H87" s="102"/>
      <c r="I87" s="102"/>
      <c r="J87" s="102"/>
      <c r="K87" s="102"/>
    </row>
    <row r="88" spans="4:11">
      <c r="D88" s="102"/>
      <c r="E88" s="102"/>
      <c r="H88" s="102"/>
      <c r="I88" s="102"/>
      <c r="J88" s="102"/>
      <c r="K88" s="102"/>
    </row>
  </sheetData>
  <mergeCells count="39">
    <mergeCell ref="H42:I42"/>
    <mergeCell ref="A44:B49"/>
    <mergeCell ref="F44:H49"/>
    <mergeCell ref="B54:D55"/>
    <mergeCell ref="B56:D70"/>
    <mergeCell ref="F22:K22"/>
    <mergeCell ref="F23:K23"/>
    <mergeCell ref="A29:B40"/>
    <mergeCell ref="F29:H40"/>
    <mergeCell ref="I29:K29"/>
    <mergeCell ref="C30:D30"/>
    <mergeCell ref="I30:J30"/>
    <mergeCell ref="C36:E36"/>
    <mergeCell ref="C37:D37"/>
    <mergeCell ref="I39:K39"/>
    <mergeCell ref="F21:K21"/>
    <mergeCell ref="F10:K10"/>
    <mergeCell ref="F11:K11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9:K9"/>
    <mergeCell ref="A1:B1"/>
    <mergeCell ref="C1:E1"/>
    <mergeCell ref="F1:G1"/>
    <mergeCell ref="H1:K1"/>
    <mergeCell ref="A3:K3"/>
    <mergeCell ref="A4:K4"/>
    <mergeCell ref="A5:A6"/>
    <mergeCell ref="B5:E5"/>
    <mergeCell ref="F5:K6"/>
    <mergeCell ref="F7:K7"/>
    <mergeCell ref="F8:K8"/>
  </mergeCells>
  <conditionalFormatting sqref="I70">
    <cfRule type="expression" dxfId="17" priority="1">
      <formula>$I70=0</formula>
    </cfRule>
    <cfRule type="expression" dxfId="16" priority="2">
      <formula>$I70&gt;=1</formula>
    </cfRule>
    <cfRule type="expression" dxfId="15" priority="3">
      <formula>$I70&lt;=-1</formula>
    </cfRule>
  </conditionalFormatting>
  <pageMargins left="0.25" right="0.25" top="0.75" bottom="0.75" header="0.3" footer="0.3"/>
  <pageSetup scale="58" fitToWidth="0" orientation="portrait" r:id="rId1"/>
  <headerFooter>
    <oddHeader>&amp;L&amp;"-,Negrita Cursiva"&amp;14Pet Exotic SpA&amp;C&amp;"-,Negrita Cursiva"&amp;18Libro de Ventas&amp;R&amp;22&amp;G</oddHeader>
  </headerFooter>
  <ignoredErrors>
    <ignoredError sqref="C8 C11" unlockedFormula="1"/>
  </ignoredErrors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F07C7-463E-437E-BCA3-BBE04199A316}">
  <sheetPr>
    <tabColor theme="2"/>
    <pageSetUpPr fitToPage="1"/>
  </sheetPr>
  <dimension ref="A1:K88"/>
  <sheetViews>
    <sheetView showWhiteSpace="0" view="pageLayout" topLeftCell="B1" zoomScale="80" zoomScaleNormal="80" zoomScalePageLayoutView="80" workbookViewId="0">
      <selection activeCell="J76" sqref="J76"/>
    </sheetView>
  </sheetViews>
  <sheetFormatPr defaultColWidth="20.7109375" defaultRowHeight="15"/>
  <cols>
    <col min="1" max="1" width="13.5703125" style="100" customWidth="1"/>
    <col min="2" max="3" width="13.7109375" style="102" customWidth="1"/>
    <col min="4" max="4" width="13.7109375" style="103" customWidth="1"/>
    <col min="5" max="5" width="14.7109375" style="104" customWidth="1"/>
    <col min="6" max="7" width="13.7109375" style="101" customWidth="1"/>
    <col min="8" max="10" width="13.7109375" style="103" customWidth="1"/>
    <col min="11" max="11" width="28.140625" style="103" customWidth="1"/>
    <col min="12" max="14" width="6.7109375" customWidth="1"/>
    <col min="15" max="17" width="10.7109375" customWidth="1"/>
    <col min="18" max="18" width="17.42578125" customWidth="1"/>
    <col min="19" max="19" width="10.7109375" customWidth="1"/>
    <col min="20" max="23" width="6.7109375" customWidth="1"/>
    <col min="24" max="26" width="10.7109375" customWidth="1"/>
    <col min="27" max="27" width="17.42578125" customWidth="1"/>
    <col min="28" max="28" width="10.7109375" customWidth="1"/>
    <col min="29" max="32" width="6.7109375" customWidth="1"/>
    <col min="33" max="35" width="10.7109375" customWidth="1"/>
    <col min="36" max="36" width="17.42578125" customWidth="1"/>
    <col min="37" max="37" width="10.7109375" customWidth="1"/>
    <col min="38" max="41" width="6.7109375" customWidth="1"/>
    <col min="42" max="44" width="10.7109375" customWidth="1"/>
    <col min="45" max="45" width="17.42578125" customWidth="1"/>
    <col min="46" max="46" width="10.7109375" customWidth="1"/>
    <col min="47" max="50" width="6.7109375" customWidth="1"/>
    <col min="51" max="53" width="10.7109375" customWidth="1"/>
    <col min="54" max="54" width="17.42578125" customWidth="1"/>
    <col min="55" max="55" width="10.7109375" customWidth="1"/>
    <col min="56" max="59" width="6.7109375" customWidth="1"/>
    <col min="60" max="62" width="10.7109375" customWidth="1"/>
    <col min="63" max="63" width="17.42578125" customWidth="1"/>
    <col min="64" max="64" width="10.7109375" customWidth="1"/>
    <col min="65" max="68" width="6.7109375" customWidth="1"/>
    <col min="69" max="71" width="10.7109375" customWidth="1"/>
    <col min="72" max="72" width="17.42578125" customWidth="1"/>
    <col min="73" max="73" width="10.7109375" customWidth="1"/>
    <col min="74" max="77" width="6.7109375" customWidth="1"/>
    <col min="78" max="80" width="10.7109375" customWidth="1"/>
    <col min="81" max="81" width="17.42578125" customWidth="1"/>
    <col min="82" max="82" width="10.7109375" customWidth="1"/>
    <col min="83" max="86" width="6.7109375" customWidth="1"/>
    <col min="87" max="89" width="10.7109375" customWidth="1"/>
    <col min="90" max="90" width="17.42578125" customWidth="1"/>
    <col min="91" max="91" width="10.7109375" customWidth="1"/>
    <col min="92" max="95" width="6.7109375" customWidth="1"/>
    <col min="96" max="98" width="10.7109375" customWidth="1"/>
    <col min="99" max="99" width="17.42578125" customWidth="1"/>
    <col min="100" max="100" width="10.7109375" customWidth="1"/>
    <col min="101" max="104" width="6.7109375" customWidth="1"/>
    <col min="105" max="107" width="10.7109375" customWidth="1"/>
    <col min="108" max="108" width="17.42578125" customWidth="1"/>
    <col min="109" max="109" width="10.7109375" customWidth="1"/>
    <col min="110" max="113" width="6.7109375" customWidth="1"/>
    <col min="114" max="116" width="10.7109375" customWidth="1"/>
    <col min="117" max="117" width="17.42578125" customWidth="1"/>
    <col min="118" max="118" width="10.7109375" customWidth="1"/>
    <col min="119" max="122" width="6.7109375" customWidth="1"/>
    <col min="123" max="125" width="10.7109375" customWidth="1"/>
    <col min="126" max="126" width="17.42578125" customWidth="1"/>
    <col min="127" max="127" width="10.7109375" customWidth="1"/>
    <col min="128" max="131" width="6.7109375" customWidth="1"/>
    <col min="132" max="134" width="10.7109375" customWidth="1"/>
    <col min="135" max="135" width="17.42578125" customWidth="1"/>
    <col min="136" max="136" width="10.7109375" customWidth="1"/>
    <col min="137" max="140" width="6.7109375" customWidth="1"/>
    <col min="141" max="143" width="10.7109375" customWidth="1"/>
    <col min="144" max="144" width="17.42578125" customWidth="1"/>
    <col min="145" max="145" width="10.7109375" customWidth="1"/>
    <col min="146" max="149" width="6.7109375" customWidth="1"/>
    <col min="150" max="152" width="10.7109375" customWidth="1"/>
    <col min="153" max="153" width="17.42578125" customWidth="1"/>
    <col min="154" max="154" width="10.7109375" customWidth="1"/>
    <col min="155" max="158" width="6.7109375" customWidth="1"/>
    <col min="159" max="161" width="10.7109375" customWidth="1"/>
    <col min="162" max="162" width="17.42578125" customWidth="1"/>
    <col min="163" max="163" width="10.7109375" customWidth="1"/>
    <col min="164" max="167" width="6.7109375" customWidth="1"/>
    <col min="168" max="170" width="10.7109375" customWidth="1"/>
    <col min="171" max="171" width="17.42578125" customWidth="1"/>
    <col min="172" max="172" width="10.7109375" customWidth="1"/>
    <col min="173" max="176" width="6.7109375" customWidth="1"/>
    <col min="177" max="179" width="10.7109375" customWidth="1"/>
    <col min="180" max="180" width="17.42578125" customWidth="1"/>
    <col min="181" max="181" width="10.7109375" customWidth="1"/>
    <col min="182" max="185" width="6.7109375" customWidth="1"/>
    <col min="186" max="188" width="10.7109375" customWidth="1"/>
    <col min="189" max="189" width="17.42578125" customWidth="1"/>
    <col min="190" max="190" width="10.7109375" customWidth="1"/>
    <col min="191" max="194" width="6.7109375" customWidth="1"/>
    <col min="195" max="197" width="10.7109375" customWidth="1"/>
    <col min="198" max="198" width="17.42578125" customWidth="1"/>
    <col min="199" max="199" width="10.7109375" customWidth="1"/>
    <col min="200" max="203" width="6.7109375" customWidth="1"/>
    <col min="204" max="206" width="10.7109375" customWidth="1"/>
    <col min="207" max="207" width="17.42578125" customWidth="1"/>
    <col min="208" max="208" width="10.7109375" customWidth="1"/>
    <col min="209" max="212" width="6.7109375" customWidth="1"/>
    <col min="213" max="215" width="10.7109375" customWidth="1"/>
    <col min="216" max="216" width="17.42578125" customWidth="1"/>
    <col min="217" max="217" width="10.7109375" customWidth="1"/>
    <col min="218" max="221" width="6.7109375" customWidth="1"/>
    <col min="222" max="224" width="10.7109375" customWidth="1"/>
    <col min="225" max="225" width="17.42578125" customWidth="1"/>
    <col min="226" max="226" width="10.7109375" customWidth="1"/>
    <col min="227" max="230" width="6.7109375" customWidth="1"/>
    <col min="231" max="233" width="10.7109375" customWidth="1"/>
    <col min="234" max="234" width="17.42578125" customWidth="1"/>
    <col min="235" max="235" width="10.7109375" customWidth="1"/>
    <col min="236" max="239" width="6.7109375" customWidth="1"/>
    <col min="240" max="242" width="10.7109375" customWidth="1"/>
    <col min="243" max="243" width="17.42578125" customWidth="1"/>
    <col min="244" max="244" width="10.7109375" customWidth="1"/>
    <col min="245" max="248" width="6.7109375" customWidth="1"/>
    <col min="249" max="251" width="10.7109375" customWidth="1"/>
    <col min="252" max="252" width="17.42578125" customWidth="1"/>
    <col min="253" max="253" width="10.7109375" customWidth="1"/>
    <col min="254" max="257" width="6.7109375" customWidth="1"/>
    <col min="258" max="260" width="10.7109375" customWidth="1"/>
    <col min="261" max="261" width="17.42578125" customWidth="1"/>
    <col min="262" max="262" width="10.7109375" customWidth="1"/>
    <col min="263" max="266" width="6.7109375" customWidth="1"/>
    <col min="267" max="269" width="10.7109375" customWidth="1"/>
    <col min="270" max="270" width="17.42578125" customWidth="1"/>
    <col min="271" max="271" width="10.7109375" customWidth="1"/>
    <col min="272" max="275" width="6.7109375" customWidth="1"/>
    <col min="276" max="278" width="10.7109375" customWidth="1"/>
    <col min="279" max="279" width="17.42578125" customWidth="1"/>
    <col min="280" max="280" width="10.7109375" customWidth="1"/>
    <col min="281" max="284" width="6.7109375" customWidth="1"/>
    <col min="285" max="287" width="10.7109375" customWidth="1"/>
    <col min="288" max="288" width="17.42578125" customWidth="1"/>
    <col min="289" max="289" width="10.7109375" customWidth="1"/>
    <col min="290" max="293" width="6.7109375" customWidth="1"/>
    <col min="294" max="296" width="10.7109375" customWidth="1"/>
    <col min="297" max="297" width="17.42578125" customWidth="1"/>
    <col min="298" max="298" width="10.7109375" customWidth="1"/>
    <col min="299" max="302" width="6.7109375" customWidth="1"/>
    <col min="303" max="305" width="10.7109375" customWidth="1"/>
    <col min="306" max="306" width="17.42578125" customWidth="1"/>
    <col min="307" max="307" width="10.7109375" customWidth="1"/>
    <col min="308" max="311" width="6.7109375" customWidth="1"/>
    <col min="312" max="314" width="10.7109375" customWidth="1"/>
    <col min="315" max="315" width="17.42578125" customWidth="1"/>
    <col min="316" max="316" width="10.7109375" customWidth="1"/>
    <col min="317" max="320" width="6.7109375" customWidth="1"/>
    <col min="321" max="323" width="10.7109375" customWidth="1"/>
    <col min="324" max="324" width="17.42578125" customWidth="1"/>
    <col min="325" max="325" width="10.7109375" customWidth="1"/>
    <col min="326" max="329" width="6.7109375" customWidth="1"/>
    <col min="330" max="332" width="10.7109375" customWidth="1"/>
    <col min="333" max="333" width="17.42578125" customWidth="1"/>
    <col min="334" max="334" width="10.7109375" customWidth="1"/>
    <col min="335" max="338" width="6.7109375" customWidth="1"/>
    <col min="339" max="341" width="10.7109375" customWidth="1"/>
    <col min="342" max="342" width="17.42578125" customWidth="1"/>
    <col min="343" max="343" width="10.7109375" customWidth="1"/>
    <col min="344" max="347" width="6.7109375" customWidth="1"/>
    <col min="348" max="350" width="10.7109375" customWidth="1"/>
    <col min="351" max="351" width="17.42578125" customWidth="1"/>
    <col min="352" max="352" width="10.7109375" customWidth="1"/>
    <col min="353" max="356" width="6.7109375" customWidth="1"/>
    <col min="357" max="359" width="10.7109375" customWidth="1"/>
    <col min="360" max="360" width="17.42578125" customWidth="1"/>
    <col min="361" max="361" width="10.7109375" customWidth="1"/>
    <col min="362" max="365" width="6.7109375" customWidth="1"/>
    <col min="366" max="368" width="10.7109375" customWidth="1"/>
    <col min="369" max="369" width="17.42578125" customWidth="1"/>
    <col min="370" max="370" width="10.7109375" customWidth="1"/>
    <col min="371" max="374" width="6.7109375" customWidth="1"/>
    <col min="375" max="377" width="10.7109375" customWidth="1"/>
    <col min="378" max="378" width="17.42578125" customWidth="1"/>
    <col min="379" max="379" width="10.7109375" customWidth="1"/>
    <col min="380" max="383" width="6.7109375" customWidth="1"/>
    <col min="384" max="386" width="10.7109375" customWidth="1"/>
    <col min="387" max="387" width="17.42578125" customWidth="1"/>
    <col min="388" max="388" width="10.7109375" customWidth="1"/>
    <col min="389" max="392" width="6.7109375" customWidth="1"/>
    <col min="393" max="395" width="10.7109375" customWidth="1"/>
    <col min="396" max="396" width="17.42578125" customWidth="1"/>
    <col min="397" max="397" width="10.7109375" customWidth="1"/>
    <col min="398" max="401" width="6.7109375" customWidth="1"/>
    <col min="402" max="404" width="10.7109375" customWidth="1"/>
    <col min="405" max="405" width="17.42578125" customWidth="1"/>
    <col min="406" max="406" width="10.7109375" customWidth="1"/>
    <col min="407" max="410" width="6.7109375" customWidth="1"/>
    <col min="411" max="413" width="10.7109375" customWidth="1"/>
    <col min="414" max="414" width="17.42578125" customWidth="1"/>
    <col min="415" max="415" width="10.7109375" customWidth="1"/>
    <col min="416" max="419" width="6.7109375" customWidth="1"/>
    <col min="420" max="422" width="10.7109375" customWidth="1"/>
    <col min="423" max="423" width="17.42578125" customWidth="1"/>
    <col min="424" max="424" width="10.7109375" customWidth="1"/>
    <col min="425" max="428" width="6.7109375" customWidth="1"/>
    <col min="429" max="431" width="10.7109375" customWidth="1"/>
    <col min="432" max="432" width="17.42578125" customWidth="1"/>
    <col min="433" max="433" width="10.7109375" customWidth="1"/>
    <col min="434" max="437" width="6.7109375" customWidth="1"/>
    <col min="438" max="440" width="10.7109375" customWidth="1"/>
    <col min="441" max="441" width="17.42578125" customWidth="1"/>
    <col min="442" max="442" width="10.7109375" customWidth="1"/>
    <col min="443" max="446" width="6.7109375" customWidth="1"/>
    <col min="447" max="449" width="10.7109375" customWidth="1"/>
    <col min="450" max="450" width="17.42578125" customWidth="1"/>
    <col min="451" max="451" width="10.7109375" customWidth="1"/>
    <col min="452" max="455" width="6.7109375" customWidth="1"/>
    <col min="456" max="458" width="10.7109375" customWidth="1"/>
    <col min="459" max="459" width="17.42578125" customWidth="1"/>
    <col min="460" max="460" width="10.7109375" customWidth="1"/>
    <col min="461" max="464" width="6.7109375" customWidth="1"/>
    <col min="465" max="467" width="10.7109375" customWidth="1"/>
    <col min="468" max="468" width="17.42578125" customWidth="1"/>
    <col min="469" max="469" width="10.7109375" customWidth="1"/>
    <col min="470" max="473" width="6.7109375" customWidth="1"/>
    <col min="474" max="476" width="10.7109375" customWidth="1"/>
    <col min="477" max="477" width="17.42578125" customWidth="1"/>
    <col min="478" max="478" width="10.7109375" customWidth="1"/>
    <col min="479" max="482" width="6.7109375" customWidth="1"/>
    <col min="483" max="485" width="10.7109375" customWidth="1"/>
    <col min="486" max="486" width="17.42578125" customWidth="1"/>
    <col min="487" max="487" width="10.7109375" customWidth="1"/>
    <col min="488" max="491" width="6.7109375" customWidth="1"/>
    <col min="492" max="494" width="10.7109375" customWidth="1"/>
    <col min="495" max="495" width="17.42578125" customWidth="1"/>
    <col min="496" max="496" width="10.7109375" customWidth="1"/>
    <col min="497" max="500" width="6.7109375" customWidth="1"/>
    <col min="501" max="503" width="10.7109375" customWidth="1"/>
    <col min="504" max="504" width="17.42578125" customWidth="1"/>
    <col min="505" max="505" width="10.7109375" customWidth="1"/>
    <col min="506" max="509" width="6.7109375" customWidth="1"/>
    <col min="510" max="512" width="10.7109375" customWidth="1"/>
    <col min="513" max="513" width="17.42578125" customWidth="1"/>
    <col min="514" max="514" width="10.7109375" customWidth="1"/>
    <col min="515" max="518" width="6.7109375" customWidth="1"/>
    <col min="519" max="521" width="10.7109375" customWidth="1"/>
    <col min="522" max="522" width="17.42578125" customWidth="1"/>
    <col min="523" max="523" width="10.7109375" customWidth="1"/>
    <col min="524" max="527" width="6.7109375" customWidth="1"/>
    <col min="528" max="530" width="10.7109375" customWidth="1"/>
    <col min="531" max="531" width="17.42578125" customWidth="1"/>
    <col min="532" max="532" width="10.7109375" customWidth="1"/>
    <col min="533" max="536" width="6.7109375" customWidth="1"/>
    <col min="537" max="539" width="10.7109375" customWidth="1"/>
    <col min="540" max="540" width="17.42578125" customWidth="1"/>
    <col min="541" max="541" width="10.7109375" customWidth="1"/>
    <col min="542" max="545" width="6.7109375" customWidth="1"/>
    <col min="546" max="548" width="10.7109375" customWidth="1"/>
    <col min="549" max="549" width="17.42578125" customWidth="1"/>
    <col min="550" max="550" width="10.7109375" customWidth="1"/>
    <col min="551" max="554" width="6.7109375" customWidth="1"/>
    <col min="555" max="557" width="10.7109375" customWidth="1"/>
    <col min="558" max="558" width="17.42578125" customWidth="1"/>
    <col min="559" max="559" width="10.7109375" customWidth="1"/>
    <col min="560" max="563" width="6.7109375" customWidth="1"/>
    <col min="564" max="566" width="10.7109375" customWidth="1"/>
    <col min="567" max="567" width="17.42578125" customWidth="1"/>
    <col min="568" max="568" width="10.7109375" customWidth="1"/>
    <col min="569" max="572" width="6.7109375" customWidth="1"/>
    <col min="573" max="575" width="10.7109375" customWidth="1"/>
    <col min="576" max="576" width="17.42578125" customWidth="1"/>
    <col min="577" max="577" width="10.7109375" customWidth="1"/>
    <col min="578" max="581" width="6.7109375" customWidth="1"/>
    <col min="582" max="584" width="10.7109375" customWidth="1"/>
    <col min="585" max="585" width="17.42578125" customWidth="1"/>
    <col min="586" max="586" width="10.7109375" customWidth="1"/>
    <col min="587" max="590" width="6.7109375" customWidth="1"/>
    <col min="591" max="593" width="10.7109375" customWidth="1"/>
    <col min="594" max="594" width="17.42578125" customWidth="1"/>
    <col min="595" max="595" width="10.7109375" customWidth="1"/>
    <col min="596" max="599" width="6.7109375" customWidth="1"/>
    <col min="600" max="602" width="10.7109375" customWidth="1"/>
    <col min="603" max="603" width="17.42578125" customWidth="1"/>
    <col min="604" max="604" width="10.7109375" customWidth="1"/>
    <col min="605" max="608" width="6.7109375" customWidth="1"/>
    <col min="609" max="611" width="10.7109375" customWidth="1"/>
    <col min="612" max="612" width="17.42578125" customWidth="1"/>
    <col min="613" max="613" width="10.7109375" customWidth="1"/>
    <col min="614" max="617" width="6.7109375" customWidth="1"/>
    <col min="618" max="620" width="10.7109375" customWidth="1"/>
    <col min="621" max="621" width="17.42578125" customWidth="1"/>
    <col min="622" max="622" width="10.7109375" customWidth="1"/>
    <col min="623" max="626" width="6.7109375" customWidth="1"/>
    <col min="627" max="629" width="10.7109375" customWidth="1"/>
    <col min="630" max="630" width="17.42578125" customWidth="1"/>
    <col min="631" max="631" width="10.7109375" customWidth="1"/>
    <col min="632" max="635" width="6.7109375" customWidth="1"/>
    <col min="636" max="638" width="10.7109375" customWidth="1"/>
    <col min="639" max="639" width="17.42578125" customWidth="1"/>
    <col min="640" max="640" width="10.7109375" customWidth="1"/>
    <col min="641" max="644" width="6.7109375" customWidth="1"/>
    <col min="645" max="647" width="10.7109375" customWidth="1"/>
    <col min="648" max="648" width="17.42578125" customWidth="1"/>
    <col min="649" max="649" width="10.7109375" customWidth="1"/>
    <col min="650" max="653" width="6.7109375" customWidth="1"/>
    <col min="654" max="656" width="10.7109375" customWidth="1"/>
    <col min="657" max="657" width="17.42578125" customWidth="1"/>
    <col min="658" max="658" width="10.7109375" customWidth="1"/>
    <col min="659" max="662" width="6.7109375" customWidth="1"/>
    <col min="663" max="665" width="10.7109375" customWidth="1"/>
    <col min="666" max="666" width="17.42578125" customWidth="1"/>
    <col min="667" max="667" width="10.7109375" customWidth="1"/>
    <col min="668" max="671" width="6.7109375" customWidth="1"/>
    <col min="672" max="674" width="10.7109375" customWidth="1"/>
    <col min="675" max="675" width="17.42578125" customWidth="1"/>
    <col min="676" max="676" width="10.7109375" customWidth="1"/>
    <col min="677" max="680" width="6.7109375" customWidth="1"/>
    <col min="681" max="683" width="10.7109375" customWidth="1"/>
    <col min="684" max="684" width="17.42578125" customWidth="1"/>
    <col min="685" max="685" width="10.7109375" customWidth="1"/>
    <col min="686" max="689" width="6.7109375" customWidth="1"/>
    <col min="690" max="692" width="10.7109375" customWidth="1"/>
    <col min="693" max="693" width="17.42578125" customWidth="1"/>
    <col min="694" max="694" width="10.7109375" customWidth="1"/>
    <col min="695" max="698" width="6.7109375" customWidth="1"/>
    <col min="699" max="701" width="10.7109375" customWidth="1"/>
    <col min="702" max="702" width="17.42578125" customWidth="1"/>
  </cols>
  <sheetData>
    <row r="1" spans="1:11" ht="20.45" customHeight="1">
      <c r="A1" s="174" t="s">
        <v>0</v>
      </c>
      <c r="B1" s="175"/>
      <c r="C1" s="176">
        <v>45483</v>
      </c>
      <c r="D1" s="177"/>
      <c r="E1" s="178"/>
      <c r="F1" s="174" t="s">
        <v>1</v>
      </c>
      <c r="G1" s="175"/>
      <c r="H1" s="179" t="s">
        <v>131</v>
      </c>
      <c r="I1" s="180"/>
      <c r="J1" s="180"/>
      <c r="K1" s="181"/>
    </row>
    <row r="2" spans="1:11" ht="11.25" customHeight="1">
      <c r="A2" s="1"/>
      <c r="B2" s="2"/>
      <c r="C2" s="2"/>
      <c r="D2" s="2"/>
      <c r="E2" s="3"/>
      <c r="F2" s="3"/>
      <c r="G2" s="3"/>
      <c r="H2" s="2"/>
      <c r="I2" s="2"/>
      <c r="J2" s="2"/>
      <c r="K2" s="2"/>
    </row>
    <row r="3" spans="1:11" ht="27" customHeight="1">
      <c r="A3" s="182" t="s">
        <v>2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20.45" customHeight="1">
      <c r="A4" s="183" t="s">
        <v>3</v>
      </c>
      <c r="B4" s="184"/>
      <c r="C4" s="184"/>
      <c r="D4" s="184"/>
      <c r="E4" s="184"/>
      <c r="F4" s="184"/>
      <c r="G4" s="184"/>
      <c r="H4" s="184"/>
      <c r="I4" s="184"/>
      <c r="J4" s="184"/>
      <c r="K4" s="185"/>
    </row>
    <row r="5" spans="1:11" s="5" customFormat="1" ht="26.25" customHeight="1">
      <c r="A5" s="186" t="s">
        <v>4</v>
      </c>
      <c r="B5" s="188" t="s">
        <v>5</v>
      </c>
      <c r="C5" s="189"/>
      <c r="D5" s="189"/>
      <c r="E5" s="190"/>
      <c r="F5" s="191" t="s">
        <v>6</v>
      </c>
      <c r="G5" s="192"/>
      <c r="H5" s="192"/>
      <c r="I5" s="192"/>
      <c r="J5" s="192"/>
      <c r="K5" s="193"/>
    </row>
    <row r="6" spans="1:11" ht="20.25" customHeight="1">
      <c r="A6" s="187"/>
      <c r="B6" s="6" t="s">
        <v>7</v>
      </c>
      <c r="C6" s="6" t="s">
        <v>8</v>
      </c>
      <c r="D6" s="4" t="s">
        <v>9</v>
      </c>
      <c r="E6" s="7" t="s">
        <v>10</v>
      </c>
      <c r="F6" s="194"/>
      <c r="G6" s="195"/>
      <c r="H6" s="195"/>
      <c r="I6" s="195"/>
      <c r="J6" s="195"/>
      <c r="K6" s="196"/>
    </row>
    <row r="7" spans="1:11" ht="20.45" customHeight="1">
      <c r="A7" s="8">
        <v>52</v>
      </c>
      <c r="B7" s="9"/>
      <c r="C7" s="9">
        <v>21980</v>
      </c>
      <c r="D7" s="10"/>
      <c r="E7" s="11"/>
      <c r="F7" s="197" t="s">
        <v>153</v>
      </c>
      <c r="G7" s="198"/>
      <c r="H7" s="198"/>
      <c r="I7" s="198"/>
      <c r="J7" s="198"/>
      <c r="K7" s="199"/>
    </row>
    <row r="8" spans="1:11" ht="20.45" customHeight="1">
      <c r="A8" s="8">
        <v>53</v>
      </c>
      <c r="B8" s="9"/>
      <c r="C8" s="9">
        <v>24990</v>
      </c>
      <c r="D8" s="10"/>
      <c r="E8" s="11"/>
      <c r="F8" s="197" t="s">
        <v>154</v>
      </c>
      <c r="G8" s="198"/>
      <c r="H8" s="198"/>
      <c r="I8" s="198"/>
      <c r="J8" s="198"/>
      <c r="K8" s="199"/>
    </row>
    <row r="9" spans="1:11" ht="20.45" customHeight="1">
      <c r="A9" s="8">
        <v>54</v>
      </c>
      <c r="B9" s="9"/>
      <c r="C9" s="9">
        <v>185000</v>
      </c>
      <c r="D9" s="10"/>
      <c r="E9" s="11"/>
      <c r="F9" s="197" t="s">
        <v>148</v>
      </c>
      <c r="G9" s="198"/>
      <c r="H9" s="198"/>
      <c r="I9" s="198"/>
      <c r="J9" s="198"/>
      <c r="K9" s="199"/>
    </row>
    <row r="10" spans="1:11" ht="20.45" customHeight="1">
      <c r="A10" s="8"/>
      <c r="B10" s="9"/>
      <c r="C10" s="9"/>
      <c r="D10" s="10"/>
      <c r="E10" s="11"/>
      <c r="F10" s="197"/>
      <c r="G10" s="198"/>
      <c r="H10" s="198"/>
      <c r="I10" s="198"/>
      <c r="J10" s="198"/>
      <c r="K10" s="199"/>
    </row>
    <row r="11" spans="1:11" ht="20.45" customHeight="1">
      <c r="A11" s="8"/>
      <c r="B11" s="9"/>
      <c r="C11" s="9"/>
      <c r="D11" s="10"/>
      <c r="E11" s="11"/>
      <c r="F11" s="197"/>
      <c r="G11" s="198"/>
      <c r="H11" s="198"/>
      <c r="I11" s="198"/>
      <c r="J11" s="198"/>
      <c r="K11" s="199"/>
    </row>
    <row r="12" spans="1:11" ht="20.45" customHeight="1">
      <c r="A12" s="8"/>
      <c r="B12" s="9"/>
      <c r="C12" s="9"/>
      <c r="D12" s="10"/>
      <c r="E12" s="11"/>
      <c r="F12" s="197"/>
      <c r="G12" s="198"/>
      <c r="H12" s="198"/>
      <c r="I12" s="198"/>
      <c r="J12" s="198"/>
      <c r="K12" s="199"/>
    </row>
    <row r="13" spans="1:11" ht="20.45" customHeight="1">
      <c r="A13" s="8"/>
      <c r="B13" s="9"/>
      <c r="C13" s="9"/>
      <c r="D13" s="10"/>
      <c r="E13" s="11"/>
      <c r="F13" s="197"/>
      <c r="G13" s="198"/>
      <c r="H13" s="198"/>
      <c r="I13" s="198"/>
      <c r="J13" s="198"/>
      <c r="K13" s="199"/>
    </row>
    <row r="14" spans="1:11" ht="20.45" customHeight="1">
      <c r="A14" s="8"/>
      <c r="B14" s="9"/>
      <c r="C14" s="9"/>
      <c r="D14" s="10"/>
      <c r="E14" s="11"/>
      <c r="F14" s="197"/>
      <c r="G14" s="198"/>
      <c r="H14" s="198"/>
      <c r="I14" s="198"/>
      <c r="J14" s="198"/>
      <c r="K14" s="199"/>
    </row>
    <row r="15" spans="1:11" ht="20.45" customHeight="1">
      <c r="A15" s="8"/>
      <c r="B15" s="9"/>
      <c r="C15" s="9"/>
      <c r="D15" s="10"/>
      <c r="E15" s="11"/>
      <c r="F15" s="197"/>
      <c r="G15" s="198"/>
      <c r="H15" s="198"/>
      <c r="I15" s="198"/>
      <c r="J15" s="198"/>
      <c r="K15" s="199"/>
    </row>
    <row r="16" spans="1:11" ht="20.45" customHeight="1">
      <c r="A16" s="8"/>
      <c r="B16" s="9"/>
      <c r="C16" s="9"/>
      <c r="D16" s="10"/>
      <c r="E16" s="11"/>
      <c r="F16" s="197"/>
      <c r="G16" s="198"/>
      <c r="H16" s="198"/>
      <c r="I16" s="198"/>
      <c r="J16" s="198"/>
      <c r="K16" s="199"/>
    </row>
    <row r="17" spans="1:11" ht="20.45" customHeight="1">
      <c r="A17" s="8"/>
      <c r="B17" s="9"/>
      <c r="C17" s="9"/>
      <c r="D17" s="10"/>
      <c r="E17" s="11"/>
      <c r="F17" s="197"/>
      <c r="G17" s="198"/>
      <c r="H17" s="198"/>
      <c r="I17" s="198"/>
      <c r="J17" s="198"/>
      <c r="K17" s="199"/>
    </row>
    <row r="18" spans="1:11" s="12" customFormat="1" ht="20.45" customHeight="1">
      <c r="A18" s="8"/>
      <c r="B18" s="9"/>
      <c r="C18" s="9"/>
      <c r="D18" s="10"/>
      <c r="E18" s="11"/>
      <c r="F18" s="197"/>
      <c r="G18" s="198"/>
      <c r="H18" s="198"/>
      <c r="I18" s="198"/>
      <c r="J18" s="198"/>
      <c r="K18" s="199"/>
    </row>
    <row r="19" spans="1:11" ht="20.45" customHeight="1">
      <c r="A19" s="8"/>
      <c r="B19" s="9"/>
      <c r="C19" s="9"/>
      <c r="D19" s="10"/>
      <c r="E19" s="11"/>
      <c r="F19" s="197"/>
      <c r="G19" s="198"/>
      <c r="H19" s="198"/>
      <c r="I19" s="198"/>
      <c r="J19" s="198"/>
      <c r="K19" s="199"/>
    </row>
    <row r="20" spans="1:11" s="12" customFormat="1" ht="20.45" customHeight="1">
      <c r="A20" s="8"/>
      <c r="B20" s="9"/>
      <c r="C20" s="9"/>
      <c r="D20" s="10"/>
      <c r="E20" s="11"/>
      <c r="F20" s="197"/>
      <c r="G20" s="198"/>
      <c r="H20" s="198"/>
      <c r="I20" s="198"/>
      <c r="J20" s="198"/>
      <c r="K20" s="199"/>
    </row>
    <row r="21" spans="1:11" ht="20.45" customHeight="1">
      <c r="A21" s="8"/>
      <c r="B21" s="9"/>
      <c r="C21" s="9"/>
      <c r="D21" s="10"/>
      <c r="E21" s="11"/>
      <c r="F21" s="197"/>
      <c r="G21" s="198"/>
      <c r="H21" s="198"/>
      <c r="I21" s="198"/>
      <c r="J21" s="198"/>
      <c r="K21" s="199"/>
    </row>
    <row r="22" spans="1:11" ht="20.45" customHeight="1">
      <c r="A22" s="8"/>
      <c r="B22" s="9"/>
      <c r="C22" s="9"/>
      <c r="D22" s="10"/>
      <c r="E22" s="11"/>
      <c r="F22" s="197"/>
      <c r="G22" s="198"/>
      <c r="H22" s="198"/>
      <c r="I22" s="198"/>
      <c r="J22" s="198"/>
      <c r="K22" s="199"/>
    </row>
    <row r="23" spans="1:11" ht="20.45" customHeight="1">
      <c r="A23" s="8"/>
      <c r="B23" s="9"/>
      <c r="C23" s="9"/>
      <c r="D23" s="10"/>
      <c r="E23" s="11"/>
      <c r="F23" s="197"/>
      <c r="G23" s="198"/>
      <c r="H23" s="198"/>
      <c r="I23" s="198"/>
      <c r="J23" s="198"/>
      <c r="K23" s="199"/>
    </row>
    <row r="24" spans="1:11" ht="20.25" customHeight="1">
      <c r="A24" s="14" t="s">
        <v>11</v>
      </c>
      <c r="B24" s="15">
        <f>SUM($B7:$B23)</f>
        <v>0</v>
      </c>
      <c r="C24" s="15">
        <f>SUM($C7:$C23)</f>
        <v>231970</v>
      </c>
      <c r="D24" s="15">
        <f>SUM($D7:$D23)</f>
        <v>0</v>
      </c>
      <c r="E24" s="15">
        <f>SUM($E7:$E23)</f>
        <v>0</v>
      </c>
      <c r="F24" s="106"/>
      <c r="G24" s="107"/>
      <c r="H24" s="108"/>
      <c r="I24" s="108"/>
      <c r="J24" s="108"/>
      <c r="K24" s="108"/>
    </row>
    <row r="25" spans="1:11" ht="3.75" customHeight="1">
      <c r="A25" s="13"/>
      <c r="B25" s="17"/>
      <c r="C25" s="17"/>
      <c r="D25" s="17"/>
      <c r="E25" s="18"/>
      <c r="F25" s="16"/>
      <c r="G25" s="16"/>
      <c r="H25" s="19"/>
      <c r="I25" s="19"/>
      <c r="J25" s="105"/>
      <c r="K25" s="19"/>
    </row>
    <row r="26" spans="1:11" ht="21.75" customHeight="1">
      <c r="A26" s="13"/>
      <c r="B26" s="17"/>
      <c r="C26" s="17"/>
      <c r="D26" s="17"/>
      <c r="E26" s="18"/>
      <c r="F26" s="16"/>
      <c r="G26" s="16"/>
      <c r="H26" s="19"/>
      <c r="I26" s="20"/>
      <c r="J26" s="21" t="s">
        <v>12</v>
      </c>
      <c r="K26" s="22">
        <f>$B$24+$C$24+$D$24+$E$24</f>
        <v>231970</v>
      </c>
    </row>
    <row r="27" spans="1:11" ht="12" customHeight="1">
      <c r="A27" s="13"/>
      <c r="B27" s="17"/>
      <c r="C27" s="17"/>
      <c r="D27" s="17"/>
      <c r="E27" s="18"/>
      <c r="F27" s="23"/>
      <c r="G27" s="23"/>
      <c r="H27" s="17"/>
      <c r="I27" s="17"/>
      <c r="J27" s="17"/>
      <c r="K27" s="24"/>
    </row>
    <row r="28" spans="1:11" ht="26.25" customHeight="1">
      <c r="A28" s="25"/>
      <c r="B28" s="27"/>
      <c r="C28" s="27"/>
      <c r="D28" s="27"/>
      <c r="E28" s="28"/>
      <c r="F28" s="26"/>
      <c r="G28" s="28" t="s">
        <v>13</v>
      </c>
      <c r="H28" s="27"/>
      <c r="I28" s="27"/>
      <c r="J28" s="27"/>
      <c r="K28" s="27"/>
    </row>
    <row r="29" spans="1:11" ht="19.5" customHeight="1">
      <c r="A29" s="158" t="s">
        <v>14</v>
      </c>
      <c r="B29" s="159"/>
      <c r="C29" s="29"/>
      <c r="D29" s="30" t="s">
        <v>15</v>
      </c>
      <c r="E29" s="31"/>
      <c r="F29" s="164" t="s">
        <v>16</v>
      </c>
      <c r="G29" s="164"/>
      <c r="H29" s="159"/>
      <c r="I29" s="166" t="s">
        <v>17</v>
      </c>
      <c r="J29" s="167"/>
      <c r="K29" s="168"/>
    </row>
    <row r="30" spans="1:11" ht="18.75" customHeight="1">
      <c r="A30" s="160"/>
      <c r="B30" s="161"/>
      <c r="C30" s="169" t="s">
        <v>18</v>
      </c>
      <c r="D30" s="170"/>
      <c r="E30" s="32" t="s">
        <v>19</v>
      </c>
      <c r="F30" s="165"/>
      <c r="G30" s="165"/>
      <c r="H30" s="161"/>
      <c r="I30" s="169" t="s">
        <v>18</v>
      </c>
      <c r="J30" s="170"/>
      <c r="K30" s="32" t="s">
        <v>19</v>
      </c>
    </row>
    <row r="31" spans="1:11" ht="15.75" customHeight="1">
      <c r="A31" s="160"/>
      <c r="B31" s="161"/>
      <c r="C31" s="33" t="s">
        <v>20</v>
      </c>
      <c r="D31" s="34"/>
      <c r="E31" s="35">
        <f>B24</f>
        <v>0</v>
      </c>
      <c r="F31" s="165"/>
      <c r="G31" s="165"/>
      <c r="H31" s="161"/>
      <c r="I31" s="33" t="s">
        <v>7</v>
      </c>
      <c r="J31" s="34"/>
      <c r="K31" s="36"/>
    </row>
    <row r="32" spans="1:11" ht="15.75" customHeight="1">
      <c r="A32" s="160"/>
      <c r="B32" s="161"/>
      <c r="C32" s="33" t="s">
        <v>21</v>
      </c>
      <c r="D32" s="37"/>
      <c r="E32" s="35">
        <f>C24</f>
        <v>231970</v>
      </c>
      <c r="F32" s="165"/>
      <c r="G32" s="165"/>
      <c r="H32" s="161"/>
      <c r="I32" s="38" t="s">
        <v>22</v>
      </c>
      <c r="J32" s="39"/>
      <c r="K32" s="40"/>
    </row>
    <row r="33" spans="1:11" ht="15.75" customHeight="1">
      <c r="A33" s="160"/>
      <c r="B33" s="161"/>
      <c r="C33" s="33" t="s">
        <v>23</v>
      </c>
      <c r="D33" s="37"/>
      <c r="E33" s="35">
        <f>D24</f>
        <v>0</v>
      </c>
      <c r="F33" s="165"/>
      <c r="G33" s="165"/>
      <c r="H33" s="161"/>
      <c r="I33" s="38" t="s">
        <v>24</v>
      </c>
      <c r="J33" s="39"/>
      <c r="K33" s="40"/>
    </row>
    <row r="34" spans="1:11" ht="15.75" customHeight="1">
      <c r="A34" s="160"/>
      <c r="B34" s="161"/>
      <c r="C34" s="33" t="s">
        <v>25</v>
      </c>
      <c r="D34" s="37"/>
      <c r="E34" s="35">
        <f>E24</f>
        <v>0</v>
      </c>
      <c r="F34" s="165"/>
      <c r="G34" s="165"/>
      <c r="H34" s="161"/>
      <c r="I34" s="38"/>
      <c r="J34" s="39"/>
      <c r="K34" s="40"/>
    </row>
    <row r="35" spans="1:11" ht="15.75" customHeight="1">
      <c r="A35" s="160"/>
      <c r="B35" s="161"/>
      <c r="C35" s="41" t="s">
        <v>12</v>
      </c>
      <c r="D35" s="42"/>
      <c r="E35" s="43">
        <f>SUM(E31:E34)</f>
        <v>231970</v>
      </c>
      <c r="F35" s="165"/>
      <c r="G35" s="165"/>
      <c r="H35" s="161"/>
      <c r="I35" s="38"/>
      <c r="J35" s="39"/>
      <c r="K35" s="40"/>
    </row>
    <row r="36" spans="1:11" ht="15.75" customHeight="1">
      <c r="A36" s="160"/>
      <c r="B36" s="161"/>
      <c r="C36" s="171" t="s">
        <v>26</v>
      </c>
      <c r="D36" s="172"/>
      <c r="E36" s="173"/>
      <c r="F36" s="165"/>
      <c r="G36" s="165"/>
      <c r="H36" s="161"/>
      <c r="I36" s="38"/>
      <c r="J36" s="39"/>
      <c r="K36" s="40"/>
    </row>
    <row r="37" spans="1:11" ht="15.75" customHeight="1">
      <c r="A37" s="160"/>
      <c r="B37" s="161"/>
      <c r="C37" s="169" t="s">
        <v>18</v>
      </c>
      <c r="D37" s="170"/>
      <c r="E37" s="32" t="s">
        <v>19</v>
      </c>
      <c r="F37" s="165"/>
      <c r="G37" s="165"/>
      <c r="H37" s="161"/>
      <c r="I37" s="38"/>
      <c r="J37" s="39"/>
      <c r="K37" s="40"/>
    </row>
    <row r="38" spans="1:11" ht="15.75" customHeight="1">
      <c r="A38" s="160"/>
      <c r="B38" s="161"/>
      <c r="C38" s="44" t="s">
        <v>7</v>
      </c>
      <c r="D38" s="45"/>
      <c r="E38" s="46"/>
      <c r="F38" s="165"/>
      <c r="G38" s="165"/>
      <c r="H38" s="161"/>
      <c r="I38" s="41" t="s">
        <v>27</v>
      </c>
      <c r="J38" s="42"/>
      <c r="K38" s="43">
        <f>SUM(K31:K37)</f>
        <v>0</v>
      </c>
    </row>
    <row r="39" spans="1:11" ht="15.75" customHeight="1">
      <c r="A39" s="160"/>
      <c r="B39" s="161"/>
      <c r="C39" s="47" t="s">
        <v>24</v>
      </c>
      <c r="D39" s="48"/>
      <c r="E39" s="49"/>
      <c r="F39" s="165"/>
      <c r="G39" s="165"/>
      <c r="H39" s="161"/>
      <c r="I39" s="166" t="s">
        <v>28</v>
      </c>
      <c r="J39" s="167"/>
      <c r="K39" s="168"/>
    </row>
    <row r="40" spans="1:11" ht="18.75" customHeight="1">
      <c r="A40" s="162"/>
      <c r="B40" s="163"/>
      <c r="C40" s="41" t="s">
        <v>29</v>
      </c>
      <c r="D40" s="42"/>
      <c r="E40" s="43">
        <f>SUM(E38:E39)</f>
        <v>0</v>
      </c>
      <c r="F40" s="165"/>
      <c r="G40" s="165"/>
      <c r="H40" s="161"/>
      <c r="I40" s="38" t="s">
        <v>30</v>
      </c>
      <c r="J40" s="48"/>
      <c r="K40" s="49"/>
    </row>
    <row r="41" spans="1:11" ht="15.75" customHeight="1">
      <c r="A41" s="13"/>
      <c r="B41" s="50"/>
      <c r="C41" s="51"/>
      <c r="D41" s="52" t="s">
        <v>31</v>
      </c>
      <c r="E41" s="53">
        <f>E35+E40</f>
        <v>231970</v>
      </c>
      <c r="F41" s="54"/>
      <c r="G41" s="54"/>
      <c r="H41" s="55"/>
      <c r="I41" s="51"/>
      <c r="J41" s="52" t="s">
        <v>32</v>
      </c>
      <c r="K41" s="53">
        <f>K38+K40</f>
        <v>0</v>
      </c>
    </row>
    <row r="42" spans="1:11" ht="11.25" customHeight="1">
      <c r="A42" s="13"/>
      <c r="B42" s="18"/>
      <c r="C42" s="18"/>
      <c r="D42" s="18"/>
      <c r="E42" s="18"/>
      <c r="F42" s="57"/>
      <c r="G42" s="57"/>
      <c r="H42" s="135"/>
      <c r="I42" s="135"/>
      <c r="J42" s="17"/>
      <c r="K42" s="17"/>
    </row>
    <row r="43" spans="1:11" ht="28.5">
      <c r="A43" s="25"/>
      <c r="B43" s="27"/>
      <c r="C43" s="27"/>
      <c r="D43" s="27"/>
      <c r="E43" s="28"/>
      <c r="F43" s="26"/>
      <c r="G43" s="28" t="s">
        <v>33</v>
      </c>
      <c r="H43" s="27"/>
      <c r="I43" s="27"/>
      <c r="J43" s="27"/>
      <c r="K43" s="27"/>
    </row>
    <row r="44" spans="1:11" ht="17.100000000000001" customHeight="1">
      <c r="A44" s="136" t="s">
        <v>34</v>
      </c>
      <c r="B44" s="137"/>
      <c r="C44" s="58" t="s">
        <v>35</v>
      </c>
      <c r="D44" s="58" t="s">
        <v>36</v>
      </c>
      <c r="E44" s="59" t="s">
        <v>19</v>
      </c>
      <c r="F44" s="142" t="s">
        <v>37</v>
      </c>
      <c r="G44" s="143"/>
      <c r="H44" s="137"/>
      <c r="I44" s="58" t="s">
        <v>35</v>
      </c>
      <c r="J44" s="58" t="s">
        <v>36</v>
      </c>
      <c r="K44" s="58" t="s">
        <v>19</v>
      </c>
    </row>
    <row r="45" spans="1:11" ht="17.100000000000001" customHeight="1">
      <c r="A45" s="138"/>
      <c r="B45" s="139"/>
      <c r="C45" s="60">
        <v>20000</v>
      </c>
      <c r="D45" s="61"/>
      <c r="E45" s="62">
        <f>C45*D45</f>
        <v>0</v>
      </c>
      <c r="F45" s="144"/>
      <c r="G45" s="145"/>
      <c r="H45" s="139"/>
      <c r="I45" s="60">
        <v>500</v>
      </c>
      <c r="J45" s="61">
        <v>3</v>
      </c>
      <c r="K45" s="63">
        <f>I45*J45</f>
        <v>1500</v>
      </c>
    </row>
    <row r="46" spans="1:11" ht="17.100000000000001" customHeight="1">
      <c r="A46" s="138"/>
      <c r="B46" s="139"/>
      <c r="C46" s="60">
        <v>10000</v>
      </c>
      <c r="D46" s="61">
        <v>2</v>
      </c>
      <c r="E46" s="62">
        <f>C46*D46</f>
        <v>20000</v>
      </c>
      <c r="F46" s="144"/>
      <c r="G46" s="145"/>
      <c r="H46" s="139"/>
      <c r="I46" s="60">
        <v>100</v>
      </c>
      <c r="J46" s="61">
        <v>30</v>
      </c>
      <c r="K46" s="63">
        <f>I46*J46</f>
        <v>3000</v>
      </c>
    </row>
    <row r="47" spans="1:11" ht="17.100000000000001" customHeight="1">
      <c r="A47" s="138"/>
      <c r="B47" s="139"/>
      <c r="C47" s="60">
        <v>5000</v>
      </c>
      <c r="D47" s="61">
        <v>4</v>
      </c>
      <c r="E47" s="62">
        <f>C47*D47</f>
        <v>20000</v>
      </c>
      <c r="F47" s="144"/>
      <c r="G47" s="145"/>
      <c r="H47" s="139"/>
      <c r="I47" s="60">
        <v>50</v>
      </c>
      <c r="J47" s="61">
        <v>8</v>
      </c>
      <c r="K47" s="63">
        <f>I47*J47</f>
        <v>400</v>
      </c>
    </row>
    <row r="48" spans="1:11" ht="17.100000000000001" customHeight="1">
      <c r="A48" s="138"/>
      <c r="B48" s="139"/>
      <c r="C48" s="60">
        <v>2000</v>
      </c>
      <c r="D48" s="61"/>
      <c r="E48" s="62">
        <f>C48*D48</f>
        <v>0</v>
      </c>
      <c r="F48" s="144"/>
      <c r="G48" s="145"/>
      <c r="H48" s="139"/>
      <c r="I48" s="60">
        <v>10</v>
      </c>
      <c r="J48" s="61">
        <v>15</v>
      </c>
      <c r="K48" s="63">
        <f>I48*J48</f>
        <v>150</v>
      </c>
    </row>
    <row r="49" spans="1:11" ht="17.100000000000001" customHeight="1">
      <c r="A49" s="140"/>
      <c r="B49" s="141"/>
      <c r="C49" s="60">
        <v>1000</v>
      </c>
      <c r="D49" s="61">
        <v>23</v>
      </c>
      <c r="E49" s="62">
        <f>C49*D49</f>
        <v>23000</v>
      </c>
      <c r="F49" s="146"/>
      <c r="G49" s="147"/>
      <c r="H49" s="141"/>
      <c r="I49" s="60"/>
      <c r="J49" s="64"/>
      <c r="K49" s="63"/>
    </row>
    <row r="50" spans="1:11" ht="18.75">
      <c r="A50" s="13"/>
      <c r="B50" s="65"/>
      <c r="C50" s="66"/>
      <c r="D50" s="67" t="s">
        <v>38</v>
      </c>
      <c r="E50" s="68">
        <f>SUM(E45:E49)</f>
        <v>63000</v>
      </c>
      <c r="F50" s="54"/>
      <c r="G50" s="54"/>
      <c r="H50" s="55"/>
      <c r="I50" s="66"/>
      <c r="J50" s="67" t="s">
        <v>39</v>
      </c>
      <c r="K50" s="68">
        <f>SUM(K45:K49)</f>
        <v>5050</v>
      </c>
    </row>
    <row r="51" spans="1:11" ht="18.75">
      <c r="A51" s="13"/>
      <c r="B51" s="18"/>
      <c r="C51" s="18"/>
      <c r="D51" s="18"/>
      <c r="E51" s="18"/>
      <c r="F51" s="16"/>
      <c r="G51" s="16"/>
      <c r="H51" s="65"/>
      <c r="I51" s="65"/>
      <c r="J51" s="17"/>
      <c r="K51" s="17"/>
    </row>
    <row r="52" spans="1:11" ht="18" customHeight="1">
      <c r="A52" s="13"/>
      <c r="B52" s="18"/>
      <c r="C52" s="18"/>
      <c r="D52" s="18"/>
      <c r="E52" s="18"/>
      <c r="F52" s="69"/>
      <c r="G52" s="69"/>
      <c r="H52" s="70" t="s">
        <v>40</v>
      </c>
      <c r="I52" s="71"/>
      <c r="J52" s="69"/>
      <c r="K52" s="17"/>
    </row>
    <row r="53" spans="1:11" ht="4.5" customHeight="1">
      <c r="A53" s="13"/>
      <c r="B53" s="18"/>
      <c r="C53" s="18"/>
      <c r="D53" s="18"/>
      <c r="E53" s="18"/>
      <c r="F53" s="16"/>
      <c r="G53" s="16"/>
      <c r="H53" s="17"/>
      <c r="I53" s="17"/>
      <c r="J53" s="17"/>
      <c r="K53" s="17"/>
    </row>
    <row r="54" spans="1:11" ht="15" customHeight="1">
      <c r="A54" s="72"/>
      <c r="B54" s="148" t="s">
        <v>41</v>
      </c>
      <c r="C54" s="149"/>
      <c r="D54" s="150"/>
      <c r="E54" s="18"/>
      <c r="F54" s="73"/>
      <c r="G54" s="73"/>
      <c r="H54" s="74" t="s">
        <v>42</v>
      </c>
      <c r="I54" s="75">
        <f>'09-07-2024'!I68</f>
        <v>68050</v>
      </c>
      <c r="J54" s="76"/>
      <c r="K54" s="17"/>
    </row>
    <row r="55" spans="1:11" ht="4.5" customHeight="1">
      <c r="A55" s="72"/>
      <c r="B55" s="151"/>
      <c r="C55" s="152"/>
      <c r="D55" s="153"/>
      <c r="E55" s="18"/>
      <c r="F55" s="16"/>
      <c r="G55" s="16"/>
      <c r="H55" s="17"/>
      <c r="I55" s="77"/>
      <c r="J55" s="17"/>
      <c r="K55" s="17"/>
    </row>
    <row r="56" spans="1:11" ht="18.75" customHeight="1">
      <c r="A56" s="78"/>
      <c r="B56" s="154"/>
      <c r="C56" s="154"/>
      <c r="D56" s="154"/>
      <c r="E56" s="18"/>
      <c r="F56" s="79"/>
      <c r="G56" s="79"/>
      <c r="H56" s="80" t="s">
        <v>43</v>
      </c>
      <c r="I56" s="81">
        <f>E50+K50</f>
        <v>68050</v>
      </c>
      <c r="J56" s="82"/>
      <c r="K56" s="17"/>
    </row>
    <row r="57" spans="1:11" ht="4.5" customHeight="1">
      <c r="A57" s="78"/>
      <c r="B57" s="154"/>
      <c r="C57" s="154"/>
      <c r="D57" s="154"/>
      <c r="E57" s="18"/>
      <c r="F57" s="56"/>
      <c r="G57" s="56"/>
      <c r="H57" s="57"/>
      <c r="I57" s="83"/>
      <c r="J57" s="65"/>
      <c r="K57" s="17"/>
    </row>
    <row r="58" spans="1:11" ht="18.75">
      <c r="A58" s="78"/>
      <c r="B58" s="154"/>
      <c r="C58" s="154"/>
      <c r="D58" s="154"/>
      <c r="E58" s="18"/>
      <c r="F58" s="79"/>
      <c r="G58" s="79"/>
      <c r="H58" s="80" t="s">
        <v>12</v>
      </c>
      <c r="I58" s="81">
        <f>K26</f>
        <v>231970</v>
      </c>
      <c r="J58" s="82"/>
      <c r="K58" s="24"/>
    </row>
    <row r="59" spans="1:11" ht="4.5" customHeight="1">
      <c r="A59" s="78"/>
      <c r="B59" s="154"/>
      <c r="C59" s="154"/>
      <c r="D59" s="154"/>
      <c r="E59" s="18"/>
      <c r="F59" s="56"/>
      <c r="G59" s="56"/>
      <c r="H59" s="57"/>
      <c r="I59" s="83"/>
      <c r="J59" s="18"/>
      <c r="K59" s="17"/>
    </row>
    <row r="60" spans="1:11" ht="18.75">
      <c r="A60" s="78"/>
      <c r="B60" s="154"/>
      <c r="C60" s="154"/>
      <c r="D60" s="154"/>
      <c r="E60" s="18"/>
      <c r="F60" s="84"/>
      <c r="G60" s="84"/>
      <c r="H60" s="85" t="s">
        <v>26</v>
      </c>
      <c r="I60" s="86">
        <f>E38</f>
        <v>0</v>
      </c>
      <c r="J60" s="82"/>
      <c r="K60" s="17"/>
    </row>
    <row r="61" spans="1:11" ht="4.5" customHeight="1">
      <c r="A61" s="78"/>
      <c r="B61" s="154"/>
      <c r="C61" s="154"/>
      <c r="D61" s="154"/>
      <c r="E61" s="18"/>
      <c r="F61" s="13"/>
      <c r="G61" s="13"/>
      <c r="H61" s="16"/>
      <c r="I61" s="77"/>
      <c r="J61" s="17"/>
      <c r="K61" s="17"/>
    </row>
    <row r="62" spans="1:11" ht="18.75">
      <c r="A62" s="78"/>
      <c r="B62" s="154"/>
      <c r="C62" s="154"/>
      <c r="D62" s="154"/>
      <c r="E62" s="18"/>
      <c r="F62" s="84"/>
      <c r="G62" s="84"/>
      <c r="H62" s="85" t="s">
        <v>17</v>
      </c>
      <c r="I62" s="86">
        <f>K31+K40</f>
        <v>0</v>
      </c>
      <c r="J62" s="82"/>
      <c r="K62" s="17"/>
    </row>
    <row r="63" spans="1:11" ht="4.5" customHeight="1">
      <c r="A63" s="78"/>
      <c r="B63" s="154"/>
      <c r="C63" s="154"/>
      <c r="D63" s="154"/>
      <c r="E63" s="18"/>
      <c r="F63" s="13"/>
      <c r="G63" s="13"/>
      <c r="H63" s="16"/>
      <c r="I63" s="77"/>
      <c r="J63" s="17"/>
      <c r="K63" s="17"/>
    </row>
    <row r="64" spans="1:11" ht="18.75">
      <c r="A64" s="78"/>
      <c r="B64" s="154"/>
      <c r="C64" s="154"/>
      <c r="D64" s="154"/>
      <c r="E64" s="18"/>
      <c r="F64" s="84"/>
      <c r="G64" s="84"/>
      <c r="H64" s="85" t="s">
        <v>44</v>
      </c>
      <c r="I64" s="86">
        <f>I54+I58+I60-I62</f>
        <v>300020</v>
      </c>
      <c r="J64" s="87"/>
      <c r="K64" s="17"/>
    </row>
    <row r="65" spans="1:11" ht="4.5" customHeight="1">
      <c r="A65" s="13"/>
      <c r="B65" s="154"/>
      <c r="C65" s="154"/>
      <c r="D65" s="154"/>
      <c r="E65" s="18"/>
      <c r="F65" s="16"/>
      <c r="G65" s="16"/>
      <c r="H65" s="18"/>
      <c r="I65" s="77"/>
      <c r="J65" s="17"/>
      <c r="K65" s="17"/>
    </row>
    <row r="66" spans="1:11" ht="18.75">
      <c r="A66" s="13"/>
      <c r="B66" s="154"/>
      <c r="C66" s="154"/>
      <c r="D66" s="154"/>
      <c r="E66" s="18"/>
      <c r="F66" s="73"/>
      <c r="G66" s="73"/>
      <c r="H66" s="74" t="s">
        <v>45</v>
      </c>
      <c r="I66" s="86">
        <f>I64-I54</f>
        <v>231970</v>
      </c>
      <c r="J66" s="88"/>
      <c r="K66" s="17"/>
    </row>
    <row r="67" spans="1:11" ht="4.5" customHeight="1">
      <c r="A67" s="78"/>
      <c r="B67" s="154"/>
      <c r="C67" s="154"/>
      <c r="D67" s="154"/>
      <c r="E67" s="18"/>
      <c r="F67" s="16"/>
      <c r="G67" s="16"/>
      <c r="H67" s="16"/>
      <c r="I67" s="77"/>
      <c r="J67" s="17"/>
      <c r="K67" s="17"/>
    </row>
    <row r="68" spans="1:11" ht="18.75">
      <c r="A68" s="13"/>
      <c r="B68" s="154"/>
      <c r="C68" s="154"/>
      <c r="D68" s="154"/>
      <c r="E68" s="18"/>
      <c r="F68" s="79"/>
      <c r="G68" s="79"/>
      <c r="H68" s="80" t="s">
        <v>46</v>
      </c>
      <c r="I68" s="86">
        <f>I54+E31+(E38-(K31+K40))</f>
        <v>68050</v>
      </c>
      <c r="J68" s="88"/>
      <c r="K68" s="17"/>
    </row>
    <row r="69" spans="1:11" ht="4.5" customHeight="1">
      <c r="A69" s="78"/>
      <c r="B69" s="154"/>
      <c r="C69" s="154"/>
      <c r="D69" s="154"/>
      <c r="E69" s="18"/>
      <c r="F69" s="16"/>
      <c r="G69" s="16"/>
      <c r="H69" s="16"/>
      <c r="I69" s="77"/>
      <c r="J69" s="17"/>
      <c r="K69" s="17"/>
    </row>
    <row r="70" spans="1:11" ht="18.75" customHeight="1">
      <c r="A70" s="78"/>
      <c r="B70" s="154"/>
      <c r="C70" s="154"/>
      <c r="D70" s="154"/>
      <c r="E70" s="18"/>
      <c r="F70" s="79"/>
      <c r="G70" s="79"/>
      <c r="H70" s="80" t="s">
        <v>47</v>
      </c>
      <c r="I70" s="89">
        <f>I56-I68</f>
        <v>0</v>
      </c>
      <c r="J70" s="90"/>
      <c r="K70" s="17"/>
    </row>
    <row r="71" spans="1:11" ht="15" customHeight="1">
      <c r="A71" s="91"/>
      <c r="B71" s="92"/>
      <c r="C71" s="92"/>
      <c r="D71" s="92"/>
      <c r="E71" s="93"/>
      <c r="F71" s="94"/>
      <c r="G71" s="94"/>
      <c r="H71" s="95"/>
      <c r="I71" s="95"/>
      <c r="J71" s="95"/>
      <c r="K71" s="95"/>
    </row>
    <row r="72" spans="1:11" ht="15" customHeight="1">
      <c r="A72" s="91"/>
      <c r="B72" s="92"/>
      <c r="C72" s="92"/>
      <c r="D72" s="92"/>
      <c r="E72" s="93"/>
      <c r="F72" s="94"/>
      <c r="G72" s="94"/>
      <c r="H72" s="95"/>
      <c r="I72" s="95"/>
      <c r="J72" s="95"/>
      <c r="K72" s="95"/>
    </row>
    <row r="73" spans="1:11" ht="15" customHeight="1">
      <c r="A73" s="91"/>
      <c r="B73" s="92"/>
      <c r="C73" s="92"/>
      <c r="D73" s="92"/>
      <c r="E73" s="93"/>
      <c r="F73" s="94"/>
      <c r="G73" s="94"/>
      <c r="H73" s="95"/>
      <c r="I73" s="95"/>
      <c r="J73" s="95"/>
      <c r="K73" s="95"/>
    </row>
    <row r="74" spans="1:11" ht="15" customHeight="1">
      <c r="A74" s="91"/>
      <c r="B74" s="92"/>
      <c r="C74" s="92"/>
      <c r="D74" s="92"/>
      <c r="E74" s="93"/>
      <c r="F74" s="94"/>
      <c r="G74" s="94"/>
      <c r="H74" s="95"/>
      <c r="I74" s="95"/>
      <c r="J74" s="95"/>
      <c r="K74" s="95"/>
    </row>
    <row r="75" spans="1:11" ht="15.75" customHeight="1">
      <c r="A75" s="91"/>
      <c r="B75" s="92"/>
      <c r="C75" s="92"/>
      <c r="D75" s="92"/>
      <c r="E75" s="93"/>
      <c r="F75" s="94"/>
      <c r="G75" s="94"/>
      <c r="H75" s="95"/>
      <c r="I75" s="95"/>
      <c r="J75" s="95"/>
      <c r="K75" s="95"/>
    </row>
    <row r="76" spans="1:11" ht="14.25" customHeight="1">
      <c r="A76" s="91"/>
      <c r="B76" s="92"/>
      <c r="C76" s="92"/>
      <c r="D76" s="92"/>
      <c r="E76" s="93"/>
      <c r="F76" s="94"/>
      <c r="G76" s="94"/>
      <c r="H76" s="95"/>
      <c r="I76" s="95"/>
      <c r="J76" s="95"/>
      <c r="K76" s="95"/>
    </row>
    <row r="77" spans="1:11">
      <c r="A77" s="96"/>
      <c r="B77" s="98"/>
      <c r="C77" s="98"/>
      <c r="D77" s="98"/>
      <c r="E77" s="98"/>
      <c r="F77" s="97"/>
      <c r="G77" s="97"/>
      <c r="H77" s="99"/>
      <c r="I77" s="99"/>
      <c r="J77" s="99"/>
      <c r="K77" s="99"/>
    </row>
    <row r="78" spans="1:11">
      <c r="D78" s="102"/>
      <c r="E78" s="102"/>
    </row>
    <row r="79" spans="1:11">
      <c r="D79" s="102"/>
      <c r="E79" s="102"/>
      <c r="H79" s="102"/>
    </row>
    <row r="80" spans="1:11">
      <c r="D80" s="102"/>
      <c r="E80" s="102"/>
      <c r="H80" s="102"/>
    </row>
    <row r="81" spans="4:11">
      <c r="D81" s="102"/>
      <c r="E81" s="102"/>
      <c r="H81" s="102"/>
      <c r="I81" s="102"/>
      <c r="J81" s="102"/>
      <c r="K81" s="102"/>
    </row>
    <row r="82" spans="4:11">
      <c r="D82" s="102"/>
      <c r="E82" s="102"/>
      <c r="H82" s="102"/>
      <c r="I82" s="102"/>
      <c r="J82" s="102"/>
      <c r="K82" s="102"/>
    </row>
    <row r="83" spans="4:11">
      <c r="D83" s="102"/>
      <c r="E83" s="102"/>
      <c r="H83" s="102"/>
      <c r="I83" s="102"/>
      <c r="J83" s="102"/>
      <c r="K83" s="102"/>
    </row>
    <row r="84" spans="4:11">
      <c r="D84" s="102"/>
      <c r="E84" s="102"/>
      <c r="H84" s="102"/>
      <c r="I84" s="102"/>
      <c r="J84" s="102"/>
      <c r="K84" s="102"/>
    </row>
    <row r="85" spans="4:11">
      <c r="D85" s="102"/>
      <c r="E85" s="102"/>
      <c r="H85" s="102"/>
      <c r="I85" s="102"/>
      <c r="J85" s="102"/>
      <c r="K85" s="102"/>
    </row>
    <row r="86" spans="4:11">
      <c r="D86" s="102"/>
      <c r="E86" s="102"/>
      <c r="H86" s="102"/>
      <c r="I86" s="102"/>
      <c r="J86" s="102"/>
      <c r="K86" s="102"/>
    </row>
    <row r="87" spans="4:11">
      <c r="D87" s="102"/>
      <c r="E87" s="102"/>
      <c r="H87" s="102"/>
      <c r="I87" s="102"/>
      <c r="J87" s="102"/>
      <c r="K87" s="102"/>
    </row>
    <row r="88" spans="4:11">
      <c r="D88" s="102"/>
      <c r="E88" s="102"/>
      <c r="H88" s="102"/>
      <c r="I88" s="102"/>
      <c r="J88" s="102"/>
      <c r="K88" s="102"/>
    </row>
  </sheetData>
  <mergeCells count="39">
    <mergeCell ref="H42:I42"/>
    <mergeCell ref="A44:B49"/>
    <mergeCell ref="F44:H49"/>
    <mergeCell ref="B54:D55"/>
    <mergeCell ref="B56:D70"/>
    <mergeCell ref="F22:K22"/>
    <mergeCell ref="F23:K23"/>
    <mergeCell ref="A29:B40"/>
    <mergeCell ref="F29:H40"/>
    <mergeCell ref="I29:K29"/>
    <mergeCell ref="C30:D30"/>
    <mergeCell ref="I30:J30"/>
    <mergeCell ref="C36:E36"/>
    <mergeCell ref="C37:D37"/>
    <mergeCell ref="I39:K39"/>
    <mergeCell ref="F21:K21"/>
    <mergeCell ref="F10:K10"/>
    <mergeCell ref="F11:K11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9:K9"/>
    <mergeCell ref="A1:B1"/>
    <mergeCell ref="C1:E1"/>
    <mergeCell ref="F1:G1"/>
    <mergeCell ref="H1:K1"/>
    <mergeCell ref="A3:K3"/>
    <mergeCell ref="A4:K4"/>
    <mergeCell ref="A5:A6"/>
    <mergeCell ref="B5:E5"/>
    <mergeCell ref="F5:K6"/>
    <mergeCell ref="F7:K7"/>
    <mergeCell ref="F8:K8"/>
  </mergeCells>
  <conditionalFormatting sqref="I70">
    <cfRule type="expression" dxfId="14" priority="1">
      <formula>$I70=0</formula>
    </cfRule>
    <cfRule type="expression" dxfId="13" priority="2">
      <formula>$I70&gt;=1</formula>
    </cfRule>
    <cfRule type="expression" dxfId="12" priority="3">
      <formula>$I70&lt;=-1</formula>
    </cfRule>
  </conditionalFormatting>
  <pageMargins left="0.25" right="0.25" top="0.75" bottom="0.75" header="0.3" footer="0.3"/>
  <pageSetup scale="58" fitToWidth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56C9-9C09-4B8C-98CA-BEE57327AF2D}">
  <sheetPr>
    <tabColor theme="2"/>
    <pageSetUpPr fitToPage="1"/>
  </sheetPr>
  <dimension ref="A1:K88"/>
  <sheetViews>
    <sheetView showWhiteSpace="0" view="pageLayout" zoomScale="80" zoomScaleNormal="80" zoomScalePageLayoutView="80" workbookViewId="0">
      <selection activeCell="D13" sqref="D13"/>
    </sheetView>
  </sheetViews>
  <sheetFormatPr defaultColWidth="20.7109375" defaultRowHeight="15"/>
  <cols>
    <col min="1" max="1" width="13.5703125" style="100" customWidth="1"/>
    <col min="2" max="3" width="13.7109375" style="102" customWidth="1"/>
    <col min="4" max="4" width="13.7109375" style="103" customWidth="1"/>
    <col min="5" max="5" width="14.7109375" style="104" customWidth="1"/>
    <col min="6" max="7" width="13.7109375" style="101" customWidth="1"/>
    <col min="8" max="10" width="13.7109375" style="103" customWidth="1"/>
    <col min="11" max="11" width="28.140625" style="103" customWidth="1"/>
    <col min="12" max="14" width="6.7109375" customWidth="1"/>
    <col min="15" max="17" width="10.7109375" customWidth="1"/>
    <col min="18" max="18" width="17.42578125" customWidth="1"/>
    <col min="19" max="19" width="10.7109375" customWidth="1"/>
    <col min="20" max="23" width="6.7109375" customWidth="1"/>
    <col min="24" max="26" width="10.7109375" customWidth="1"/>
    <col min="27" max="27" width="17.42578125" customWidth="1"/>
    <col min="28" max="28" width="10.7109375" customWidth="1"/>
    <col min="29" max="32" width="6.7109375" customWidth="1"/>
    <col min="33" max="35" width="10.7109375" customWidth="1"/>
    <col min="36" max="36" width="17.42578125" customWidth="1"/>
    <col min="37" max="37" width="10.7109375" customWidth="1"/>
    <col min="38" max="41" width="6.7109375" customWidth="1"/>
    <col min="42" max="44" width="10.7109375" customWidth="1"/>
    <col min="45" max="45" width="17.42578125" customWidth="1"/>
    <col min="46" max="46" width="10.7109375" customWidth="1"/>
    <col min="47" max="50" width="6.7109375" customWidth="1"/>
    <col min="51" max="53" width="10.7109375" customWidth="1"/>
    <col min="54" max="54" width="17.42578125" customWidth="1"/>
    <col min="55" max="55" width="10.7109375" customWidth="1"/>
    <col min="56" max="59" width="6.7109375" customWidth="1"/>
    <col min="60" max="62" width="10.7109375" customWidth="1"/>
    <col min="63" max="63" width="17.42578125" customWidth="1"/>
    <col min="64" max="64" width="10.7109375" customWidth="1"/>
    <col min="65" max="68" width="6.7109375" customWidth="1"/>
    <col min="69" max="71" width="10.7109375" customWidth="1"/>
    <col min="72" max="72" width="17.42578125" customWidth="1"/>
    <col min="73" max="73" width="10.7109375" customWidth="1"/>
    <col min="74" max="77" width="6.7109375" customWidth="1"/>
    <col min="78" max="80" width="10.7109375" customWidth="1"/>
    <col min="81" max="81" width="17.42578125" customWidth="1"/>
    <col min="82" max="82" width="10.7109375" customWidth="1"/>
    <col min="83" max="86" width="6.7109375" customWidth="1"/>
    <col min="87" max="89" width="10.7109375" customWidth="1"/>
    <col min="90" max="90" width="17.42578125" customWidth="1"/>
    <col min="91" max="91" width="10.7109375" customWidth="1"/>
    <col min="92" max="95" width="6.7109375" customWidth="1"/>
    <col min="96" max="98" width="10.7109375" customWidth="1"/>
    <col min="99" max="99" width="17.42578125" customWidth="1"/>
    <col min="100" max="100" width="10.7109375" customWidth="1"/>
    <col min="101" max="104" width="6.7109375" customWidth="1"/>
    <col min="105" max="107" width="10.7109375" customWidth="1"/>
    <col min="108" max="108" width="17.42578125" customWidth="1"/>
    <col min="109" max="109" width="10.7109375" customWidth="1"/>
    <col min="110" max="113" width="6.7109375" customWidth="1"/>
    <col min="114" max="116" width="10.7109375" customWidth="1"/>
    <col min="117" max="117" width="17.42578125" customWidth="1"/>
    <col min="118" max="118" width="10.7109375" customWidth="1"/>
    <col min="119" max="122" width="6.7109375" customWidth="1"/>
    <col min="123" max="125" width="10.7109375" customWidth="1"/>
    <col min="126" max="126" width="17.42578125" customWidth="1"/>
    <col min="127" max="127" width="10.7109375" customWidth="1"/>
    <col min="128" max="131" width="6.7109375" customWidth="1"/>
    <col min="132" max="134" width="10.7109375" customWidth="1"/>
    <col min="135" max="135" width="17.42578125" customWidth="1"/>
    <col min="136" max="136" width="10.7109375" customWidth="1"/>
    <col min="137" max="140" width="6.7109375" customWidth="1"/>
    <col min="141" max="143" width="10.7109375" customWidth="1"/>
    <col min="144" max="144" width="17.42578125" customWidth="1"/>
    <col min="145" max="145" width="10.7109375" customWidth="1"/>
    <col min="146" max="149" width="6.7109375" customWidth="1"/>
    <col min="150" max="152" width="10.7109375" customWidth="1"/>
    <col min="153" max="153" width="17.42578125" customWidth="1"/>
    <col min="154" max="154" width="10.7109375" customWidth="1"/>
    <col min="155" max="158" width="6.7109375" customWidth="1"/>
    <col min="159" max="161" width="10.7109375" customWidth="1"/>
    <col min="162" max="162" width="17.42578125" customWidth="1"/>
    <col min="163" max="163" width="10.7109375" customWidth="1"/>
    <col min="164" max="167" width="6.7109375" customWidth="1"/>
    <col min="168" max="170" width="10.7109375" customWidth="1"/>
    <col min="171" max="171" width="17.42578125" customWidth="1"/>
    <col min="172" max="172" width="10.7109375" customWidth="1"/>
    <col min="173" max="176" width="6.7109375" customWidth="1"/>
    <col min="177" max="179" width="10.7109375" customWidth="1"/>
    <col min="180" max="180" width="17.42578125" customWidth="1"/>
    <col min="181" max="181" width="10.7109375" customWidth="1"/>
    <col min="182" max="185" width="6.7109375" customWidth="1"/>
    <col min="186" max="188" width="10.7109375" customWidth="1"/>
    <col min="189" max="189" width="17.42578125" customWidth="1"/>
    <col min="190" max="190" width="10.7109375" customWidth="1"/>
    <col min="191" max="194" width="6.7109375" customWidth="1"/>
    <col min="195" max="197" width="10.7109375" customWidth="1"/>
    <col min="198" max="198" width="17.42578125" customWidth="1"/>
    <col min="199" max="199" width="10.7109375" customWidth="1"/>
    <col min="200" max="203" width="6.7109375" customWidth="1"/>
    <col min="204" max="206" width="10.7109375" customWidth="1"/>
    <col min="207" max="207" width="17.42578125" customWidth="1"/>
    <col min="208" max="208" width="10.7109375" customWidth="1"/>
    <col min="209" max="212" width="6.7109375" customWidth="1"/>
    <col min="213" max="215" width="10.7109375" customWidth="1"/>
    <col min="216" max="216" width="17.42578125" customWidth="1"/>
    <col min="217" max="217" width="10.7109375" customWidth="1"/>
    <col min="218" max="221" width="6.7109375" customWidth="1"/>
    <col min="222" max="224" width="10.7109375" customWidth="1"/>
    <col min="225" max="225" width="17.42578125" customWidth="1"/>
    <col min="226" max="226" width="10.7109375" customWidth="1"/>
    <col min="227" max="230" width="6.7109375" customWidth="1"/>
    <col min="231" max="233" width="10.7109375" customWidth="1"/>
    <col min="234" max="234" width="17.42578125" customWidth="1"/>
    <col min="235" max="235" width="10.7109375" customWidth="1"/>
    <col min="236" max="239" width="6.7109375" customWidth="1"/>
    <col min="240" max="242" width="10.7109375" customWidth="1"/>
    <col min="243" max="243" width="17.42578125" customWidth="1"/>
    <col min="244" max="244" width="10.7109375" customWidth="1"/>
    <col min="245" max="248" width="6.7109375" customWidth="1"/>
    <col min="249" max="251" width="10.7109375" customWidth="1"/>
    <col min="252" max="252" width="17.42578125" customWidth="1"/>
    <col min="253" max="253" width="10.7109375" customWidth="1"/>
    <col min="254" max="257" width="6.7109375" customWidth="1"/>
    <col min="258" max="260" width="10.7109375" customWidth="1"/>
    <col min="261" max="261" width="17.42578125" customWidth="1"/>
    <col min="262" max="262" width="10.7109375" customWidth="1"/>
    <col min="263" max="266" width="6.7109375" customWidth="1"/>
    <col min="267" max="269" width="10.7109375" customWidth="1"/>
    <col min="270" max="270" width="17.42578125" customWidth="1"/>
    <col min="271" max="271" width="10.7109375" customWidth="1"/>
    <col min="272" max="275" width="6.7109375" customWidth="1"/>
    <col min="276" max="278" width="10.7109375" customWidth="1"/>
    <col min="279" max="279" width="17.42578125" customWidth="1"/>
    <col min="280" max="280" width="10.7109375" customWidth="1"/>
    <col min="281" max="284" width="6.7109375" customWidth="1"/>
    <col min="285" max="287" width="10.7109375" customWidth="1"/>
    <col min="288" max="288" width="17.42578125" customWidth="1"/>
    <col min="289" max="289" width="10.7109375" customWidth="1"/>
    <col min="290" max="293" width="6.7109375" customWidth="1"/>
    <col min="294" max="296" width="10.7109375" customWidth="1"/>
    <col min="297" max="297" width="17.42578125" customWidth="1"/>
    <col min="298" max="298" width="10.7109375" customWidth="1"/>
    <col min="299" max="302" width="6.7109375" customWidth="1"/>
    <col min="303" max="305" width="10.7109375" customWidth="1"/>
    <col min="306" max="306" width="17.42578125" customWidth="1"/>
    <col min="307" max="307" width="10.7109375" customWidth="1"/>
    <col min="308" max="311" width="6.7109375" customWidth="1"/>
    <col min="312" max="314" width="10.7109375" customWidth="1"/>
    <col min="315" max="315" width="17.42578125" customWidth="1"/>
    <col min="316" max="316" width="10.7109375" customWidth="1"/>
    <col min="317" max="320" width="6.7109375" customWidth="1"/>
    <col min="321" max="323" width="10.7109375" customWidth="1"/>
    <col min="324" max="324" width="17.42578125" customWidth="1"/>
    <col min="325" max="325" width="10.7109375" customWidth="1"/>
    <col min="326" max="329" width="6.7109375" customWidth="1"/>
    <col min="330" max="332" width="10.7109375" customWidth="1"/>
    <col min="333" max="333" width="17.42578125" customWidth="1"/>
    <col min="334" max="334" width="10.7109375" customWidth="1"/>
    <col min="335" max="338" width="6.7109375" customWidth="1"/>
    <col min="339" max="341" width="10.7109375" customWidth="1"/>
    <col min="342" max="342" width="17.42578125" customWidth="1"/>
    <col min="343" max="343" width="10.7109375" customWidth="1"/>
    <col min="344" max="347" width="6.7109375" customWidth="1"/>
    <col min="348" max="350" width="10.7109375" customWidth="1"/>
    <col min="351" max="351" width="17.42578125" customWidth="1"/>
    <col min="352" max="352" width="10.7109375" customWidth="1"/>
    <col min="353" max="356" width="6.7109375" customWidth="1"/>
    <col min="357" max="359" width="10.7109375" customWidth="1"/>
    <col min="360" max="360" width="17.42578125" customWidth="1"/>
    <col min="361" max="361" width="10.7109375" customWidth="1"/>
    <col min="362" max="365" width="6.7109375" customWidth="1"/>
    <col min="366" max="368" width="10.7109375" customWidth="1"/>
    <col min="369" max="369" width="17.42578125" customWidth="1"/>
    <col min="370" max="370" width="10.7109375" customWidth="1"/>
    <col min="371" max="374" width="6.7109375" customWidth="1"/>
    <col min="375" max="377" width="10.7109375" customWidth="1"/>
    <col min="378" max="378" width="17.42578125" customWidth="1"/>
    <col min="379" max="379" width="10.7109375" customWidth="1"/>
    <col min="380" max="383" width="6.7109375" customWidth="1"/>
    <col min="384" max="386" width="10.7109375" customWidth="1"/>
    <col min="387" max="387" width="17.42578125" customWidth="1"/>
    <col min="388" max="388" width="10.7109375" customWidth="1"/>
    <col min="389" max="392" width="6.7109375" customWidth="1"/>
    <col min="393" max="395" width="10.7109375" customWidth="1"/>
    <col min="396" max="396" width="17.42578125" customWidth="1"/>
    <col min="397" max="397" width="10.7109375" customWidth="1"/>
    <col min="398" max="401" width="6.7109375" customWidth="1"/>
    <col min="402" max="404" width="10.7109375" customWidth="1"/>
    <col min="405" max="405" width="17.42578125" customWidth="1"/>
    <col min="406" max="406" width="10.7109375" customWidth="1"/>
    <col min="407" max="410" width="6.7109375" customWidth="1"/>
    <col min="411" max="413" width="10.7109375" customWidth="1"/>
    <col min="414" max="414" width="17.42578125" customWidth="1"/>
    <col min="415" max="415" width="10.7109375" customWidth="1"/>
    <col min="416" max="419" width="6.7109375" customWidth="1"/>
    <col min="420" max="422" width="10.7109375" customWidth="1"/>
    <col min="423" max="423" width="17.42578125" customWidth="1"/>
    <col min="424" max="424" width="10.7109375" customWidth="1"/>
    <col min="425" max="428" width="6.7109375" customWidth="1"/>
    <col min="429" max="431" width="10.7109375" customWidth="1"/>
    <col min="432" max="432" width="17.42578125" customWidth="1"/>
    <col min="433" max="433" width="10.7109375" customWidth="1"/>
    <col min="434" max="437" width="6.7109375" customWidth="1"/>
    <col min="438" max="440" width="10.7109375" customWidth="1"/>
    <col min="441" max="441" width="17.42578125" customWidth="1"/>
    <col min="442" max="442" width="10.7109375" customWidth="1"/>
    <col min="443" max="446" width="6.7109375" customWidth="1"/>
    <col min="447" max="449" width="10.7109375" customWidth="1"/>
    <col min="450" max="450" width="17.42578125" customWidth="1"/>
    <col min="451" max="451" width="10.7109375" customWidth="1"/>
    <col min="452" max="455" width="6.7109375" customWidth="1"/>
    <col min="456" max="458" width="10.7109375" customWidth="1"/>
    <col min="459" max="459" width="17.42578125" customWidth="1"/>
    <col min="460" max="460" width="10.7109375" customWidth="1"/>
    <col min="461" max="464" width="6.7109375" customWidth="1"/>
    <col min="465" max="467" width="10.7109375" customWidth="1"/>
    <col min="468" max="468" width="17.42578125" customWidth="1"/>
    <col min="469" max="469" width="10.7109375" customWidth="1"/>
    <col min="470" max="473" width="6.7109375" customWidth="1"/>
    <col min="474" max="476" width="10.7109375" customWidth="1"/>
    <col min="477" max="477" width="17.42578125" customWidth="1"/>
    <col min="478" max="478" width="10.7109375" customWidth="1"/>
    <col min="479" max="482" width="6.7109375" customWidth="1"/>
    <col min="483" max="485" width="10.7109375" customWidth="1"/>
    <col min="486" max="486" width="17.42578125" customWidth="1"/>
    <col min="487" max="487" width="10.7109375" customWidth="1"/>
    <col min="488" max="491" width="6.7109375" customWidth="1"/>
    <col min="492" max="494" width="10.7109375" customWidth="1"/>
    <col min="495" max="495" width="17.42578125" customWidth="1"/>
    <col min="496" max="496" width="10.7109375" customWidth="1"/>
    <col min="497" max="500" width="6.7109375" customWidth="1"/>
    <col min="501" max="503" width="10.7109375" customWidth="1"/>
    <col min="504" max="504" width="17.42578125" customWidth="1"/>
    <col min="505" max="505" width="10.7109375" customWidth="1"/>
    <col min="506" max="509" width="6.7109375" customWidth="1"/>
    <col min="510" max="512" width="10.7109375" customWidth="1"/>
    <col min="513" max="513" width="17.42578125" customWidth="1"/>
    <col min="514" max="514" width="10.7109375" customWidth="1"/>
    <col min="515" max="518" width="6.7109375" customWidth="1"/>
    <col min="519" max="521" width="10.7109375" customWidth="1"/>
    <col min="522" max="522" width="17.42578125" customWidth="1"/>
    <col min="523" max="523" width="10.7109375" customWidth="1"/>
    <col min="524" max="527" width="6.7109375" customWidth="1"/>
    <col min="528" max="530" width="10.7109375" customWidth="1"/>
    <col min="531" max="531" width="17.42578125" customWidth="1"/>
    <col min="532" max="532" width="10.7109375" customWidth="1"/>
    <col min="533" max="536" width="6.7109375" customWidth="1"/>
    <col min="537" max="539" width="10.7109375" customWidth="1"/>
    <col min="540" max="540" width="17.42578125" customWidth="1"/>
    <col min="541" max="541" width="10.7109375" customWidth="1"/>
    <col min="542" max="545" width="6.7109375" customWidth="1"/>
    <col min="546" max="548" width="10.7109375" customWidth="1"/>
    <col min="549" max="549" width="17.42578125" customWidth="1"/>
    <col min="550" max="550" width="10.7109375" customWidth="1"/>
    <col min="551" max="554" width="6.7109375" customWidth="1"/>
    <col min="555" max="557" width="10.7109375" customWidth="1"/>
    <col min="558" max="558" width="17.42578125" customWidth="1"/>
    <col min="559" max="559" width="10.7109375" customWidth="1"/>
    <col min="560" max="563" width="6.7109375" customWidth="1"/>
    <col min="564" max="566" width="10.7109375" customWidth="1"/>
    <col min="567" max="567" width="17.42578125" customWidth="1"/>
    <col min="568" max="568" width="10.7109375" customWidth="1"/>
    <col min="569" max="572" width="6.7109375" customWidth="1"/>
    <col min="573" max="575" width="10.7109375" customWidth="1"/>
    <col min="576" max="576" width="17.42578125" customWidth="1"/>
    <col min="577" max="577" width="10.7109375" customWidth="1"/>
    <col min="578" max="581" width="6.7109375" customWidth="1"/>
    <col min="582" max="584" width="10.7109375" customWidth="1"/>
    <col min="585" max="585" width="17.42578125" customWidth="1"/>
    <col min="586" max="586" width="10.7109375" customWidth="1"/>
    <col min="587" max="590" width="6.7109375" customWidth="1"/>
    <col min="591" max="593" width="10.7109375" customWidth="1"/>
    <col min="594" max="594" width="17.42578125" customWidth="1"/>
    <col min="595" max="595" width="10.7109375" customWidth="1"/>
    <col min="596" max="599" width="6.7109375" customWidth="1"/>
    <col min="600" max="602" width="10.7109375" customWidth="1"/>
    <col min="603" max="603" width="17.42578125" customWidth="1"/>
    <col min="604" max="604" width="10.7109375" customWidth="1"/>
    <col min="605" max="608" width="6.7109375" customWidth="1"/>
    <col min="609" max="611" width="10.7109375" customWidth="1"/>
    <col min="612" max="612" width="17.42578125" customWidth="1"/>
    <col min="613" max="613" width="10.7109375" customWidth="1"/>
    <col min="614" max="617" width="6.7109375" customWidth="1"/>
    <col min="618" max="620" width="10.7109375" customWidth="1"/>
    <col min="621" max="621" width="17.42578125" customWidth="1"/>
    <col min="622" max="622" width="10.7109375" customWidth="1"/>
    <col min="623" max="626" width="6.7109375" customWidth="1"/>
    <col min="627" max="629" width="10.7109375" customWidth="1"/>
    <col min="630" max="630" width="17.42578125" customWidth="1"/>
    <col min="631" max="631" width="10.7109375" customWidth="1"/>
    <col min="632" max="635" width="6.7109375" customWidth="1"/>
    <col min="636" max="638" width="10.7109375" customWidth="1"/>
    <col min="639" max="639" width="17.42578125" customWidth="1"/>
    <col min="640" max="640" width="10.7109375" customWidth="1"/>
    <col min="641" max="644" width="6.7109375" customWidth="1"/>
    <col min="645" max="647" width="10.7109375" customWidth="1"/>
    <col min="648" max="648" width="17.42578125" customWidth="1"/>
    <col min="649" max="649" width="10.7109375" customWidth="1"/>
    <col min="650" max="653" width="6.7109375" customWidth="1"/>
    <col min="654" max="656" width="10.7109375" customWidth="1"/>
    <col min="657" max="657" width="17.42578125" customWidth="1"/>
    <col min="658" max="658" width="10.7109375" customWidth="1"/>
    <col min="659" max="662" width="6.7109375" customWidth="1"/>
    <col min="663" max="665" width="10.7109375" customWidth="1"/>
    <col min="666" max="666" width="17.42578125" customWidth="1"/>
    <col min="667" max="667" width="10.7109375" customWidth="1"/>
    <col min="668" max="671" width="6.7109375" customWidth="1"/>
    <col min="672" max="674" width="10.7109375" customWidth="1"/>
    <col min="675" max="675" width="17.42578125" customWidth="1"/>
    <col min="676" max="676" width="10.7109375" customWidth="1"/>
    <col min="677" max="680" width="6.7109375" customWidth="1"/>
    <col min="681" max="683" width="10.7109375" customWidth="1"/>
    <col min="684" max="684" width="17.42578125" customWidth="1"/>
    <col min="685" max="685" width="10.7109375" customWidth="1"/>
    <col min="686" max="689" width="6.7109375" customWidth="1"/>
    <col min="690" max="692" width="10.7109375" customWidth="1"/>
    <col min="693" max="693" width="17.42578125" customWidth="1"/>
    <col min="694" max="694" width="10.7109375" customWidth="1"/>
    <col min="695" max="698" width="6.7109375" customWidth="1"/>
    <col min="699" max="701" width="10.7109375" customWidth="1"/>
    <col min="702" max="702" width="17.42578125" customWidth="1"/>
  </cols>
  <sheetData>
    <row r="1" spans="1:11" ht="20.45" customHeight="1">
      <c r="A1" s="174" t="s">
        <v>0</v>
      </c>
      <c r="B1" s="175"/>
      <c r="C1" s="176">
        <v>45482</v>
      </c>
      <c r="D1" s="177"/>
      <c r="E1" s="178"/>
      <c r="F1" s="174" t="s">
        <v>1</v>
      </c>
      <c r="G1" s="175"/>
      <c r="H1" s="179" t="s">
        <v>155</v>
      </c>
      <c r="I1" s="180"/>
      <c r="J1" s="180"/>
      <c r="K1" s="181"/>
    </row>
    <row r="2" spans="1:11" ht="11.25" customHeight="1">
      <c r="A2" s="1"/>
      <c r="B2" s="2"/>
      <c r="C2" s="2"/>
      <c r="D2" s="2"/>
      <c r="E2" s="3"/>
      <c r="F2" s="3"/>
      <c r="G2" s="3"/>
      <c r="H2" s="2"/>
      <c r="I2" s="2"/>
      <c r="J2" s="2"/>
      <c r="K2" s="2"/>
    </row>
    <row r="3" spans="1:11" ht="27" customHeight="1">
      <c r="A3" s="182" t="s">
        <v>2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20.45" customHeight="1">
      <c r="A4" s="183" t="s">
        <v>3</v>
      </c>
      <c r="B4" s="184"/>
      <c r="C4" s="184"/>
      <c r="D4" s="184"/>
      <c r="E4" s="184"/>
      <c r="F4" s="184"/>
      <c r="G4" s="184"/>
      <c r="H4" s="184"/>
      <c r="I4" s="184"/>
      <c r="J4" s="184"/>
      <c r="K4" s="185"/>
    </row>
    <row r="5" spans="1:11" s="5" customFormat="1" ht="26.25" customHeight="1">
      <c r="A5" s="186" t="s">
        <v>4</v>
      </c>
      <c r="B5" s="188" t="s">
        <v>5</v>
      </c>
      <c r="C5" s="189"/>
      <c r="D5" s="189"/>
      <c r="E5" s="190"/>
      <c r="F5" s="191" t="s">
        <v>6</v>
      </c>
      <c r="G5" s="192"/>
      <c r="H5" s="192"/>
      <c r="I5" s="192"/>
      <c r="J5" s="192"/>
      <c r="K5" s="193"/>
    </row>
    <row r="6" spans="1:11" ht="20.25" customHeight="1">
      <c r="A6" s="187"/>
      <c r="B6" s="6" t="s">
        <v>7</v>
      </c>
      <c r="C6" s="6" t="s">
        <v>8</v>
      </c>
      <c r="D6" s="4" t="s">
        <v>9</v>
      </c>
      <c r="E6" s="7" t="s">
        <v>10</v>
      </c>
      <c r="F6" s="194"/>
      <c r="G6" s="195"/>
      <c r="H6" s="195"/>
      <c r="I6" s="195"/>
      <c r="J6" s="195"/>
      <c r="K6" s="196"/>
    </row>
    <row r="7" spans="1:11" ht="20.45" customHeight="1">
      <c r="A7" s="8">
        <v>68</v>
      </c>
      <c r="B7" s="9"/>
      <c r="C7" s="9">
        <v>21700</v>
      </c>
      <c r="D7" s="10"/>
      <c r="E7" s="11"/>
      <c r="F7" s="197" t="s">
        <v>156</v>
      </c>
      <c r="G7" s="198"/>
      <c r="H7" s="198"/>
      <c r="I7" s="198"/>
      <c r="J7" s="198"/>
      <c r="K7" s="199"/>
    </row>
    <row r="8" spans="1:11" ht="20.45" customHeight="1">
      <c r="A8" s="8">
        <v>46</v>
      </c>
      <c r="B8" s="9"/>
      <c r="C8" s="9">
        <v>14990</v>
      </c>
      <c r="D8" s="10"/>
      <c r="E8" s="11"/>
      <c r="F8" s="197" t="s">
        <v>157</v>
      </c>
      <c r="G8" s="198"/>
      <c r="H8" s="198"/>
      <c r="I8" s="198"/>
      <c r="J8" s="198"/>
      <c r="K8" s="199"/>
    </row>
    <row r="9" spans="1:11" ht="20.45" customHeight="1">
      <c r="A9" s="8">
        <v>49</v>
      </c>
      <c r="B9" s="9"/>
      <c r="C9" s="9"/>
      <c r="D9" s="10">
        <v>185000</v>
      </c>
      <c r="E9" s="11"/>
      <c r="F9" s="197" t="s">
        <v>158</v>
      </c>
      <c r="G9" s="198"/>
      <c r="H9" s="198"/>
      <c r="I9" s="198"/>
      <c r="J9" s="198"/>
      <c r="K9" s="199"/>
    </row>
    <row r="10" spans="1:11" ht="20.45" customHeight="1">
      <c r="A10" s="8">
        <v>50</v>
      </c>
      <c r="B10" s="9"/>
      <c r="C10" s="9">
        <v>24990</v>
      </c>
      <c r="D10" s="10"/>
      <c r="E10" s="11"/>
      <c r="F10" s="197" t="s">
        <v>159</v>
      </c>
      <c r="G10" s="198"/>
      <c r="H10" s="198"/>
      <c r="I10" s="198"/>
      <c r="J10" s="198"/>
      <c r="K10" s="199"/>
    </row>
    <row r="11" spans="1:11" ht="20.45" customHeight="1">
      <c r="A11" s="8">
        <v>69</v>
      </c>
      <c r="B11" s="9"/>
      <c r="C11" s="9">
        <v>7800</v>
      </c>
      <c r="D11" s="10"/>
      <c r="E11" s="11"/>
      <c r="F11" s="197" t="s">
        <v>160</v>
      </c>
      <c r="G11" s="198"/>
      <c r="H11" s="198"/>
      <c r="I11" s="198"/>
      <c r="J11" s="198"/>
      <c r="K11" s="199"/>
    </row>
    <row r="12" spans="1:11" ht="20.45" customHeight="1">
      <c r="A12" s="8">
        <v>51</v>
      </c>
      <c r="B12" s="9"/>
      <c r="C12" s="9">
        <v>37480</v>
      </c>
      <c r="D12" s="10"/>
      <c r="E12" s="11"/>
      <c r="F12" s="197" t="s">
        <v>161</v>
      </c>
      <c r="G12" s="198"/>
      <c r="H12" s="198"/>
      <c r="I12" s="198"/>
      <c r="J12" s="198"/>
      <c r="K12" s="199"/>
    </row>
    <row r="13" spans="1:11" ht="20.45" customHeight="1">
      <c r="A13" s="8">
        <v>70</v>
      </c>
      <c r="B13" s="9"/>
      <c r="C13" s="9"/>
      <c r="D13" s="10">
        <v>21700</v>
      </c>
      <c r="E13" s="11"/>
      <c r="F13" s="197" t="s">
        <v>162</v>
      </c>
      <c r="G13" s="198"/>
      <c r="H13" s="198"/>
      <c r="I13" s="198"/>
      <c r="J13" s="198"/>
      <c r="K13" s="199"/>
    </row>
    <row r="14" spans="1:11" ht="20.45" customHeight="1">
      <c r="A14" s="8"/>
      <c r="B14" s="9">
        <v>12400</v>
      </c>
      <c r="C14" s="9"/>
      <c r="D14" s="10"/>
      <c r="E14" s="11"/>
      <c r="F14" s="197" t="s">
        <v>163</v>
      </c>
      <c r="G14" s="198"/>
      <c r="H14" s="198"/>
      <c r="I14" s="198"/>
      <c r="J14" s="198"/>
      <c r="K14" s="199"/>
    </row>
    <row r="15" spans="1:11" ht="20.45" customHeight="1">
      <c r="A15" s="8"/>
      <c r="B15" s="9"/>
      <c r="C15" s="9"/>
      <c r="D15" s="10"/>
      <c r="E15" s="11"/>
      <c r="F15" s="197"/>
      <c r="G15" s="198"/>
      <c r="H15" s="198"/>
      <c r="I15" s="198"/>
      <c r="J15" s="198"/>
      <c r="K15" s="199"/>
    </row>
    <row r="16" spans="1:11" ht="20.45" customHeight="1">
      <c r="A16" s="8"/>
      <c r="B16" s="9"/>
      <c r="C16" s="9"/>
      <c r="D16" s="10"/>
      <c r="E16" s="11"/>
      <c r="F16" s="197"/>
      <c r="G16" s="198"/>
      <c r="H16" s="198"/>
      <c r="I16" s="198"/>
      <c r="J16" s="198"/>
      <c r="K16" s="199"/>
    </row>
    <row r="17" spans="1:11" ht="20.45" customHeight="1">
      <c r="A17" s="8"/>
      <c r="B17" s="9"/>
      <c r="C17" s="9"/>
      <c r="D17" s="10"/>
      <c r="E17" s="11"/>
      <c r="F17" s="197"/>
      <c r="G17" s="198"/>
      <c r="H17" s="198"/>
      <c r="I17" s="198"/>
      <c r="J17" s="198"/>
      <c r="K17" s="199"/>
    </row>
    <row r="18" spans="1:11" s="12" customFormat="1" ht="20.45" customHeight="1">
      <c r="A18" s="8"/>
      <c r="B18" s="9"/>
      <c r="C18" s="9"/>
      <c r="D18" s="10"/>
      <c r="E18" s="11"/>
      <c r="F18" s="197"/>
      <c r="G18" s="198"/>
      <c r="H18" s="198"/>
      <c r="I18" s="198"/>
      <c r="J18" s="198"/>
      <c r="K18" s="199"/>
    </row>
    <row r="19" spans="1:11" ht="20.45" customHeight="1">
      <c r="A19" s="8"/>
      <c r="B19" s="9"/>
      <c r="C19" s="9"/>
      <c r="D19" s="10"/>
      <c r="E19" s="11"/>
      <c r="F19" s="197"/>
      <c r="G19" s="198"/>
      <c r="H19" s="198"/>
      <c r="I19" s="198"/>
      <c r="J19" s="198"/>
      <c r="K19" s="199"/>
    </row>
    <row r="20" spans="1:11" s="12" customFormat="1" ht="20.45" customHeight="1">
      <c r="A20" s="8"/>
      <c r="B20" s="9"/>
      <c r="C20" s="9"/>
      <c r="D20" s="10"/>
      <c r="E20" s="11"/>
      <c r="F20" s="197"/>
      <c r="G20" s="198"/>
      <c r="H20" s="198"/>
      <c r="I20" s="198"/>
      <c r="J20" s="198"/>
      <c r="K20" s="199"/>
    </row>
    <row r="21" spans="1:11" ht="20.45" customHeight="1">
      <c r="A21" s="8"/>
      <c r="B21" s="9"/>
      <c r="C21" s="9"/>
      <c r="D21" s="10"/>
      <c r="E21" s="11"/>
      <c r="F21" s="197"/>
      <c r="G21" s="198"/>
      <c r="H21" s="198"/>
      <c r="I21" s="198"/>
      <c r="J21" s="198"/>
      <c r="K21" s="199"/>
    </row>
    <row r="22" spans="1:11" ht="20.45" customHeight="1">
      <c r="A22" s="8"/>
      <c r="B22" s="9"/>
      <c r="C22" s="9"/>
      <c r="D22" s="10"/>
      <c r="E22" s="11"/>
      <c r="F22" s="197"/>
      <c r="G22" s="198"/>
      <c r="H22" s="198"/>
      <c r="I22" s="198"/>
      <c r="J22" s="198"/>
      <c r="K22" s="199"/>
    </row>
    <row r="23" spans="1:11" ht="20.45" customHeight="1">
      <c r="A23" s="8"/>
      <c r="B23" s="9"/>
      <c r="C23" s="9"/>
      <c r="D23" s="10"/>
      <c r="E23" s="11"/>
      <c r="F23" s="197"/>
      <c r="G23" s="198"/>
      <c r="H23" s="198"/>
      <c r="I23" s="198"/>
      <c r="J23" s="198"/>
      <c r="K23" s="199"/>
    </row>
    <row r="24" spans="1:11" ht="20.25" customHeight="1">
      <c r="A24" s="14" t="s">
        <v>11</v>
      </c>
      <c r="B24" s="15">
        <f>SUM($B7:$B23)</f>
        <v>12400</v>
      </c>
      <c r="C24" s="15">
        <f>SUM($C7:$C23)</f>
        <v>106960</v>
      </c>
      <c r="D24" s="15">
        <f>SUM($D7:$D23)</f>
        <v>206700</v>
      </c>
      <c r="E24" s="15">
        <f>SUM($E7:$E23)</f>
        <v>0</v>
      </c>
      <c r="F24" s="106"/>
      <c r="G24" s="107"/>
      <c r="H24" s="108"/>
      <c r="I24" s="108"/>
      <c r="J24" s="108"/>
      <c r="K24" s="108"/>
    </row>
    <row r="25" spans="1:11" ht="3.75" customHeight="1">
      <c r="A25" s="13"/>
      <c r="B25" s="17"/>
      <c r="C25" s="17"/>
      <c r="D25" s="17"/>
      <c r="E25" s="18"/>
      <c r="F25" s="16"/>
      <c r="G25" s="16"/>
      <c r="H25" s="19"/>
      <c r="I25" s="19"/>
      <c r="J25" s="105"/>
      <c r="K25" s="19"/>
    </row>
    <row r="26" spans="1:11" ht="21.75" customHeight="1">
      <c r="A26" s="13"/>
      <c r="B26" s="17"/>
      <c r="C26" s="17"/>
      <c r="D26" s="17"/>
      <c r="E26" s="18"/>
      <c r="F26" s="16"/>
      <c r="G26" s="16"/>
      <c r="H26" s="19"/>
      <c r="I26" s="20"/>
      <c r="J26" s="21" t="s">
        <v>12</v>
      </c>
      <c r="K26" s="22">
        <f>$B$24+$C$24+$D$24+$E$24</f>
        <v>326060</v>
      </c>
    </row>
    <row r="27" spans="1:11" ht="12" customHeight="1">
      <c r="A27" s="13"/>
      <c r="B27" s="17"/>
      <c r="C27" s="17"/>
      <c r="D27" s="17"/>
      <c r="E27" s="18"/>
      <c r="F27" s="23"/>
      <c r="G27" s="23"/>
      <c r="H27" s="17"/>
      <c r="I27" s="17"/>
      <c r="J27" s="17"/>
      <c r="K27" s="24"/>
    </row>
    <row r="28" spans="1:11" ht="26.25" customHeight="1">
      <c r="A28" s="25"/>
      <c r="B28" s="27"/>
      <c r="C28" s="27"/>
      <c r="D28" s="27"/>
      <c r="E28" s="28"/>
      <c r="F28" s="26"/>
      <c r="G28" s="28" t="s">
        <v>13</v>
      </c>
      <c r="H28" s="27"/>
      <c r="I28" s="27"/>
      <c r="J28" s="27"/>
      <c r="K28" s="27"/>
    </row>
    <row r="29" spans="1:11" ht="19.5" customHeight="1">
      <c r="A29" s="158" t="s">
        <v>14</v>
      </c>
      <c r="B29" s="159"/>
      <c r="C29" s="29"/>
      <c r="D29" s="30" t="s">
        <v>15</v>
      </c>
      <c r="E29" s="31"/>
      <c r="F29" s="164" t="s">
        <v>16</v>
      </c>
      <c r="G29" s="164"/>
      <c r="H29" s="159"/>
      <c r="I29" s="166" t="s">
        <v>17</v>
      </c>
      <c r="J29" s="167"/>
      <c r="K29" s="168"/>
    </row>
    <row r="30" spans="1:11" ht="18.75" customHeight="1">
      <c r="A30" s="160"/>
      <c r="B30" s="161"/>
      <c r="C30" s="169" t="s">
        <v>18</v>
      </c>
      <c r="D30" s="170"/>
      <c r="E30" s="32" t="s">
        <v>19</v>
      </c>
      <c r="F30" s="165"/>
      <c r="G30" s="165"/>
      <c r="H30" s="161"/>
      <c r="I30" s="169" t="s">
        <v>18</v>
      </c>
      <c r="J30" s="170"/>
      <c r="K30" s="32" t="s">
        <v>19</v>
      </c>
    </row>
    <row r="31" spans="1:11" ht="15.75" customHeight="1">
      <c r="A31" s="160"/>
      <c r="B31" s="161"/>
      <c r="C31" s="33" t="s">
        <v>20</v>
      </c>
      <c r="D31" s="34"/>
      <c r="E31" s="35">
        <f>B24</f>
        <v>12400</v>
      </c>
      <c r="F31" s="165"/>
      <c r="G31" s="165"/>
      <c r="H31" s="161"/>
      <c r="I31" s="33" t="s">
        <v>7</v>
      </c>
      <c r="J31" s="34"/>
      <c r="K31" s="36"/>
    </row>
    <row r="32" spans="1:11" ht="15.75" customHeight="1">
      <c r="A32" s="160"/>
      <c r="B32" s="161"/>
      <c r="C32" s="33" t="s">
        <v>21</v>
      </c>
      <c r="D32" s="37"/>
      <c r="E32" s="35">
        <f>C24</f>
        <v>106960</v>
      </c>
      <c r="F32" s="165"/>
      <c r="G32" s="165"/>
      <c r="H32" s="161"/>
      <c r="I32" s="38" t="s">
        <v>22</v>
      </c>
      <c r="J32" s="39"/>
      <c r="K32" s="40"/>
    </row>
    <row r="33" spans="1:11" ht="15.75" customHeight="1">
      <c r="A33" s="160"/>
      <c r="B33" s="161"/>
      <c r="C33" s="33" t="s">
        <v>23</v>
      </c>
      <c r="D33" s="37"/>
      <c r="E33" s="35">
        <f>D24</f>
        <v>206700</v>
      </c>
      <c r="F33" s="165"/>
      <c r="G33" s="165"/>
      <c r="H33" s="161"/>
      <c r="I33" s="38" t="s">
        <v>24</v>
      </c>
      <c r="J33" s="39"/>
      <c r="K33" s="40"/>
    </row>
    <row r="34" spans="1:11" ht="15.75" customHeight="1">
      <c r="A34" s="160"/>
      <c r="B34" s="161"/>
      <c r="C34" s="33" t="s">
        <v>25</v>
      </c>
      <c r="D34" s="37"/>
      <c r="E34" s="35">
        <f>E24</f>
        <v>0</v>
      </c>
      <c r="F34" s="165"/>
      <c r="G34" s="165"/>
      <c r="H34" s="161"/>
      <c r="I34" s="38"/>
      <c r="J34" s="39"/>
      <c r="K34" s="40"/>
    </row>
    <row r="35" spans="1:11" ht="15.75" customHeight="1">
      <c r="A35" s="160"/>
      <c r="B35" s="161"/>
      <c r="C35" s="41" t="s">
        <v>12</v>
      </c>
      <c r="D35" s="42"/>
      <c r="E35" s="43">
        <f>SUM(E31:E34)</f>
        <v>326060</v>
      </c>
      <c r="F35" s="165"/>
      <c r="G35" s="165"/>
      <c r="H35" s="161"/>
      <c r="I35" s="38"/>
      <c r="J35" s="39"/>
      <c r="K35" s="40"/>
    </row>
    <row r="36" spans="1:11" ht="15.75" customHeight="1">
      <c r="A36" s="160"/>
      <c r="B36" s="161"/>
      <c r="C36" s="171" t="s">
        <v>26</v>
      </c>
      <c r="D36" s="172"/>
      <c r="E36" s="173"/>
      <c r="F36" s="165"/>
      <c r="G36" s="165"/>
      <c r="H36" s="161"/>
      <c r="I36" s="38"/>
      <c r="J36" s="39"/>
      <c r="K36" s="40"/>
    </row>
    <row r="37" spans="1:11" ht="15.75" customHeight="1">
      <c r="A37" s="160"/>
      <c r="B37" s="161"/>
      <c r="C37" s="169" t="s">
        <v>18</v>
      </c>
      <c r="D37" s="170"/>
      <c r="E37" s="32" t="s">
        <v>19</v>
      </c>
      <c r="F37" s="165"/>
      <c r="G37" s="165"/>
      <c r="H37" s="161"/>
      <c r="I37" s="38"/>
      <c r="J37" s="39"/>
      <c r="K37" s="40"/>
    </row>
    <row r="38" spans="1:11" ht="15.75" customHeight="1">
      <c r="A38" s="160"/>
      <c r="B38" s="161"/>
      <c r="C38" s="44" t="s">
        <v>7</v>
      </c>
      <c r="D38" s="45"/>
      <c r="E38" s="46"/>
      <c r="F38" s="165"/>
      <c r="G38" s="165"/>
      <c r="H38" s="161"/>
      <c r="I38" s="41" t="s">
        <v>27</v>
      </c>
      <c r="J38" s="42"/>
      <c r="K38" s="43">
        <f>SUM(K31:K37)</f>
        <v>0</v>
      </c>
    </row>
    <row r="39" spans="1:11" ht="15.75" customHeight="1">
      <c r="A39" s="160"/>
      <c r="B39" s="161"/>
      <c r="C39" s="47" t="s">
        <v>24</v>
      </c>
      <c r="D39" s="48"/>
      <c r="E39" s="49"/>
      <c r="F39" s="165"/>
      <c r="G39" s="165"/>
      <c r="H39" s="161"/>
      <c r="I39" s="166" t="s">
        <v>28</v>
      </c>
      <c r="J39" s="167"/>
      <c r="K39" s="168"/>
    </row>
    <row r="40" spans="1:11" ht="18.75" customHeight="1">
      <c r="A40" s="162"/>
      <c r="B40" s="163"/>
      <c r="C40" s="41" t="s">
        <v>29</v>
      </c>
      <c r="D40" s="42"/>
      <c r="E40" s="43">
        <f>SUM(E38:E39)</f>
        <v>0</v>
      </c>
      <c r="F40" s="165"/>
      <c r="G40" s="165"/>
      <c r="H40" s="161"/>
      <c r="I40" s="38" t="s">
        <v>30</v>
      </c>
      <c r="J40" s="48"/>
      <c r="K40" s="49"/>
    </row>
    <row r="41" spans="1:11" ht="15.75" customHeight="1">
      <c r="A41" s="13"/>
      <c r="B41" s="50"/>
      <c r="C41" s="51"/>
      <c r="D41" s="52" t="s">
        <v>31</v>
      </c>
      <c r="E41" s="53">
        <f>E35+E40</f>
        <v>326060</v>
      </c>
      <c r="F41" s="54"/>
      <c r="G41" s="54"/>
      <c r="H41" s="55"/>
      <c r="I41" s="51"/>
      <c r="J41" s="52" t="s">
        <v>32</v>
      </c>
      <c r="K41" s="53">
        <f>K38+K40</f>
        <v>0</v>
      </c>
    </row>
    <row r="42" spans="1:11" ht="11.25" customHeight="1">
      <c r="A42" s="13"/>
      <c r="B42" s="18"/>
      <c r="C42" s="18"/>
      <c r="D42" s="18"/>
      <c r="E42" s="18"/>
      <c r="F42" s="57"/>
      <c r="G42" s="57"/>
      <c r="H42" s="135"/>
      <c r="I42" s="135"/>
      <c r="J42" s="17"/>
      <c r="K42" s="17"/>
    </row>
    <row r="43" spans="1:11" ht="28.5">
      <c r="A43" s="25"/>
      <c r="B43" s="27"/>
      <c r="C43" s="27"/>
      <c r="D43" s="27"/>
      <c r="E43" s="28"/>
      <c r="F43" s="26"/>
      <c r="G43" s="28" t="s">
        <v>33</v>
      </c>
      <c r="H43" s="27"/>
      <c r="I43" s="27"/>
      <c r="J43" s="27"/>
      <c r="K43" s="27"/>
    </row>
    <row r="44" spans="1:11" ht="17.100000000000001" customHeight="1">
      <c r="A44" s="136" t="s">
        <v>34</v>
      </c>
      <c r="B44" s="137"/>
      <c r="C44" s="58" t="s">
        <v>35</v>
      </c>
      <c r="D44" s="58" t="s">
        <v>36</v>
      </c>
      <c r="E44" s="59" t="s">
        <v>19</v>
      </c>
      <c r="F44" s="142" t="s">
        <v>37</v>
      </c>
      <c r="G44" s="143"/>
      <c r="H44" s="137"/>
      <c r="I44" s="58" t="s">
        <v>35</v>
      </c>
      <c r="J44" s="58" t="s">
        <v>36</v>
      </c>
      <c r="K44" s="58" t="s">
        <v>19</v>
      </c>
    </row>
    <row r="45" spans="1:11" ht="17.100000000000001" customHeight="1">
      <c r="A45" s="138"/>
      <c r="B45" s="139"/>
      <c r="C45" s="60">
        <v>20000</v>
      </c>
      <c r="D45" s="61"/>
      <c r="E45" s="62">
        <f>C45*D45</f>
        <v>0</v>
      </c>
      <c r="F45" s="144"/>
      <c r="G45" s="145"/>
      <c r="H45" s="139"/>
      <c r="I45" s="60">
        <v>500</v>
      </c>
      <c r="J45" s="61">
        <v>3</v>
      </c>
      <c r="K45" s="63">
        <f>I45*J45</f>
        <v>1500</v>
      </c>
    </row>
    <row r="46" spans="1:11" ht="17.100000000000001" customHeight="1">
      <c r="A46" s="138"/>
      <c r="B46" s="139"/>
      <c r="C46" s="60">
        <v>10000</v>
      </c>
      <c r="D46" s="61">
        <v>2</v>
      </c>
      <c r="E46" s="62">
        <f>C46*D46</f>
        <v>20000</v>
      </c>
      <c r="F46" s="144"/>
      <c r="G46" s="145"/>
      <c r="H46" s="139"/>
      <c r="I46" s="60">
        <v>100</v>
      </c>
      <c r="J46" s="61">
        <v>30</v>
      </c>
      <c r="K46" s="63">
        <f>I46*J46</f>
        <v>3000</v>
      </c>
    </row>
    <row r="47" spans="1:11" ht="17.100000000000001" customHeight="1">
      <c r="A47" s="138"/>
      <c r="B47" s="139"/>
      <c r="C47" s="60">
        <v>5000</v>
      </c>
      <c r="D47" s="61">
        <v>4</v>
      </c>
      <c r="E47" s="62">
        <f>C47*D47</f>
        <v>20000</v>
      </c>
      <c r="F47" s="144"/>
      <c r="G47" s="145"/>
      <c r="H47" s="139"/>
      <c r="I47" s="60">
        <v>50</v>
      </c>
      <c r="J47" s="61">
        <v>8</v>
      </c>
      <c r="K47" s="63">
        <f>I47*J47</f>
        <v>400</v>
      </c>
    </row>
    <row r="48" spans="1:11" ht="17.100000000000001" customHeight="1">
      <c r="A48" s="138"/>
      <c r="B48" s="139"/>
      <c r="C48" s="60">
        <v>2000</v>
      </c>
      <c r="D48" s="61"/>
      <c r="E48" s="62">
        <f>C48*D48</f>
        <v>0</v>
      </c>
      <c r="F48" s="144"/>
      <c r="G48" s="145"/>
      <c r="H48" s="139"/>
      <c r="I48" s="60">
        <v>10</v>
      </c>
      <c r="J48" s="61">
        <v>15</v>
      </c>
      <c r="K48" s="63">
        <f>I48*J48</f>
        <v>150</v>
      </c>
    </row>
    <row r="49" spans="1:11" ht="17.100000000000001" customHeight="1">
      <c r="A49" s="140"/>
      <c r="B49" s="141"/>
      <c r="C49" s="60">
        <v>1000</v>
      </c>
      <c r="D49" s="61">
        <v>23</v>
      </c>
      <c r="E49" s="62">
        <f>C49*D49</f>
        <v>23000</v>
      </c>
      <c r="F49" s="146"/>
      <c r="G49" s="147"/>
      <c r="H49" s="141"/>
      <c r="I49" s="60"/>
      <c r="J49" s="64"/>
      <c r="K49" s="63"/>
    </row>
    <row r="50" spans="1:11" ht="18.75">
      <c r="A50" s="13"/>
      <c r="B50" s="65"/>
      <c r="C50" s="66"/>
      <c r="D50" s="67" t="s">
        <v>38</v>
      </c>
      <c r="E50" s="68">
        <f>SUM(E45:E49)</f>
        <v>63000</v>
      </c>
      <c r="F50" s="54"/>
      <c r="G50" s="54"/>
      <c r="H50" s="55"/>
      <c r="I50" s="66"/>
      <c r="J50" s="67" t="s">
        <v>39</v>
      </c>
      <c r="K50" s="68">
        <f>SUM(K45:K49)</f>
        <v>5050</v>
      </c>
    </row>
    <row r="51" spans="1:11" ht="18.75">
      <c r="A51" s="13"/>
      <c r="B51" s="18"/>
      <c r="C51" s="18"/>
      <c r="D51" s="18"/>
      <c r="E51" s="18"/>
      <c r="F51" s="16"/>
      <c r="G51" s="16"/>
      <c r="H51" s="65"/>
      <c r="I51" s="65"/>
      <c r="J51" s="17"/>
      <c r="K51" s="17"/>
    </row>
    <row r="52" spans="1:11" ht="18" customHeight="1">
      <c r="A52" s="13"/>
      <c r="B52" s="18"/>
      <c r="C52" s="18"/>
      <c r="D52" s="18"/>
      <c r="E52" s="18"/>
      <c r="F52" s="69"/>
      <c r="G52" s="69"/>
      <c r="H52" s="70" t="s">
        <v>40</v>
      </c>
      <c r="I52" s="71"/>
      <c r="J52" s="69"/>
      <c r="K52" s="17"/>
    </row>
    <row r="53" spans="1:11" ht="4.5" customHeight="1">
      <c r="A53" s="13"/>
      <c r="B53" s="18"/>
      <c r="C53" s="18"/>
      <c r="D53" s="18"/>
      <c r="E53" s="18"/>
      <c r="F53" s="16"/>
      <c r="G53" s="16"/>
      <c r="H53" s="17"/>
      <c r="I53" s="17"/>
      <c r="J53" s="17"/>
      <c r="K53" s="17"/>
    </row>
    <row r="54" spans="1:11" ht="15" customHeight="1">
      <c r="A54" s="72"/>
      <c r="B54" s="148" t="s">
        <v>41</v>
      </c>
      <c r="C54" s="149"/>
      <c r="D54" s="150"/>
      <c r="E54" s="18"/>
      <c r="F54" s="73"/>
      <c r="G54" s="73"/>
      <c r="H54" s="74" t="s">
        <v>42</v>
      </c>
      <c r="I54" s="75">
        <f>'08-07-2024'!I68</f>
        <v>55650</v>
      </c>
      <c r="J54" s="76"/>
      <c r="K54" s="17"/>
    </row>
    <row r="55" spans="1:11" ht="4.5" customHeight="1">
      <c r="A55" s="72"/>
      <c r="B55" s="151"/>
      <c r="C55" s="152"/>
      <c r="D55" s="153"/>
      <c r="E55" s="18"/>
      <c r="F55" s="16"/>
      <c r="G55" s="16"/>
      <c r="H55" s="17"/>
      <c r="I55" s="77"/>
      <c r="J55" s="17"/>
      <c r="K55" s="17"/>
    </row>
    <row r="56" spans="1:11" ht="18.75" customHeight="1">
      <c r="A56" s="78"/>
      <c r="B56" s="154"/>
      <c r="C56" s="154"/>
      <c r="D56" s="154"/>
      <c r="E56" s="18"/>
      <c r="F56" s="79"/>
      <c r="G56" s="79"/>
      <c r="H56" s="80" t="s">
        <v>43</v>
      </c>
      <c r="I56" s="81">
        <f>E50+K50</f>
        <v>68050</v>
      </c>
      <c r="J56" s="82"/>
      <c r="K56" s="17"/>
    </row>
    <row r="57" spans="1:11" ht="4.5" customHeight="1">
      <c r="A57" s="78"/>
      <c r="B57" s="154"/>
      <c r="C57" s="154"/>
      <c r="D57" s="154"/>
      <c r="E57" s="18"/>
      <c r="F57" s="56"/>
      <c r="G57" s="56"/>
      <c r="H57" s="57"/>
      <c r="I57" s="83"/>
      <c r="J57" s="65"/>
      <c r="K57" s="17"/>
    </row>
    <row r="58" spans="1:11" ht="18.75">
      <c r="A58" s="78"/>
      <c r="B58" s="154"/>
      <c r="C58" s="154"/>
      <c r="D58" s="154"/>
      <c r="E58" s="18"/>
      <c r="F58" s="79"/>
      <c r="G58" s="79"/>
      <c r="H58" s="80" t="s">
        <v>12</v>
      </c>
      <c r="I58" s="81">
        <f>K26</f>
        <v>326060</v>
      </c>
      <c r="J58" s="82"/>
      <c r="K58" s="24"/>
    </row>
    <row r="59" spans="1:11" ht="4.5" customHeight="1">
      <c r="A59" s="78"/>
      <c r="B59" s="154"/>
      <c r="C59" s="154"/>
      <c r="D59" s="154"/>
      <c r="E59" s="18"/>
      <c r="F59" s="56"/>
      <c r="G59" s="56"/>
      <c r="H59" s="57"/>
      <c r="I59" s="83"/>
      <c r="J59" s="18"/>
      <c r="K59" s="17"/>
    </row>
    <row r="60" spans="1:11" ht="18.75">
      <c r="A60" s="78"/>
      <c r="B60" s="154"/>
      <c r="C60" s="154"/>
      <c r="D60" s="154"/>
      <c r="E60" s="18"/>
      <c r="F60" s="84"/>
      <c r="G60" s="84"/>
      <c r="H60" s="85" t="s">
        <v>26</v>
      </c>
      <c r="I60" s="86">
        <f>E38</f>
        <v>0</v>
      </c>
      <c r="J60" s="82"/>
      <c r="K60" s="17"/>
    </row>
    <row r="61" spans="1:11" ht="4.5" customHeight="1">
      <c r="A61" s="78"/>
      <c r="B61" s="154"/>
      <c r="C61" s="154"/>
      <c r="D61" s="154"/>
      <c r="E61" s="18"/>
      <c r="F61" s="13"/>
      <c r="G61" s="13"/>
      <c r="H61" s="16"/>
      <c r="I61" s="77"/>
      <c r="J61" s="17"/>
      <c r="K61" s="17"/>
    </row>
    <row r="62" spans="1:11" ht="18.75">
      <c r="A62" s="78"/>
      <c r="B62" s="154"/>
      <c r="C62" s="154"/>
      <c r="D62" s="154"/>
      <c r="E62" s="18"/>
      <c r="F62" s="84"/>
      <c r="G62" s="84"/>
      <c r="H62" s="85" t="s">
        <v>17</v>
      </c>
      <c r="I62" s="86">
        <f>K31+K40</f>
        <v>0</v>
      </c>
      <c r="J62" s="82"/>
      <c r="K62" s="17"/>
    </row>
    <row r="63" spans="1:11" ht="4.5" customHeight="1">
      <c r="A63" s="78"/>
      <c r="B63" s="154"/>
      <c r="C63" s="154"/>
      <c r="D63" s="154"/>
      <c r="E63" s="18"/>
      <c r="F63" s="13"/>
      <c r="G63" s="13"/>
      <c r="H63" s="16"/>
      <c r="I63" s="77"/>
      <c r="J63" s="17"/>
      <c r="K63" s="17"/>
    </row>
    <row r="64" spans="1:11" ht="18.75">
      <c r="A64" s="78"/>
      <c r="B64" s="154"/>
      <c r="C64" s="154"/>
      <c r="D64" s="154"/>
      <c r="E64" s="18"/>
      <c r="F64" s="84"/>
      <c r="G64" s="84"/>
      <c r="H64" s="85" t="s">
        <v>44</v>
      </c>
      <c r="I64" s="86">
        <f>I54+I58+I60-I62</f>
        <v>381710</v>
      </c>
      <c r="J64" s="87"/>
      <c r="K64" s="17"/>
    </row>
    <row r="65" spans="1:11" ht="4.5" customHeight="1">
      <c r="A65" s="13"/>
      <c r="B65" s="154"/>
      <c r="C65" s="154"/>
      <c r="D65" s="154"/>
      <c r="E65" s="18"/>
      <c r="F65" s="16"/>
      <c r="G65" s="16"/>
      <c r="H65" s="18"/>
      <c r="I65" s="77"/>
      <c r="J65" s="17"/>
      <c r="K65" s="17"/>
    </row>
    <row r="66" spans="1:11" ht="18.75">
      <c r="A66" s="13"/>
      <c r="B66" s="154"/>
      <c r="C66" s="154"/>
      <c r="D66" s="154"/>
      <c r="E66" s="18"/>
      <c r="F66" s="73"/>
      <c r="G66" s="73"/>
      <c r="H66" s="74" t="s">
        <v>45</v>
      </c>
      <c r="I66" s="86">
        <f>I64-I54</f>
        <v>326060</v>
      </c>
      <c r="J66" s="88"/>
      <c r="K66" s="17"/>
    </row>
    <row r="67" spans="1:11" ht="4.5" customHeight="1">
      <c r="A67" s="78"/>
      <c r="B67" s="154"/>
      <c r="C67" s="154"/>
      <c r="D67" s="154"/>
      <c r="E67" s="18"/>
      <c r="F67" s="16"/>
      <c r="G67" s="16"/>
      <c r="H67" s="16"/>
      <c r="I67" s="77"/>
      <c r="J67" s="17"/>
      <c r="K67" s="17"/>
    </row>
    <row r="68" spans="1:11" ht="18.75">
      <c r="A68" s="13"/>
      <c r="B68" s="154"/>
      <c r="C68" s="154"/>
      <c r="D68" s="154"/>
      <c r="E68" s="18"/>
      <c r="F68" s="79"/>
      <c r="G68" s="79"/>
      <c r="H68" s="80" t="s">
        <v>46</v>
      </c>
      <c r="I68" s="86">
        <f>I54+E31+(E38-(K31+K40))</f>
        <v>68050</v>
      </c>
      <c r="J68" s="88"/>
      <c r="K68" s="17"/>
    </row>
    <row r="69" spans="1:11" ht="4.5" customHeight="1">
      <c r="A69" s="78"/>
      <c r="B69" s="154"/>
      <c r="C69" s="154"/>
      <c r="D69" s="154"/>
      <c r="E69" s="18"/>
      <c r="F69" s="16"/>
      <c r="G69" s="16"/>
      <c r="H69" s="16"/>
      <c r="I69" s="77"/>
      <c r="J69" s="17"/>
      <c r="K69" s="17"/>
    </row>
    <row r="70" spans="1:11" ht="18.75" customHeight="1">
      <c r="A70" s="78"/>
      <c r="B70" s="154"/>
      <c r="C70" s="154"/>
      <c r="D70" s="154"/>
      <c r="E70" s="18"/>
      <c r="F70" s="79"/>
      <c r="G70" s="79"/>
      <c r="H70" s="80" t="s">
        <v>47</v>
      </c>
      <c r="I70" s="89">
        <f>I56-I68</f>
        <v>0</v>
      </c>
      <c r="J70" s="90"/>
      <c r="K70" s="17"/>
    </row>
    <row r="71" spans="1:11" ht="15" customHeight="1">
      <c r="A71" s="91"/>
      <c r="B71" s="92"/>
      <c r="C71" s="92"/>
      <c r="D71" s="92"/>
      <c r="E71" s="93"/>
      <c r="F71" s="94"/>
      <c r="G71" s="94"/>
      <c r="H71" s="95"/>
      <c r="I71" s="95"/>
      <c r="J71" s="95"/>
      <c r="K71" s="95"/>
    </row>
    <row r="72" spans="1:11" ht="15" customHeight="1">
      <c r="A72" s="91"/>
      <c r="B72" s="92"/>
      <c r="C72" s="92"/>
      <c r="D72" s="92"/>
      <c r="E72" s="93"/>
      <c r="F72" s="94"/>
      <c r="G72" s="94"/>
      <c r="H72" s="95"/>
      <c r="I72" s="95"/>
      <c r="J72" s="95"/>
      <c r="K72" s="95"/>
    </row>
    <row r="73" spans="1:11" ht="15" customHeight="1">
      <c r="A73" s="91"/>
      <c r="B73" s="92"/>
      <c r="C73" s="92"/>
      <c r="D73" s="92"/>
      <c r="E73" s="93"/>
      <c r="F73" s="94"/>
      <c r="G73" s="94"/>
      <c r="H73" s="95"/>
      <c r="I73" s="95"/>
      <c r="J73" s="95"/>
      <c r="K73" s="95"/>
    </row>
    <row r="74" spans="1:11" ht="15" customHeight="1">
      <c r="A74" s="91"/>
      <c r="B74" s="92"/>
      <c r="C74" s="92"/>
      <c r="D74" s="92"/>
      <c r="E74" s="93"/>
      <c r="F74" s="94"/>
      <c r="G74" s="94"/>
      <c r="H74" s="95"/>
      <c r="I74" s="95"/>
      <c r="J74" s="95"/>
      <c r="K74" s="95"/>
    </row>
    <row r="75" spans="1:11" ht="15.75" customHeight="1">
      <c r="A75" s="91"/>
      <c r="B75" s="92"/>
      <c r="C75" s="92"/>
      <c r="D75" s="92"/>
      <c r="E75" s="93"/>
      <c r="F75" s="94"/>
      <c r="G75" s="94"/>
      <c r="H75" s="95"/>
      <c r="I75" s="95"/>
      <c r="J75" s="95"/>
      <c r="K75" s="95"/>
    </row>
    <row r="76" spans="1:11" ht="14.25" customHeight="1">
      <c r="A76" s="91"/>
      <c r="B76" s="92"/>
      <c r="C76" s="92"/>
      <c r="D76" s="92"/>
      <c r="E76" s="93"/>
      <c r="F76" s="94"/>
      <c r="G76" s="94"/>
      <c r="H76" s="95"/>
      <c r="I76" s="95"/>
      <c r="J76" s="95"/>
      <c r="K76" s="95"/>
    </row>
    <row r="77" spans="1:11">
      <c r="A77" s="96"/>
      <c r="B77" s="98"/>
      <c r="C77" s="98"/>
      <c r="D77" s="98"/>
      <c r="E77" s="98"/>
      <c r="F77" s="97"/>
      <c r="G77" s="97"/>
      <c r="H77" s="99"/>
      <c r="I77" s="99"/>
      <c r="J77" s="99"/>
      <c r="K77" s="99"/>
    </row>
    <row r="78" spans="1:11">
      <c r="D78" s="102"/>
      <c r="E78" s="102"/>
    </row>
    <row r="79" spans="1:11">
      <c r="D79" s="102"/>
      <c r="E79" s="102"/>
      <c r="H79" s="102"/>
    </row>
    <row r="80" spans="1:11">
      <c r="D80" s="102"/>
      <c r="E80" s="102"/>
      <c r="H80" s="102"/>
    </row>
    <row r="81" spans="4:11">
      <c r="D81" s="102"/>
      <c r="E81" s="102"/>
      <c r="H81" s="102"/>
      <c r="I81" s="102"/>
      <c r="J81" s="102"/>
      <c r="K81" s="102"/>
    </row>
    <row r="82" spans="4:11">
      <c r="D82" s="102"/>
      <c r="E82" s="102"/>
      <c r="H82" s="102"/>
      <c r="I82" s="102"/>
      <c r="J82" s="102"/>
      <c r="K82" s="102"/>
    </row>
    <row r="83" spans="4:11">
      <c r="D83" s="102"/>
      <c r="E83" s="102"/>
      <c r="H83" s="102"/>
      <c r="I83" s="102"/>
      <c r="J83" s="102"/>
      <c r="K83" s="102"/>
    </row>
    <row r="84" spans="4:11">
      <c r="D84" s="102"/>
      <c r="E84" s="102"/>
      <c r="H84" s="102"/>
      <c r="I84" s="102"/>
      <c r="J84" s="102"/>
      <c r="K84" s="102"/>
    </row>
    <row r="85" spans="4:11">
      <c r="D85" s="102"/>
      <c r="E85" s="102"/>
      <c r="H85" s="102"/>
      <c r="I85" s="102"/>
      <c r="J85" s="102"/>
      <c r="K85" s="102"/>
    </row>
    <row r="86" spans="4:11">
      <c r="D86" s="102"/>
      <c r="E86" s="102"/>
      <c r="H86" s="102"/>
      <c r="I86" s="102"/>
      <c r="J86" s="102"/>
      <c r="K86" s="102"/>
    </row>
    <row r="87" spans="4:11">
      <c r="D87" s="102"/>
      <c r="E87" s="102"/>
      <c r="H87" s="102"/>
      <c r="I87" s="102"/>
      <c r="J87" s="102"/>
      <c r="K87" s="102"/>
    </row>
    <row r="88" spans="4:11">
      <c r="D88" s="102"/>
      <c r="E88" s="102"/>
      <c r="H88" s="102"/>
      <c r="I88" s="102"/>
      <c r="J88" s="102"/>
      <c r="K88" s="102"/>
    </row>
  </sheetData>
  <mergeCells count="39">
    <mergeCell ref="H42:I42"/>
    <mergeCell ref="A44:B49"/>
    <mergeCell ref="F44:H49"/>
    <mergeCell ref="B54:D55"/>
    <mergeCell ref="B56:D70"/>
    <mergeCell ref="F22:K22"/>
    <mergeCell ref="F23:K23"/>
    <mergeCell ref="A29:B40"/>
    <mergeCell ref="F29:H40"/>
    <mergeCell ref="I29:K29"/>
    <mergeCell ref="C30:D30"/>
    <mergeCell ref="I30:J30"/>
    <mergeCell ref="C36:E36"/>
    <mergeCell ref="C37:D37"/>
    <mergeCell ref="I39:K39"/>
    <mergeCell ref="F8:K8"/>
    <mergeCell ref="F21:K21"/>
    <mergeCell ref="F10:K10"/>
    <mergeCell ref="F11:K11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9:K9"/>
    <mergeCell ref="A4:K4"/>
    <mergeCell ref="A5:A6"/>
    <mergeCell ref="B5:E5"/>
    <mergeCell ref="F5:K6"/>
    <mergeCell ref="F7:K7"/>
    <mergeCell ref="A1:B1"/>
    <mergeCell ref="C1:E1"/>
    <mergeCell ref="F1:G1"/>
    <mergeCell ref="H1:K1"/>
    <mergeCell ref="A3:K3"/>
  </mergeCells>
  <conditionalFormatting sqref="I70">
    <cfRule type="expression" dxfId="11" priority="1">
      <formula>$I70=0</formula>
    </cfRule>
    <cfRule type="expression" dxfId="10" priority="2">
      <formula>$I70&gt;=1</formula>
    </cfRule>
    <cfRule type="expression" dxfId="9" priority="3">
      <formula>$I70&lt;=-1</formula>
    </cfRule>
  </conditionalFormatting>
  <pageMargins left="0.25" right="0.25" top="0.75" bottom="0.75" header="0.3" footer="0.3"/>
  <pageSetup paperSize="9" scale="60" fitToWidth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92CB-D870-410F-9FCD-4B2229688BEE}">
  <sheetPr>
    <tabColor theme="2"/>
    <pageSetUpPr fitToPage="1"/>
  </sheetPr>
  <dimension ref="A1:K88"/>
  <sheetViews>
    <sheetView showWhiteSpace="0" view="pageLayout" zoomScale="80" zoomScaleNormal="80" zoomScalePageLayoutView="80" workbookViewId="0">
      <selection activeCell="G73" sqref="G73"/>
    </sheetView>
  </sheetViews>
  <sheetFormatPr defaultColWidth="20.7109375" defaultRowHeight="15"/>
  <cols>
    <col min="1" max="1" width="13.5703125" style="100" customWidth="1"/>
    <col min="2" max="3" width="13.7109375" style="102" customWidth="1"/>
    <col min="4" max="4" width="13.7109375" style="103" customWidth="1"/>
    <col min="5" max="5" width="14.7109375" style="104" customWidth="1"/>
    <col min="6" max="7" width="13.7109375" style="101" customWidth="1"/>
    <col min="8" max="10" width="13.7109375" style="103" customWidth="1"/>
    <col min="11" max="11" width="28.140625" style="103" customWidth="1"/>
    <col min="12" max="14" width="6.7109375" customWidth="1"/>
    <col min="15" max="17" width="10.7109375" customWidth="1"/>
    <col min="18" max="18" width="17.42578125" customWidth="1"/>
    <col min="19" max="19" width="10.7109375" customWidth="1"/>
    <col min="20" max="23" width="6.7109375" customWidth="1"/>
    <col min="24" max="26" width="10.7109375" customWidth="1"/>
    <col min="27" max="27" width="17.42578125" customWidth="1"/>
    <col min="28" max="28" width="10.7109375" customWidth="1"/>
    <col min="29" max="32" width="6.7109375" customWidth="1"/>
    <col min="33" max="35" width="10.7109375" customWidth="1"/>
    <col min="36" max="36" width="17.42578125" customWidth="1"/>
    <col min="37" max="37" width="10.7109375" customWidth="1"/>
    <col min="38" max="41" width="6.7109375" customWidth="1"/>
    <col min="42" max="44" width="10.7109375" customWidth="1"/>
    <col min="45" max="45" width="17.42578125" customWidth="1"/>
    <col min="46" max="46" width="10.7109375" customWidth="1"/>
    <col min="47" max="50" width="6.7109375" customWidth="1"/>
    <col min="51" max="53" width="10.7109375" customWidth="1"/>
    <col min="54" max="54" width="17.42578125" customWidth="1"/>
    <col min="55" max="55" width="10.7109375" customWidth="1"/>
    <col min="56" max="59" width="6.7109375" customWidth="1"/>
    <col min="60" max="62" width="10.7109375" customWidth="1"/>
    <col min="63" max="63" width="17.42578125" customWidth="1"/>
    <col min="64" max="64" width="10.7109375" customWidth="1"/>
    <col min="65" max="68" width="6.7109375" customWidth="1"/>
    <col min="69" max="71" width="10.7109375" customWidth="1"/>
    <col min="72" max="72" width="17.42578125" customWidth="1"/>
    <col min="73" max="73" width="10.7109375" customWidth="1"/>
    <col min="74" max="77" width="6.7109375" customWidth="1"/>
    <col min="78" max="80" width="10.7109375" customWidth="1"/>
    <col min="81" max="81" width="17.42578125" customWidth="1"/>
    <col min="82" max="82" width="10.7109375" customWidth="1"/>
    <col min="83" max="86" width="6.7109375" customWidth="1"/>
    <col min="87" max="89" width="10.7109375" customWidth="1"/>
    <col min="90" max="90" width="17.42578125" customWidth="1"/>
    <col min="91" max="91" width="10.7109375" customWidth="1"/>
    <col min="92" max="95" width="6.7109375" customWidth="1"/>
    <col min="96" max="98" width="10.7109375" customWidth="1"/>
    <col min="99" max="99" width="17.42578125" customWidth="1"/>
    <col min="100" max="100" width="10.7109375" customWidth="1"/>
    <col min="101" max="104" width="6.7109375" customWidth="1"/>
    <col min="105" max="107" width="10.7109375" customWidth="1"/>
    <col min="108" max="108" width="17.42578125" customWidth="1"/>
    <col min="109" max="109" width="10.7109375" customWidth="1"/>
    <col min="110" max="113" width="6.7109375" customWidth="1"/>
    <col min="114" max="116" width="10.7109375" customWidth="1"/>
    <col min="117" max="117" width="17.42578125" customWidth="1"/>
    <col min="118" max="118" width="10.7109375" customWidth="1"/>
    <col min="119" max="122" width="6.7109375" customWidth="1"/>
    <col min="123" max="125" width="10.7109375" customWidth="1"/>
    <col min="126" max="126" width="17.42578125" customWidth="1"/>
    <col min="127" max="127" width="10.7109375" customWidth="1"/>
    <col min="128" max="131" width="6.7109375" customWidth="1"/>
    <col min="132" max="134" width="10.7109375" customWidth="1"/>
    <col min="135" max="135" width="17.42578125" customWidth="1"/>
    <col min="136" max="136" width="10.7109375" customWidth="1"/>
    <col min="137" max="140" width="6.7109375" customWidth="1"/>
    <col min="141" max="143" width="10.7109375" customWidth="1"/>
    <col min="144" max="144" width="17.42578125" customWidth="1"/>
    <col min="145" max="145" width="10.7109375" customWidth="1"/>
    <col min="146" max="149" width="6.7109375" customWidth="1"/>
    <col min="150" max="152" width="10.7109375" customWidth="1"/>
    <col min="153" max="153" width="17.42578125" customWidth="1"/>
    <col min="154" max="154" width="10.7109375" customWidth="1"/>
    <col min="155" max="158" width="6.7109375" customWidth="1"/>
    <col min="159" max="161" width="10.7109375" customWidth="1"/>
    <col min="162" max="162" width="17.42578125" customWidth="1"/>
    <col min="163" max="163" width="10.7109375" customWidth="1"/>
    <col min="164" max="167" width="6.7109375" customWidth="1"/>
    <col min="168" max="170" width="10.7109375" customWidth="1"/>
    <col min="171" max="171" width="17.42578125" customWidth="1"/>
    <col min="172" max="172" width="10.7109375" customWidth="1"/>
    <col min="173" max="176" width="6.7109375" customWidth="1"/>
    <col min="177" max="179" width="10.7109375" customWidth="1"/>
    <col min="180" max="180" width="17.42578125" customWidth="1"/>
    <col min="181" max="181" width="10.7109375" customWidth="1"/>
    <col min="182" max="185" width="6.7109375" customWidth="1"/>
    <col min="186" max="188" width="10.7109375" customWidth="1"/>
    <col min="189" max="189" width="17.42578125" customWidth="1"/>
    <col min="190" max="190" width="10.7109375" customWidth="1"/>
    <col min="191" max="194" width="6.7109375" customWidth="1"/>
    <col min="195" max="197" width="10.7109375" customWidth="1"/>
    <col min="198" max="198" width="17.42578125" customWidth="1"/>
    <col min="199" max="199" width="10.7109375" customWidth="1"/>
    <col min="200" max="203" width="6.7109375" customWidth="1"/>
    <col min="204" max="206" width="10.7109375" customWidth="1"/>
    <col min="207" max="207" width="17.42578125" customWidth="1"/>
    <col min="208" max="208" width="10.7109375" customWidth="1"/>
    <col min="209" max="212" width="6.7109375" customWidth="1"/>
    <col min="213" max="215" width="10.7109375" customWidth="1"/>
    <col min="216" max="216" width="17.42578125" customWidth="1"/>
    <col min="217" max="217" width="10.7109375" customWidth="1"/>
    <col min="218" max="221" width="6.7109375" customWidth="1"/>
    <col min="222" max="224" width="10.7109375" customWidth="1"/>
    <col min="225" max="225" width="17.42578125" customWidth="1"/>
    <col min="226" max="226" width="10.7109375" customWidth="1"/>
    <col min="227" max="230" width="6.7109375" customWidth="1"/>
    <col min="231" max="233" width="10.7109375" customWidth="1"/>
    <col min="234" max="234" width="17.42578125" customWidth="1"/>
    <col min="235" max="235" width="10.7109375" customWidth="1"/>
    <col min="236" max="239" width="6.7109375" customWidth="1"/>
    <col min="240" max="242" width="10.7109375" customWidth="1"/>
    <col min="243" max="243" width="17.42578125" customWidth="1"/>
    <col min="244" max="244" width="10.7109375" customWidth="1"/>
    <col min="245" max="248" width="6.7109375" customWidth="1"/>
    <col min="249" max="251" width="10.7109375" customWidth="1"/>
    <col min="252" max="252" width="17.42578125" customWidth="1"/>
    <col min="253" max="253" width="10.7109375" customWidth="1"/>
    <col min="254" max="257" width="6.7109375" customWidth="1"/>
    <col min="258" max="260" width="10.7109375" customWidth="1"/>
    <col min="261" max="261" width="17.42578125" customWidth="1"/>
    <col min="262" max="262" width="10.7109375" customWidth="1"/>
    <col min="263" max="266" width="6.7109375" customWidth="1"/>
    <col min="267" max="269" width="10.7109375" customWidth="1"/>
    <col min="270" max="270" width="17.42578125" customWidth="1"/>
    <col min="271" max="271" width="10.7109375" customWidth="1"/>
    <col min="272" max="275" width="6.7109375" customWidth="1"/>
    <col min="276" max="278" width="10.7109375" customWidth="1"/>
    <col min="279" max="279" width="17.42578125" customWidth="1"/>
    <col min="280" max="280" width="10.7109375" customWidth="1"/>
    <col min="281" max="284" width="6.7109375" customWidth="1"/>
    <col min="285" max="287" width="10.7109375" customWidth="1"/>
    <col min="288" max="288" width="17.42578125" customWidth="1"/>
    <col min="289" max="289" width="10.7109375" customWidth="1"/>
    <col min="290" max="293" width="6.7109375" customWidth="1"/>
    <col min="294" max="296" width="10.7109375" customWidth="1"/>
    <col min="297" max="297" width="17.42578125" customWidth="1"/>
    <col min="298" max="298" width="10.7109375" customWidth="1"/>
    <col min="299" max="302" width="6.7109375" customWidth="1"/>
    <col min="303" max="305" width="10.7109375" customWidth="1"/>
    <col min="306" max="306" width="17.42578125" customWidth="1"/>
    <col min="307" max="307" width="10.7109375" customWidth="1"/>
    <col min="308" max="311" width="6.7109375" customWidth="1"/>
    <col min="312" max="314" width="10.7109375" customWidth="1"/>
    <col min="315" max="315" width="17.42578125" customWidth="1"/>
    <col min="316" max="316" width="10.7109375" customWidth="1"/>
    <col min="317" max="320" width="6.7109375" customWidth="1"/>
    <col min="321" max="323" width="10.7109375" customWidth="1"/>
    <col min="324" max="324" width="17.42578125" customWidth="1"/>
    <col min="325" max="325" width="10.7109375" customWidth="1"/>
    <col min="326" max="329" width="6.7109375" customWidth="1"/>
    <col min="330" max="332" width="10.7109375" customWidth="1"/>
    <col min="333" max="333" width="17.42578125" customWidth="1"/>
    <col min="334" max="334" width="10.7109375" customWidth="1"/>
    <col min="335" max="338" width="6.7109375" customWidth="1"/>
    <col min="339" max="341" width="10.7109375" customWidth="1"/>
    <col min="342" max="342" width="17.42578125" customWidth="1"/>
    <col min="343" max="343" width="10.7109375" customWidth="1"/>
    <col min="344" max="347" width="6.7109375" customWidth="1"/>
    <col min="348" max="350" width="10.7109375" customWidth="1"/>
    <col min="351" max="351" width="17.42578125" customWidth="1"/>
    <col min="352" max="352" width="10.7109375" customWidth="1"/>
    <col min="353" max="356" width="6.7109375" customWidth="1"/>
    <col min="357" max="359" width="10.7109375" customWidth="1"/>
    <col min="360" max="360" width="17.42578125" customWidth="1"/>
    <col min="361" max="361" width="10.7109375" customWidth="1"/>
    <col min="362" max="365" width="6.7109375" customWidth="1"/>
    <col min="366" max="368" width="10.7109375" customWidth="1"/>
    <col min="369" max="369" width="17.42578125" customWidth="1"/>
    <col min="370" max="370" width="10.7109375" customWidth="1"/>
    <col min="371" max="374" width="6.7109375" customWidth="1"/>
    <col min="375" max="377" width="10.7109375" customWidth="1"/>
    <col min="378" max="378" width="17.42578125" customWidth="1"/>
    <col min="379" max="379" width="10.7109375" customWidth="1"/>
    <col min="380" max="383" width="6.7109375" customWidth="1"/>
    <col min="384" max="386" width="10.7109375" customWidth="1"/>
    <col min="387" max="387" width="17.42578125" customWidth="1"/>
    <col min="388" max="388" width="10.7109375" customWidth="1"/>
    <col min="389" max="392" width="6.7109375" customWidth="1"/>
    <col min="393" max="395" width="10.7109375" customWidth="1"/>
    <col min="396" max="396" width="17.42578125" customWidth="1"/>
    <col min="397" max="397" width="10.7109375" customWidth="1"/>
    <col min="398" max="401" width="6.7109375" customWidth="1"/>
    <col min="402" max="404" width="10.7109375" customWidth="1"/>
    <col min="405" max="405" width="17.42578125" customWidth="1"/>
    <col min="406" max="406" width="10.7109375" customWidth="1"/>
    <col min="407" max="410" width="6.7109375" customWidth="1"/>
    <col min="411" max="413" width="10.7109375" customWidth="1"/>
    <col min="414" max="414" width="17.42578125" customWidth="1"/>
    <col min="415" max="415" width="10.7109375" customWidth="1"/>
    <col min="416" max="419" width="6.7109375" customWidth="1"/>
    <col min="420" max="422" width="10.7109375" customWidth="1"/>
    <col min="423" max="423" width="17.42578125" customWidth="1"/>
    <col min="424" max="424" width="10.7109375" customWidth="1"/>
    <col min="425" max="428" width="6.7109375" customWidth="1"/>
    <col min="429" max="431" width="10.7109375" customWidth="1"/>
    <col min="432" max="432" width="17.42578125" customWidth="1"/>
    <col min="433" max="433" width="10.7109375" customWidth="1"/>
    <col min="434" max="437" width="6.7109375" customWidth="1"/>
    <col min="438" max="440" width="10.7109375" customWidth="1"/>
    <col min="441" max="441" width="17.42578125" customWidth="1"/>
    <col min="442" max="442" width="10.7109375" customWidth="1"/>
    <col min="443" max="446" width="6.7109375" customWidth="1"/>
    <col min="447" max="449" width="10.7109375" customWidth="1"/>
    <col min="450" max="450" width="17.42578125" customWidth="1"/>
    <col min="451" max="451" width="10.7109375" customWidth="1"/>
    <col min="452" max="455" width="6.7109375" customWidth="1"/>
    <col min="456" max="458" width="10.7109375" customWidth="1"/>
    <col min="459" max="459" width="17.42578125" customWidth="1"/>
    <col min="460" max="460" width="10.7109375" customWidth="1"/>
    <col min="461" max="464" width="6.7109375" customWidth="1"/>
    <col min="465" max="467" width="10.7109375" customWidth="1"/>
    <col min="468" max="468" width="17.42578125" customWidth="1"/>
    <col min="469" max="469" width="10.7109375" customWidth="1"/>
    <col min="470" max="473" width="6.7109375" customWidth="1"/>
    <col min="474" max="476" width="10.7109375" customWidth="1"/>
    <col min="477" max="477" width="17.42578125" customWidth="1"/>
    <col min="478" max="478" width="10.7109375" customWidth="1"/>
    <col min="479" max="482" width="6.7109375" customWidth="1"/>
    <col min="483" max="485" width="10.7109375" customWidth="1"/>
    <col min="486" max="486" width="17.42578125" customWidth="1"/>
    <col min="487" max="487" width="10.7109375" customWidth="1"/>
    <col min="488" max="491" width="6.7109375" customWidth="1"/>
    <col min="492" max="494" width="10.7109375" customWidth="1"/>
    <col min="495" max="495" width="17.42578125" customWidth="1"/>
    <col min="496" max="496" width="10.7109375" customWidth="1"/>
    <col min="497" max="500" width="6.7109375" customWidth="1"/>
    <col min="501" max="503" width="10.7109375" customWidth="1"/>
    <col min="504" max="504" width="17.42578125" customWidth="1"/>
    <col min="505" max="505" width="10.7109375" customWidth="1"/>
    <col min="506" max="509" width="6.7109375" customWidth="1"/>
    <col min="510" max="512" width="10.7109375" customWidth="1"/>
    <col min="513" max="513" width="17.42578125" customWidth="1"/>
    <col min="514" max="514" width="10.7109375" customWidth="1"/>
    <col min="515" max="518" width="6.7109375" customWidth="1"/>
    <col min="519" max="521" width="10.7109375" customWidth="1"/>
    <col min="522" max="522" width="17.42578125" customWidth="1"/>
    <col min="523" max="523" width="10.7109375" customWidth="1"/>
    <col min="524" max="527" width="6.7109375" customWidth="1"/>
    <col min="528" max="530" width="10.7109375" customWidth="1"/>
    <col min="531" max="531" width="17.42578125" customWidth="1"/>
    <col min="532" max="532" width="10.7109375" customWidth="1"/>
    <col min="533" max="536" width="6.7109375" customWidth="1"/>
    <col min="537" max="539" width="10.7109375" customWidth="1"/>
    <col min="540" max="540" width="17.42578125" customWidth="1"/>
    <col min="541" max="541" width="10.7109375" customWidth="1"/>
    <col min="542" max="545" width="6.7109375" customWidth="1"/>
    <col min="546" max="548" width="10.7109375" customWidth="1"/>
    <col min="549" max="549" width="17.42578125" customWidth="1"/>
    <col min="550" max="550" width="10.7109375" customWidth="1"/>
    <col min="551" max="554" width="6.7109375" customWidth="1"/>
    <col min="555" max="557" width="10.7109375" customWidth="1"/>
    <col min="558" max="558" width="17.42578125" customWidth="1"/>
    <col min="559" max="559" width="10.7109375" customWidth="1"/>
    <col min="560" max="563" width="6.7109375" customWidth="1"/>
    <col min="564" max="566" width="10.7109375" customWidth="1"/>
    <col min="567" max="567" width="17.42578125" customWidth="1"/>
    <col min="568" max="568" width="10.7109375" customWidth="1"/>
    <col min="569" max="572" width="6.7109375" customWidth="1"/>
    <col min="573" max="575" width="10.7109375" customWidth="1"/>
    <col min="576" max="576" width="17.42578125" customWidth="1"/>
    <col min="577" max="577" width="10.7109375" customWidth="1"/>
    <col min="578" max="581" width="6.7109375" customWidth="1"/>
    <col min="582" max="584" width="10.7109375" customWidth="1"/>
    <col min="585" max="585" width="17.42578125" customWidth="1"/>
    <col min="586" max="586" width="10.7109375" customWidth="1"/>
    <col min="587" max="590" width="6.7109375" customWidth="1"/>
    <col min="591" max="593" width="10.7109375" customWidth="1"/>
    <col min="594" max="594" width="17.42578125" customWidth="1"/>
    <col min="595" max="595" width="10.7109375" customWidth="1"/>
    <col min="596" max="599" width="6.7109375" customWidth="1"/>
    <col min="600" max="602" width="10.7109375" customWidth="1"/>
    <col min="603" max="603" width="17.42578125" customWidth="1"/>
    <col min="604" max="604" width="10.7109375" customWidth="1"/>
    <col min="605" max="608" width="6.7109375" customWidth="1"/>
    <col min="609" max="611" width="10.7109375" customWidth="1"/>
    <col min="612" max="612" width="17.42578125" customWidth="1"/>
    <col min="613" max="613" width="10.7109375" customWidth="1"/>
    <col min="614" max="617" width="6.7109375" customWidth="1"/>
    <col min="618" max="620" width="10.7109375" customWidth="1"/>
    <col min="621" max="621" width="17.42578125" customWidth="1"/>
    <col min="622" max="622" width="10.7109375" customWidth="1"/>
    <col min="623" max="626" width="6.7109375" customWidth="1"/>
    <col min="627" max="629" width="10.7109375" customWidth="1"/>
    <col min="630" max="630" width="17.42578125" customWidth="1"/>
    <col min="631" max="631" width="10.7109375" customWidth="1"/>
    <col min="632" max="635" width="6.7109375" customWidth="1"/>
    <col min="636" max="638" width="10.7109375" customWidth="1"/>
    <col min="639" max="639" width="17.42578125" customWidth="1"/>
    <col min="640" max="640" width="10.7109375" customWidth="1"/>
    <col min="641" max="644" width="6.7109375" customWidth="1"/>
    <col min="645" max="647" width="10.7109375" customWidth="1"/>
    <col min="648" max="648" width="17.42578125" customWidth="1"/>
    <col min="649" max="649" width="10.7109375" customWidth="1"/>
    <col min="650" max="653" width="6.7109375" customWidth="1"/>
    <col min="654" max="656" width="10.7109375" customWidth="1"/>
    <col min="657" max="657" width="17.42578125" customWidth="1"/>
    <col min="658" max="658" width="10.7109375" customWidth="1"/>
    <col min="659" max="662" width="6.7109375" customWidth="1"/>
    <col min="663" max="665" width="10.7109375" customWidth="1"/>
    <col min="666" max="666" width="17.42578125" customWidth="1"/>
    <col min="667" max="667" width="10.7109375" customWidth="1"/>
    <col min="668" max="671" width="6.7109375" customWidth="1"/>
    <col min="672" max="674" width="10.7109375" customWidth="1"/>
    <col min="675" max="675" width="17.42578125" customWidth="1"/>
    <col min="676" max="676" width="10.7109375" customWidth="1"/>
    <col min="677" max="680" width="6.7109375" customWidth="1"/>
    <col min="681" max="683" width="10.7109375" customWidth="1"/>
    <col min="684" max="684" width="17.42578125" customWidth="1"/>
    <col min="685" max="685" width="10.7109375" customWidth="1"/>
    <col min="686" max="689" width="6.7109375" customWidth="1"/>
    <col min="690" max="692" width="10.7109375" customWidth="1"/>
    <col min="693" max="693" width="17.42578125" customWidth="1"/>
    <col min="694" max="694" width="10.7109375" customWidth="1"/>
    <col min="695" max="698" width="6.7109375" customWidth="1"/>
    <col min="699" max="701" width="10.7109375" customWidth="1"/>
    <col min="702" max="702" width="17.42578125" customWidth="1"/>
  </cols>
  <sheetData>
    <row r="1" spans="1:11" ht="20.45" customHeight="1">
      <c r="A1" s="174" t="s">
        <v>0</v>
      </c>
      <c r="B1" s="175"/>
      <c r="C1" s="176">
        <v>45481</v>
      </c>
      <c r="D1" s="177"/>
      <c r="E1" s="178"/>
      <c r="F1" s="174" t="s">
        <v>1</v>
      </c>
      <c r="G1" s="175"/>
      <c r="H1" s="179" t="s">
        <v>164</v>
      </c>
      <c r="I1" s="180"/>
      <c r="J1" s="180"/>
      <c r="K1" s="181"/>
    </row>
    <row r="2" spans="1:11" ht="11.25" customHeight="1">
      <c r="A2" s="1"/>
      <c r="B2" s="2"/>
      <c r="C2" s="2"/>
      <c r="D2" s="2"/>
      <c r="E2" s="3"/>
      <c r="F2" s="3"/>
      <c r="G2" s="3"/>
      <c r="H2" s="2"/>
      <c r="I2" s="2"/>
      <c r="J2" s="2"/>
      <c r="K2" s="2"/>
    </row>
    <row r="3" spans="1:11" ht="27" customHeight="1">
      <c r="A3" s="182" t="s">
        <v>2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20.45" customHeight="1">
      <c r="A4" s="183" t="s">
        <v>3</v>
      </c>
      <c r="B4" s="184"/>
      <c r="C4" s="184"/>
      <c r="D4" s="184"/>
      <c r="E4" s="184"/>
      <c r="F4" s="184"/>
      <c r="G4" s="184"/>
      <c r="H4" s="184"/>
      <c r="I4" s="184"/>
      <c r="J4" s="184"/>
      <c r="K4" s="185"/>
    </row>
    <row r="5" spans="1:11" s="5" customFormat="1" ht="26.25" customHeight="1">
      <c r="A5" s="186" t="s">
        <v>4</v>
      </c>
      <c r="B5" s="188" t="s">
        <v>5</v>
      </c>
      <c r="C5" s="189"/>
      <c r="D5" s="189"/>
      <c r="E5" s="190"/>
      <c r="F5" s="191" t="s">
        <v>6</v>
      </c>
      <c r="G5" s="192"/>
      <c r="H5" s="192"/>
      <c r="I5" s="192"/>
      <c r="J5" s="192"/>
      <c r="K5" s="193"/>
    </row>
    <row r="6" spans="1:11" ht="20.25" customHeight="1">
      <c r="A6" s="187"/>
      <c r="B6" s="6" t="s">
        <v>7</v>
      </c>
      <c r="C6" s="6" t="s">
        <v>8</v>
      </c>
      <c r="D6" s="4" t="s">
        <v>9</v>
      </c>
      <c r="E6" s="7" t="s">
        <v>10</v>
      </c>
      <c r="F6" s="194"/>
      <c r="G6" s="195"/>
      <c r="H6" s="195"/>
      <c r="I6" s="195"/>
      <c r="J6" s="195"/>
      <c r="K6" s="196"/>
    </row>
    <row r="7" spans="1:11" ht="20.45" customHeight="1">
      <c r="A7" s="8">
        <v>44</v>
      </c>
      <c r="B7" s="9"/>
      <c r="C7" s="9">
        <v>80000</v>
      </c>
      <c r="D7" s="10"/>
      <c r="E7" s="11"/>
      <c r="F7" s="155" t="s">
        <v>165</v>
      </c>
      <c r="G7" s="156"/>
      <c r="H7" s="156"/>
      <c r="I7" s="156"/>
      <c r="J7" s="156"/>
      <c r="K7" s="157"/>
    </row>
    <row r="8" spans="1:11" ht="20.45" customHeight="1">
      <c r="A8" s="8">
        <v>45</v>
      </c>
      <c r="B8" s="9"/>
      <c r="C8" s="9">
        <v>35000</v>
      </c>
      <c r="D8" s="10"/>
      <c r="E8" s="11"/>
      <c r="F8" s="155" t="s">
        <v>166</v>
      </c>
      <c r="G8" s="156"/>
      <c r="H8" s="156"/>
      <c r="I8" s="156"/>
      <c r="J8" s="156"/>
      <c r="K8" s="157"/>
    </row>
    <row r="9" spans="1:11" ht="20.45" customHeight="1">
      <c r="A9" s="8">
        <v>46</v>
      </c>
      <c r="B9" s="9"/>
      <c r="C9" s="9">
        <v>17990</v>
      </c>
      <c r="D9" s="10"/>
      <c r="E9" s="11"/>
      <c r="F9" s="155" t="s">
        <v>167</v>
      </c>
      <c r="G9" s="156"/>
      <c r="H9" s="156"/>
      <c r="I9" s="156"/>
      <c r="J9" s="156"/>
      <c r="K9" s="157"/>
    </row>
    <row r="10" spans="1:11" ht="20.45" customHeight="1">
      <c r="A10" s="8">
        <v>47</v>
      </c>
      <c r="B10" s="9"/>
      <c r="C10" s="9">
        <v>35980</v>
      </c>
      <c r="D10" s="10"/>
      <c r="E10" s="11"/>
      <c r="F10" s="155" t="s">
        <v>168</v>
      </c>
      <c r="G10" s="156"/>
      <c r="H10" s="156"/>
      <c r="I10" s="156"/>
      <c r="J10" s="156"/>
      <c r="K10" s="157"/>
    </row>
    <row r="11" spans="1:11" ht="20.45" customHeight="1">
      <c r="A11" s="8"/>
      <c r="B11" s="9">
        <v>20000</v>
      </c>
      <c r="C11" s="9"/>
      <c r="D11" s="10"/>
      <c r="E11" s="11"/>
      <c r="F11" s="155" t="s">
        <v>169</v>
      </c>
      <c r="G11" s="156"/>
      <c r="H11" s="156"/>
      <c r="I11" s="156"/>
      <c r="J11" s="156"/>
      <c r="K11" s="157"/>
    </row>
    <row r="12" spans="1:11" ht="20.45" customHeight="1">
      <c r="A12" s="8"/>
      <c r="B12" s="9"/>
      <c r="C12" s="9"/>
      <c r="D12" s="10"/>
      <c r="E12" s="11"/>
      <c r="F12" s="155"/>
      <c r="G12" s="156"/>
      <c r="H12" s="156"/>
      <c r="I12" s="156"/>
      <c r="J12" s="156"/>
      <c r="K12" s="157"/>
    </row>
    <row r="13" spans="1:11" ht="20.45" customHeight="1">
      <c r="A13" s="8"/>
      <c r="B13" s="9"/>
      <c r="C13" s="9"/>
      <c r="D13" s="10"/>
      <c r="E13" s="11"/>
      <c r="F13" s="155"/>
      <c r="G13" s="156"/>
      <c r="H13" s="156"/>
      <c r="I13" s="156"/>
      <c r="J13" s="156"/>
      <c r="K13" s="157"/>
    </row>
    <row r="14" spans="1:11" ht="20.45" customHeight="1">
      <c r="A14" s="8"/>
      <c r="B14" s="9"/>
      <c r="C14" s="9"/>
      <c r="D14" s="10"/>
      <c r="E14" s="11"/>
      <c r="F14" s="155"/>
      <c r="G14" s="156"/>
      <c r="H14" s="156"/>
      <c r="I14" s="156"/>
      <c r="J14" s="156"/>
      <c r="K14" s="157"/>
    </row>
    <row r="15" spans="1:11" ht="20.45" customHeight="1">
      <c r="A15" s="8"/>
      <c r="B15" s="9"/>
      <c r="C15" s="9"/>
      <c r="D15" s="10"/>
      <c r="E15" s="11"/>
      <c r="F15" s="155"/>
      <c r="G15" s="156"/>
      <c r="H15" s="156"/>
      <c r="I15" s="156"/>
      <c r="J15" s="156"/>
      <c r="K15" s="157"/>
    </row>
    <row r="16" spans="1:11" ht="20.45" customHeight="1">
      <c r="A16" s="8"/>
      <c r="B16" s="9"/>
      <c r="C16" s="9"/>
      <c r="D16" s="10"/>
      <c r="E16" s="11"/>
      <c r="F16" s="155"/>
      <c r="G16" s="156"/>
      <c r="H16" s="156"/>
      <c r="I16" s="156"/>
      <c r="J16" s="156"/>
      <c r="K16" s="157"/>
    </row>
    <row r="17" spans="1:11" ht="20.45" customHeight="1">
      <c r="A17" s="8"/>
      <c r="B17" s="9"/>
      <c r="C17" s="9"/>
      <c r="D17" s="10"/>
      <c r="E17" s="11"/>
      <c r="F17" s="155"/>
      <c r="G17" s="156"/>
      <c r="H17" s="156"/>
      <c r="I17" s="156"/>
      <c r="J17" s="156"/>
      <c r="K17" s="157"/>
    </row>
    <row r="18" spans="1:11" s="12" customFormat="1" ht="20.45" customHeight="1">
      <c r="A18" s="8"/>
      <c r="B18" s="9"/>
      <c r="C18" s="9"/>
      <c r="D18" s="10"/>
      <c r="E18" s="11"/>
      <c r="F18" s="155"/>
      <c r="G18" s="156"/>
      <c r="H18" s="156"/>
      <c r="I18" s="156"/>
      <c r="J18" s="156"/>
      <c r="K18" s="157"/>
    </row>
    <row r="19" spans="1:11" ht="20.45" customHeight="1">
      <c r="A19" s="8"/>
      <c r="B19" s="9"/>
      <c r="C19" s="9"/>
      <c r="D19" s="10"/>
      <c r="E19" s="11"/>
      <c r="F19" s="155"/>
      <c r="G19" s="156"/>
      <c r="H19" s="156"/>
      <c r="I19" s="156"/>
      <c r="J19" s="156"/>
      <c r="K19" s="157"/>
    </row>
    <row r="20" spans="1:11" s="12" customFormat="1" ht="20.45" customHeight="1">
      <c r="A20" s="8"/>
      <c r="B20" s="9"/>
      <c r="C20" s="9"/>
      <c r="D20" s="10"/>
      <c r="E20" s="11"/>
      <c r="F20" s="155"/>
      <c r="G20" s="156"/>
      <c r="H20" s="156"/>
      <c r="I20" s="156"/>
      <c r="J20" s="156"/>
      <c r="K20" s="157"/>
    </row>
    <row r="21" spans="1:11" ht="20.45" customHeight="1">
      <c r="A21" s="8"/>
      <c r="B21" s="9"/>
      <c r="C21" s="9"/>
      <c r="D21" s="10"/>
      <c r="E21" s="11"/>
      <c r="F21" s="155"/>
      <c r="G21" s="156"/>
      <c r="H21" s="156"/>
      <c r="I21" s="156"/>
      <c r="J21" s="156"/>
      <c r="K21" s="157"/>
    </row>
    <row r="22" spans="1:11" ht="20.45" customHeight="1">
      <c r="A22" s="8"/>
      <c r="B22" s="9"/>
      <c r="C22" s="9"/>
      <c r="D22" s="10"/>
      <c r="E22" s="11"/>
      <c r="F22" s="155"/>
      <c r="G22" s="156"/>
      <c r="H22" s="156"/>
      <c r="I22" s="156"/>
      <c r="J22" s="156"/>
      <c r="K22" s="157"/>
    </row>
    <row r="23" spans="1:11" ht="20.45" customHeight="1">
      <c r="A23" s="8"/>
      <c r="B23" s="9"/>
      <c r="C23" s="9"/>
      <c r="D23" s="10"/>
      <c r="E23" s="11"/>
      <c r="F23" s="155"/>
      <c r="G23" s="156"/>
      <c r="H23" s="156"/>
      <c r="I23" s="156"/>
      <c r="J23" s="156"/>
      <c r="K23" s="157"/>
    </row>
    <row r="24" spans="1:11" ht="20.25" customHeight="1">
      <c r="A24" s="14" t="s">
        <v>11</v>
      </c>
      <c r="B24" s="15">
        <f>SUM($B7:$B23)</f>
        <v>20000</v>
      </c>
      <c r="C24" s="15">
        <f>SUM($C7:$C23)</f>
        <v>168970</v>
      </c>
      <c r="D24" s="15">
        <f>SUM($D7:$D23)</f>
        <v>0</v>
      </c>
      <c r="E24" s="15">
        <f>SUM($E7:$E23)</f>
        <v>0</v>
      </c>
      <c r="F24" s="106"/>
      <c r="G24" s="107"/>
      <c r="H24" s="108"/>
      <c r="I24" s="108"/>
      <c r="J24" s="108"/>
      <c r="K24" s="108"/>
    </row>
    <row r="25" spans="1:11" ht="3.75" customHeight="1">
      <c r="A25" s="13"/>
      <c r="B25" s="17"/>
      <c r="C25" s="17"/>
      <c r="D25" s="17"/>
      <c r="E25" s="18"/>
      <c r="F25" s="16"/>
      <c r="G25" s="16"/>
      <c r="H25" s="19"/>
      <c r="I25" s="19"/>
      <c r="J25" s="105"/>
      <c r="K25" s="19"/>
    </row>
    <row r="26" spans="1:11" ht="21.75" customHeight="1">
      <c r="A26" s="13"/>
      <c r="B26" s="17"/>
      <c r="C26" s="17"/>
      <c r="D26" s="17"/>
      <c r="E26" s="18"/>
      <c r="F26" s="16"/>
      <c r="G26" s="16"/>
      <c r="H26" s="19"/>
      <c r="I26" s="20"/>
      <c r="J26" s="21" t="s">
        <v>12</v>
      </c>
      <c r="K26" s="22">
        <f>$B$24+$C$24+$D$24+$E$24</f>
        <v>188970</v>
      </c>
    </row>
    <row r="27" spans="1:11" ht="12" customHeight="1">
      <c r="A27" s="13"/>
      <c r="B27" s="17"/>
      <c r="C27" s="17"/>
      <c r="D27" s="17"/>
      <c r="E27" s="18"/>
      <c r="F27" s="23"/>
      <c r="G27" s="23"/>
      <c r="H27" s="17"/>
      <c r="I27" s="17"/>
      <c r="J27" s="17"/>
      <c r="K27" s="24"/>
    </row>
    <row r="28" spans="1:11" ht="26.25" customHeight="1">
      <c r="A28" s="25"/>
      <c r="B28" s="27"/>
      <c r="C28" s="27"/>
      <c r="D28" s="27"/>
      <c r="E28" s="28"/>
      <c r="F28" s="26"/>
      <c r="G28" s="28" t="s">
        <v>13</v>
      </c>
      <c r="H28" s="27"/>
      <c r="I28" s="27"/>
      <c r="J28" s="27"/>
      <c r="K28" s="27"/>
    </row>
    <row r="29" spans="1:11" ht="19.5" customHeight="1">
      <c r="A29" s="158" t="s">
        <v>14</v>
      </c>
      <c r="B29" s="159"/>
      <c r="C29" s="29"/>
      <c r="D29" s="30" t="s">
        <v>15</v>
      </c>
      <c r="E29" s="31"/>
      <c r="F29" s="164" t="s">
        <v>16</v>
      </c>
      <c r="G29" s="164"/>
      <c r="H29" s="159"/>
      <c r="I29" s="166" t="s">
        <v>17</v>
      </c>
      <c r="J29" s="167"/>
      <c r="K29" s="168"/>
    </row>
    <row r="30" spans="1:11" ht="18.75" customHeight="1">
      <c r="A30" s="160"/>
      <c r="B30" s="161"/>
      <c r="C30" s="169" t="s">
        <v>18</v>
      </c>
      <c r="D30" s="170"/>
      <c r="E30" s="32" t="s">
        <v>19</v>
      </c>
      <c r="F30" s="165"/>
      <c r="G30" s="165"/>
      <c r="H30" s="161"/>
      <c r="I30" s="169" t="s">
        <v>18</v>
      </c>
      <c r="J30" s="170"/>
      <c r="K30" s="32" t="s">
        <v>19</v>
      </c>
    </row>
    <row r="31" spans="1:11" ht="15.75" customHeight="1">
      <c r="A31" s="160"/>
      <c r="B31" s="161"/>
      <c r="C31" s="33" t="s">
        <v>20</v>
      </c>
      <c r="D31" s="34"/>
      <c r="E31" s="35">
        <f>B24</f>
        <v>20000</v>
      </c>
      <c r="F31" s="165"/>
      <c r="G31" s="165"/>
      <c r="H31" s="161"/>
      <c r="I31" s="33" t="s">
        <v>7</v>
      </c>
      <c r="J31" s="34"/>
      <c r="K31" s="36"/>
    </row>
    <row r="32" spans="1:11" ht="15.75" customHeight="1">
      <c r="A32" s="160"/>
      <c r="B32" s="161"/>
      <c r="C32" s="33" t="s">
        <v>21</v>
      </c>
      <c r="D32" s="37"/>
      <c r="E32" s="35">
        <f>C24</f>
        <v>168970</v>
      </c>
      <c r="F32" s="165"/>
      <c r="G32" s="165"/>
      <c r="H32" s="161"/>
      <c r="I32" s="38" t="s">
        <v>22</v>
      </c>
      <c r="J32" s="39"/>
      <c r="K32" s="40"/>
    </row>
    <row r="33" spans="1:11" ht="15.75" customHeight="1">
      <c r="A33" s="160"/>
      <c r="B33" s="161"/>
      <c r="C33" s="33" t="s">
        <v>23</v>
      </c>
      <c r="D33" s="37"/>
      <c r="E33" s="35">
        <f>D24</f>
        <v>0</v>
      </c>
      <c r="F33" s="165"/>
      <c r="G33" s="165"/>
      <c r="H33" s="161"/>
      <c r="I33" s="38" t="s">
        <v>24</v>
      </c>
      <c r="J33" s="39"/>
      <c r="K33" s="40"/>
    </row>
    <row r="34" spans="1:11" ht="15.75" customHeight="1">
      <c r="A34" s="160"/>
      <c r="B34" s="161"/>
      <c r="C34" s="33" t="s">
        <v>25</v>
      </c>
      <c r="D34" s="37"/>
      <c r="E34" s="35">
        <f>E24</f>
        <v>0</v>
      </c>
      <c r="F34" s="165"/>
      <c r="G34" s="165"/>
      <c r="H34" s="161"/>
      <c r="I34" s="38"/>
      <c r="J34" s="39"/>
      <c r="K34" s="40"/>
    </row>
    <row r="35" spans="1:11" ht="15.75" customHeight="1">
      <c r="A35" s="160"/>
      <c r="B35" s="161"/>
      <c r="C35" s="41" t="s">
        <v>12</v>
      </c>
      <c r="D35" s="42"/>
      <c r="E35" s="43">
        <f>SUM(E31:E34)</f>
        <v>188970</v>
      </c>
      <c r="F35" s="165"/>
      <c r="G35" s="165"/>
      <c r="H35" s="161"/>
      <c r="I35" s="38"/>
      <c r="J35" s="39"/>
      <c r="K35" s="40"/>
    </row>
    <row r="36" spans="1:11" ht="15.75" customHeight="1">
      <c r="A36" s="160"/>
      <c r="B36" s="161"/>
      <c r="C36" s="171" t="s">
        <v>26</v>
      </c>
      <c r="D36" s="172"/>
      <c r="E36" s="173"/>
      <c r="F36" s="165"/>
      <c r="G36" s="165"/>
      <c r="H36" s="161"/>
      <c r="I36" s="38"/>
      <c r="J36" s="39"/>
      <c r="K36" s="40"/>
    </row>
    <row r="37" spans="1:11" ht="15.75" customHeight="1">
      <c r="A37" s="160"/>
      <c r="B37" s="161"/>
      <c r="C37" s="169" t="s">
        <v>18</v>
      </c>
      <c r="D37" s="170"/>
      <c r="E37" s="32" t="s">
        <v>19</v>
      </c>
      <c r="F37" s="165"/>
      <c r="G37" s="165"/>
      <c r="H37" s="161"/>
      <c r="I37" s="38"/>
      <c r="J37" s="39"/>
      <c r="K37" s="40"/>
    </row>
    <row r="38" spans="1:11" ht="15.75" customHeight="1">
      <c r="A38" s="160"/>
      <c r="B38" s="161"/>
      <c r="C38" s="44" t="s">
        <v>7</v>
      </c>
      <c r="D38" s="45"/>
      <c r="E38" s="46"/>
      <c r="F38" s="165"/>
      <c r="G38" s="165"/>
      <c r="H38" s="161"/>
      <c r="I38" s="41" t="s">
        <v>27</v>
      </c>
      <c r="J38" s="42"/>
      <c r="K38" s="43">
        <f>SUM(K31:K37)</f>
        <v>0</v>
      </c>
    </row>
    <row r="39" spans="1:11" ht="15.75" customHeight="1">
      <c r="A39" s="160"/>
      <c r="B39" s="161"/>
      <c r="C39" s="47" t="s">
        <v>24</v>
      </c>
      <c r="D39" s="48"/>
      <c r="E39" s="49"/>
      <c r="F39" s="165"/>
      <c r="G39" s="165"/>
      <c r="H39" s="161"/>
      <c r="I39" s="166" t="s">
        <v>28</v>
      </c>
      <c r="J39" s="167"/>
      <c r="K39" s="168"/>
    </row>
    <row r="40" spans="1:11" ht="18.75" customHeight="1">
      <c r="A40" s="162"/>
      <c r="B40" s="163"/>
      <c r="C40" s="41" t="s">
        <v>29</v>
      </c>
      <c r="D40" s="42"/>
      <c r="E40" s="43">
        <f>SUM(E38:E39)</f>
        <v>0</v>
      </c>
      <c r="F40" s="165"/>
      <c r="G40" s="165"/>
      <c r="H40" s="161"/>
      <c r="I40" s="38" t="s">
        <v>30</v>
      </c>
      <c r="J40" s="48"/>
      <c r="K40" s="49">
        <v>40000</v>
      </c>
    </row>
    <row r="41" spans="1:11" ht="15.75" customHeight="1">
      <c r="A41" s="13"/>
      <c r="B41" s="50"/>
      <c r="C41" s="51"/>
      <c r="D41" s="52" t="s">
        <v>31</v>
      </c>
      <c r="E41" s="53">
        <f>E35+E40</f>
        <v>188970</v>
      </c>
      <c r="F41" s="54"/>
      <c r="G41" s="54"/>
      <c r="H41" s="55"/>
      <c r="I41" s="51"/>
      <c r="J41" s="52" t="s">
        <v>32</v>
      </c>
      <c r="K41" s="53">
        <f>K38+K40</f>
        <v>40000</v>
      </c>
    </row>
    <row r="42" spans="1:11" ht="11.25" customHeight="1">
      <c r="A42" s="13"/>
      <c r="B42" s="18"/>
      <c r="C42" s="18"/>
      <c r="D42" s="18"/>
      <c r="E42" s="18"/>
      <c r="F42" s="57"/>
      <c r="G42" s="57"/>
      <c r="H42" s="135"/>
      <c r="I42" s="135"/>
      <c r="J42" s="17"/>
      <c r="K42" s="17"/>
    </row>
    <row r="43" spans="1:11" ht="28.5">
      <c r="A43" s="25"/>
      <c r="B43" s="27"/>
      <c r="C43" s="27"/>
      <c r="D43" s="27"/>
      <c r="E43" s="28"/>
      <c r="F43" s="26"/>
      <c r="G43" s="28" t="s">
        <v>33</v>
      </c>
      <c r="H43" s="27"/>
      <c r="I43" s="27"/>
      <c r="J43" s="27"/>
      <c r="K43" s="27"/>
    </row>
    <row r="44" spans="1:11" ht="17.100000000000001" customHeight="1">
      <c r="A44" s="136" t="s">
        <v>34</v>
      </c>
      <c r="B44" s="137"/>
      <c r="C44" s="58" t="s">
        <v>35</v>
      </c>
      <c r="D44" s="58" t="s">
        <v>36</v>
      </c>
      <c r="E44" s="59" t="s">
        <v>19</v>
      </c>
      <c r="F44" s="142" t="s">
        <v>37</v>
      </c>
      <c r="G44" s="143"/>
      <c r="H44" s="137"/>
      <c r="I44" s="58" t="s">
        <v>35</v>
      </c>
      <c r="J44" s="58" t="s">
        <v>36</v>
      </c>
      <c r="K44" s="58" t="s">
        <v>19</v>
      </c>
    </row>
    <row r="45" spans="1:11" ht="17.100000000000001" customHeight="1">
      <c r="A45" s="138"/>
      <c r="B45" s="139"/>
      <c r="C45" s="60">
        <v>20000</v>
      </c>
      <c r="D45" s="61"/>
      <c r="E45" s="62">
        <f>C45*D45</f>
        <v>0</v>
      </c>
      <c r="F45" s="144"/>
      <c r="G45" s="145"/>
      <c r="H45" s="139"/>
      <c r="I45" s="60">
        <v>500</v>
      </c>
      <c r="J45" s="61">
        <v>3</v>
      </c>
      <c r="K45" s="63">
        <f>I45*J45</f>
        <v>1500</v>
      </c>
    </row>
    <row r="46" spans="1:11" ht="17.100000000000001" customHeight="1">
      <c r="A46" s="138"/>
      <c r="B46" s="139"/>
      <c r="C46" s="60">
        <v>10000</v>
      </c>
      <c r="D46" s="61">
        <v>1</v>
      </c>
      <c r="E46" s="62">
        <f>C46*D46</f>
        <v>10000</v>
      </c>
      <c r="F46" s="144"/>
      <c r="G46" s="145"/>
      <c r="H46" s="139"/>
      <c r="I46" s="60">
        <v>100</v>
      </c>
      <c r="J46" s="61">
        <v>26</v>
      </c>
      <c r="K46" s="63">
        <f>I46*J46</f>
        <v>2600</v>
      </c>
    </row>
    <row r="47" spans="1:11" ht="17.100000000000001" customHeight="1">
      <c r="A47" s="138"/>
      <c r="B47" s="139"/>
      <c r="C47" s="60">
        <v>5000</v>
      </c>
      <c r="D47" s="61">
        <v>4</v>
      </c>
      <c r="E47" s="62">
        <f>C47*D47</f>
        <v>20000</v>
      </c>
      <c r="F47" s="144"/>
      <c r="G47" s="145"/>
      <c r="H47" s="139"/>
      <c r="I47" s="60">
        <v>50</v>
      </c>
      <c r="J47" s="61">
        <v>8</v>
      </c>
      <c r="K47" s="63">
        <f>I47*J47</f>
        <v>400</v>
      </c>
    </row>
    <row r="48" spans="1:11" ht="17.100000000000001" customHeight="1">
      <c r="A48" s="138"/>
      <c r="B48" s="139"/>
      <c r="C48" s="60">
        <v>2000</v>
      </c>
      <c r="D48" s="61"/>
      <c r="E48" s="62">
        <f>C48*D48</f>
        <v>0</v>
      </c>
      <c r="F48" s="144"/>
      <c r="G48" s="145"/>
      <c r="H48" s="139"/>
      <c r="I48" s="60">
        <v>10</v>
      </c>
      <c r="J48" s="61">
        <v>15</v>
      </c>
      <c r="K48" s="63">
        <f>I48*J48</f>
        <v>150</v>
      </c>
    </row>
    <row r="49" spans="1:11" ht="17.100000000000001" customHeight="1">
      <c r="A49" s="140"/>
      <c r="B49" s="141"/>
      <c r="C49" s="60">
        <v>1000</v>
      </c>
      <c r="D49" s="61">
        <v>21</v>
      </c>
      <c r="E49" s="62">
        <f>C49*D49</f>
        <v>21000</v>
      </c>
      <c r="F49" s="146"/>
      <c r="G49" s="147"/>
      <c r="H49" s="141"/>
      <c r="I49" s="60"/>
      <c r="J49" s="64"/>
      <c r="K49" s="63"/>
    </row>
    <row r="50" spans="1:11" ht="18.75">
      <c r="A50" s="13"/>
      <c r="B50" s="65"/>
      <c r="C50" s="66"/>
      <c r="D50" s="67" t="s">
        <v>38</v>
      </c>
      <c r="E50" s="68">
        <f>SUM(E45:E49)</f>
        <v>51000</v>
      </c>
      <c r="F50" s="54"/>
      <c r="G50" s="54"/>
      <c r="H50" s="55"/>
      <c r="I50" s="66"/>
      <c r="J50" s="67" t="s">
        <v>39</v>
      </c>
      <c r="K50" s="68">
        <f>SUM(K45:K49)</f>
        <v>4650</v>
      </c>
    </row>
    <row r="51" spans="1:11" ht="18.75">
      <c r="A51" s="13"/>
      <c r="B51" s="18"/>
      <c r="C51" s="18"/>
      <c r="D51" s="18"/>
      <c r="E51" s="18"/>
      <c r="F51" s="16"/>
      <c r="G51" s="16"/>
      <c r="H51" s="65"/>
      <c r="I51" s="65"/>
      <c r="J51" s="17"/>
      <c r="K51" s="17"/>
    </row>
    <row r="52" spans="1:11" ht="18" customHeight="1">
      <c r="A52" s="13"/>
      <c r="B52" s="18"/>
      <c r="C52" s="18"/>
      <c r="D52" s="18"/>
      <c r="E52" s="18"/>
      <c r="F52" s="69"/>
      <c r="G52" s="69"/>
      <c r="H52" s="70" t="s">
        <v>40</v>
      </c>
      <c r="I52" s="71"/>
      <c r="J52" s="69"/>
      <c r="K52" s="17"/>
    </row>
    <row r="53" spans="1:11" ht="4.5" customHeight="1">
      <c r="A53" s="13"/>
      <c r="B53" s="18"/>
      <c r="C53" s="18"/>
      <c r="D53" s="18"/>
      <c r="E53" s="18"/>
      <c r="F53" s="16"/>
      <c r="G53" s="16"/>
      <c r="H53" s="17"/>
      <c r="I53" s="17"/>
      <c r="J53" s="17"/>
      <c r="K53" s="17"/>
    </row>
    <row r="54" spans="1:11" ht="15" customHeight="1">
      <c r="A54" s="72"/>
      <c r="B54" s="148" t="s">
        <v>41</v>
      </c>
      <c r="C54" s="149"/>
      <c r="D54" s="150"/>
      <c r="E54" s="18"/>
      <c r="F54" s="73"/>
      <c r="G54" s="73"/>
      <c r="H54" s="74" t="s">
        <v>42</v>
      </c>
      <c r="I54" s="75">
        <f>'06-07-2024'!I68</f>
        <v>75650</v>
      </c>
      <c r="J54" s="76"/>
      <c r="K54" s="17"/>
    </row>
    <row r="55" spans="1:11" ht="4.5" customHeight="1">
      <c r="A55" s="72"/>
      <c r="B55" s="151"/>
      <c r="C55" s="152"/>
      <c r="D55" s="153"/>
      <c r="E55" s="18"/>
      <c r="F55" s="16"/>
      <c r="G55" s="16"/>
      <c r="H55" s="17"/>
      <c r="I55" s="77"/>
      <c r="J55" s="17"/>
      <c r="K55" s="17"/>
    </row>
    <row r="56" spans="1:11" ht="18.75" customHeight="1">
      <c r="A56" s="78"/>
      <c r="B56" s="154" t="s">
        <v>170</v>
      </c>
      <c r="C56" s="154"/>
      <c r="D56" s="154"/>
      <c r="E56" s="18"/>
      <c r="F56" s="79"/>
      <c r="G56" s="79"/>
      <c r="H56" s="80" t="s">
        <v>43</v>
      </c>
      <c r="I56" s="81">
        <f>E50+K50</f>
        <v>55650</v>
      </c>
      <c r="J56" s="82"/>
      <c r="K56" s="17"/>
    </row>
    <row r="57" spans="1:11" ht="4.5" customHeight="1">
      <c r="A57" s="78"/>
      <c r="B57" s="154"/>
      <c r="C57" s="154"/>
      <c r="D57" s="154"/>
      <c r="E57" s="18"/>
      <c r="F57" s="56"/>
      <c r="G57" s="56"/>
      <c r="H57" s="57"/>
      <c r="I57" s="83"/>
      <c r="J57" s="65"/>
      <c r="K57" s="17"/>
    </row>
    <row r="58" spans="1:11" ht="18.75">
      <c r="A58" s="78"/>
      <c r="B58" s="154"/>
      <c r="C58" s="154"/>
      <c r="D58" s="154"/>
      <c r="E58" s="18"/>
      <c r="F58" s="79"/>
      <c r="G58" s="79"/>
      <c r="H58" s="80" t="s">
        <v>12</v>
      </c>
      <c r="I58" s="81">
        <f>K26</f>
        <v>188970</v>
      </c>
      <c r="J58" s="82"/>
      <c r="K58" s="24"/>
    </row>
    <row r="59" spans="1:11" ht="4.5" customHeight="1">
      <c r="A59" s="78"/>
      <c r="B59" s="154"/>
      <c r="C59" s="154"/>
      <c r="D59" s="154"/>
      <c r="E59" s="18"/>
      <c r="F59" s="56"/>
      <c r="G59" s="56"/>
      <c r="H59" s="57"/>
      <c r="I59" s="83"/>
      <c r="J59" s="18"/>
      <c r="K59" s="17"/>
    </row>
    <row r="60" spans="1:11" ht="18.75">
      <c r="A60" s="78"/>
      <c r="B60" s="154"/>
      <c r="C60" s="154"/>
      <c r="D60" s="154"/>
      <c r="E60" s="18"/>
      <c r="F60" s="84"/>
      <c r="G60" s="84"/>
      <c r="H60" s="85" t="s">
        <v>26</v>
      </c>
      <c r="I60" s="86">
        <f>E38</f>
        <v>0</v>
      </c>
      <c r="J60" s="82"/>
      <c r="K60" s="17"/>
    </row>
    <row r="61" spans="1:11" ht="4.5" customHeight="1">
      <c r="A61" s="78"/>
      <c r="B61" s="154"/>
      <c r="C61" s="154"/>
      <c r="D61" s="154"/>
      <c r="E61" s="18"/>
      <c r="F61" s="13"/>
      <c r="G61" s="13"/>
      <c r="H61" s="16"/>
      <c r="I61" s="77"/>
      <c r="J61" s="17"/>
      <c r="K61" s="17"/>
    </row>
    <row r="62" spans="1:11" ht="18.75">
      <c r="A62" s="78"/>
      <c r="B62" s="154"/>
      <c r="C62" s="154"/>
      <c r="D62" s="154"/>
      <c r="E62" s="18"/>
      <c r="F62" s="84"/>
      <c r="G62" s="84"/>
      <c r="H62" s="85" t="s">
        <v>17</v>
      </c>
      <c r="I62" s="86">
        <f>K31+K40</f>
        <v>40000</v>
      </c>
      <c r="J62" s="82"/>
      <c r="K62" s="17"/>
    </row>
    <row r="63" spans="1:11" ht="4.5" customHeight="1">
      <c r="A63" s="78"/>
      <c r="B63" s="154"/>
      <c r="C63" s="154"/>
      <c r="D63" s="154"/>
      <c r="E63" s="18"/>
      <c r="F63" s="13"/>
      <c r="G63" s="13"/>
      <c r="H63" s="16"/>
      <c r="I63" s="77"/>
      <c r="J63" s="17"/>
      <c r="K63" s="17"/>
    </row>
    <row r="64" spans="1:11" ht="18.75">
      <c r="A64" s="78"/>
      <c r="B64" s="154"/>
      <c r="C64" s="154"/>
      <c r="D64" s="154"/>
      <c r="E64" s="18"/>
      <c r="F64" s="84"/>
      <c r="G64" s="84"/>
      <c r="H64" s="85" t="s">
        <v>44</v>
      </c>
      <c r="I64" s="86">
        <f>I54+I58+I60-I62</f>
        <v>224620</v>
      </c>
      <c r="J64" s="87"/>
      <c r="K64" s="17"/>
    </row>
    <row r="65" spans="1:11" ht="4.5" customHeight="1">
      <c r="A65" s="13"/>
      <c r="B65" s="154"/>
      <c r="C65" s="154"/>
      <c r="D65" s="154"/>
      <c r="E65" s="18"/>
      <c r="F65" s="16"/>
      <c r="G65" s="16"/>
      <c r="H65" s="18"/>
      <c r="I65" s="77"/>
      <c r="J65" s="17"/>
      <c r="K65" s="17"/>
    </row>
    <row r="66" spans="1:11" ht="18.75">
      <c r="A66" s="13"/>
      <c r="B66" s="154"/>
      <c r="C66" s="154"/>
      <c r="D66" s="154"/>
      <c r="E66" s="18"/>
      <c r="F66" s="73"/>
      <c r="G66" s="73"/>
      <c r="H66" s="74" t="s">
        <v>45</v>
      </c>
      <c r="I66" s="86">
        <f>I64-I54</f>
        <v>148970</v>
      </c>
      <c r="J66" s="88"/>
      <c r="K66" s="17"/>
    </row>
    <row r="67" spans="1:11" ht="4.5" customHeight="1">
      <c r="A67" s="78"/>
      <c r="B67" s="154"/>
      <c r="C67" s="154"/>
      <c r="D67" s="154"/>
      <c r="E67" s="18"/>
      <c r="F67" s="16"/>
      <c r="G67" s="16"/>
      <c r="H67" s="16"/>
      <c r="I67" s="77"/>
      <c r="J67" s="17"/>
      <c r="K67" s="17"/>
    </row>
    <row r="68" spans="1:11" ht="18.75">
      <c r="A68" s="13"/>
      <c r="B68" s="154"/>
      <c r="C68" s="154"/>
      <c r="D68" s="154"/>
      <c r="E68" s="18"/>
      <c r="F68" s="79"/>
      <c r="G68" s="79"/>
      <c r="H68" s="80" t="s">
        <v>46</v>
      </c>
      <c r="I68" s="86">
        <f>I54+E31+(E38-(K31+K40))</f>
        <v>55650</v>
      </c>
      <c r="J68" s="88"/>
      <c r="K68" s="17"/>
    </row>
    <row r="69" spans="1:11" ht="4.5" customHeight="1">
      <c r="A69" s="78"/>
      <c r="B69" s="154"/>
      <c r="C69" s="154"/>
      <c r="D69" s="154"/>
      <c r="E69" s="18"/>
      <c r="F69" s="16"/>
      <c r="G69" s="16"/>
      <c r="H69" s="16"/>
      <c r="I69" s="77"/>
      <c r="J69" s="17"/>
      <c r="K69" s="17"/>
    </row>
    <row r="70" spans="1:11" ht="18.75" customHeight="1">
      <c r="A70" s="78"/>
      <c r="B70" s="154"/>
      <c r="C70" s="154"/>
      <c r="D70" s="154"/>
      <c r="E70" s="18"/>
      <c r="F70" s="79"/>
      <c r="G70" s="79"/>
      <c r="H70" s="80" t="s">
        <v>47</v>
      </c>
      <c r="I70" s="89">
        <f>I56-I68</f>
        <v>0</v>
      </c>
      <c r="J70" s="90"/>
      <c r="K70" s="17"/>
    </row>
    <row r="71" spans="1:11" ht="15" customHeight="1">
      <c r="A71" s="91"/>
      <c r="B71" s="92"/>
      <c r="C71" s="92"/>
      <c r="D71" s="92"/>
      <c r="E71" s="93"/>
      <c r="F71" s="94"/>
      <c r="G71" s="94"/>
      <c r="H71" s="95"/>
      <c r="I71" s="95"/>
      <c r="J71" s="95"/>
      <c r="K71" s="95"/>
    </row>
    <row r="72" spans="1:11" ht="15" customHeight="1">
      <c r="A72" s="91"/>
      <c r="B72" s="92"/>
      <c r="C72" s="92"/>
      <c r="D72" s="92"/>
      <c r="E72" s="93"/>
      <c r="F72" s="94"/>
      <c r="G72" s="94"/>
      <c r="H72" s="95"/>
      <c r="I72" s="95"/>
      <c r="J72" s="95"/>
      <c r="K72" s="95"/>
    </row>
    <row r="73" spans="1:11" ht="15" customHeight="1">
      <c r="A73" s="91"/>
      <c r="B73" s="92"/>
      <c r="C73" s="92"/>
      <c r="D73" s="92"/>
      <c r="E73" s="93"/>
      <c r="F73" s="94"/>
      <c r="G73" s="94"/>
      <c r="H73" s="95"/>
      <c r="I73" s="95"/>
      <c r="J73" s="95"/>
      <c r="K73" s="95"/>
    </row>
    <row r="74" spans="1:11" ht="15" customHeight="1">
      <c r="A74" s="91"/>
      <c r="B74" s="92"/>
      <c r="C74" s="92"/>
      <c r="D74" s="92"/>
      <c r="E74" s="93"/>
      <c r="F74" s="94"/>
      <c r="G74" s="94"/>
      <c r="H74" s="95"/>
      <c r="I74" s="95"/>
      <c r="J74" s="95"/>
      <c r="K74" s="95"/>
    </row>
    <row r="75" spans="1:11" ht="15.75" customHeight="1">
      <c r="A75" s="91"/>
      <c r="B75" s="92"/>
      <c r="C75" s="92"/>
      <c r="D75" s="92"/>
      <c r="E75" s="93"/>
      <c r="F75" s="94"/>
      <c r="G75" s="94"/>
      <c r="H75" s="95"/>
      <c r="I75" s="95"/>
      <c r="J75" s="95"/>
      <c r="K75" s="95"/>
    </row>
    <row r="76" spans="1:11" ht="14.25" customHeight="1">
      <c r="A76" s="91"/>
      <c r="B76" s="92"/>
      <c r="C76" s="92"/>
      <c r="D76" s="92"/>
      <c r="E76" s="93"/>
      <c r="F76" s="94"/>
      <c r="G76" s="94"/>
      <c r="H76" s="95"/>
      <c r="I76" s="95"/>
      <c r="J76" s="95"/>
      <c r="K76" s="95"/>
    </row>
    <row r="77" spans="1:11">
      <c r="A77" s="96"/>
      <c r="B77" s="98"/>
      <c r="C77" s="98"/>
      <c r="D77" s="98"/>
      <c r="E77" s="98"/>
      <c r="F77" s="97"/>
      <c r="G77" s="97"/>
      <c r="H77" s="99"/>
      <c r="I77" s="99"/>
      <c r="J77" s="99"/>
      <c r="K77" s="99"/>
    </row>
    <row r="78" spans="1:11">
      <c r="D78" s="102"/>
      <c r="E78" s="102"/>
    </row>
    <row r="79" spans="1:11">
      <c r="D79" s="102"/>
      <c r="E79" s="102"/>
      <c r="H79" s="102"/>
    </row>
    <row r="80" spans="1:11">
      <c r="D80" s="102"/>
      <c r="E80" s="102"/>
      <c r="H80" s="102"/>
    </row>
    <row r="81" spans="4:11">
      <c r="D81" s="102"/>
      <c r="E81" s="102"/>
      <c r="H81" s="102"/>
      <c r="I81" s="102"/>
      <c r="J81" s="102"/>
      <c r="K81" s="102"/>
    </row>
    <row r="82" spans="4:11">
      <c r="D82" s="102"/>
      <c r="E82" s="102"/>
      <c r="H82" s="102"/>
      <c r="I82" s="102"/>
      <c r="J82" s="102"/>
      <c r="K82" s="102"/>
    </row>
    <row r="83" spans="4:11">
      <c r="D83" s="102"/>
      <c r="E83" s="102"/>
      <c r="H83" s="102"/>
      <c r="I83" s="102"/>
      <c r="J83" s="102"/>
      <c r="K83" s="102"/>
    </row>
    <row r="84" spans="4:11">
      <c r="D84" s="102"/>
      <c r="E84" s="102"/>
      <c r="H84" s="102"/>
      <c r="I84" s="102"/>
      <c r="J84" s="102"/>
      <c r="K84" s="102"/>
    </row>
    <row r="85" spans="4:11">
      <c r="D85" s="102"/>
      <c r="E85" s="102"/>
      <c r="H85" s="102"/>
      <c r="I85" s="102"/>
      <c r="J85" s="102"/>
      <c r="K85" s="102"/>
    </row>
    <row r="86" spans="4:11">
      <c r="D86" s="102"/>
      <c r="E86" s="102"/>
      <c r="H86" s="102"/>
      <c r="I86" s="102"/>
      <c r="J86" s="102"/>
      <c r="K86" s="102"/>
    </row>
    <row r="87" spans="4:11">
      <c r="D87" s="102"/>
      <c r="E87" s="102"/>
      <c r="H87" s="102"/>
      <c r="I87" s="102"/>
      <c r="J87" s="102"/>
      <c r="K87" s="102"/>
    </row>
    <row r="88" spans="4:11">
      <c r="D88" s="102"/>
      <c r="E88" s="102"/>
      <c r="H88" s="102"/>
      <c r="I88" s="102"/>
      <c r="J88" s="102"/>
      <c r="K88" s="102"/>
    </row>
  </sheetData>
  <mergeCells count="39">
    <mergeCell ref="H42:I42"/>
    <mergeCell ref="A44:B49"/>
    <mergeCell ref="F44:H49"/>
    <mergeCell ref="B54:D55"/>
    <mergeCell ref="B56:D70"/>
    <mergeCell ref="F22:K22"/>
    <mergeCell ref="F23:K23"/>
    <mergeCell ref="A29:B40"/>
    <mergeCell ref="F29:H40"/>
    <mergeCell ref="I29:K29"/>
    <mergeCell ref="C30:D30"/>
    <mergeCell ref="I30:J30"/>
    <mergeCell ref="C36:E36"/>
    <mergeCell ref="C37:D37"/>
    <mergeCell ref="I39:K39"/>
    <mergeCell ref="F21:K21"/>
    <mergeCell ref="F10:K10"/>
    <mergeCell ref="F11:K11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9:K9"/>
    <mergeCell ref="A1:B1"/>
    <mergeCell ref="C1:E1"/>
    <mergeCell ref="F1:G1"/>
    <mergeCell ref="H1:K1"/>
    <mergeCell ref="A3:K3"/>
    <mergeCell ref="A4:K4"/>
    <mergeCell ref="A5:A6"/>
    <mergeCell ref="B5:E5"/>
    <mergeCell ref="F5:K6"/>
    <mergeCell ref="F7:K7"/>
    <mergeCell ref="F8:K8"/>
  </mergeCells>
  <conditionalFormatting sqref="I70">
    <cfRule type="expression" dxfId="8" priority="1">
      <formula>$I70=0</formula>
    </cfRule>
    <cfRule type="expression" dxfId="7" priority="2">
      <formula>$I70&gt;=1</formula>
    </cfRule>
    <cfRule type="expression" dxfId="6" priority="3">
      <formula>$I70&lt;=-1</formula>
    </cfRule>
  </conditionalFormatting>
  <pageMargins left="0.70866141732283461" right="0.70866141732283461" top="0.74803149606299213" bottom="0.74803149606299213" header="0.31496062992125984" footer="0.31496062992125984"/>
  <pageSetup scale="55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DF50-60B0-4649-BA70-5E289E0F6D02}">
  <sheetPr>
    <tabColor theme="7"/>
    <pageSetUpPr fitToPage="1"/>
  </sheetPr>
  <dimension ref="A1:K88"/>
  <sheetViews>
    <sheetView showWhiteSpace="0" view="pageLayout" zoomScale="80" zoomScaleNormal="80" zoomScalePageLayoutView="80" workbookViewId="0">
      <selection activeCell="F12" sqref="F12:K12"/>
    </sheetView>
  </sheetViews>
  <sheetFormatPr defaultColWidth="20.7109375" defaultRowHeight="15"/>
  <cols>
    <col min="1" max="1" width="13.5703125" style="100" customWidth="1"/>
    <col min="2" max="3" width="13.7109375" style="102" customWidth="1"/>
    <col min="4" max="4" width="13.7109375" style="103" customWidth="1"/>
    <col min="5" max="5" width="14.7109375" style="104" customWidth="1"/>
    <col min="6" max="7" width="13.7109375" style="101" customWidth="1"/>
    <col min="8" max="10" width="13.7109375" style="103" customWidth="1"/>
    <col min="11" max="11" width="28.140625" style="103" customWidth="1"/>
    <col min="12" max="14" width="6.7109375" customWidth="1"/>
    <col min="15" max="17" width="10.7109375" customWidth="1"/>
    <col min="18" max="18" width="17.42578125" customWidth="1"/>
    <col min="19" max="19" width="10.7109375" customWidth="1"/>
    <col min="20" max="23" width="6.7109375" customWidth="1"/>
    <col min="24" max="26" width="10.7109375" customWidth="1"/>
    <col min="27" max="27" width="17.42578125" customWidth="1"/>
    <col min="28" max="28" width="10.7109375" customWidth="1"/>
    <col min="29" max="32" width="6.7109375" customWidth="1"/>
    <col min="33" max="35" width="10.7109375" customWidth="1"/>
    <col min="36" max="36" width="17.42578125" customWidth="1"/>
    <col min="37" max="37" width="10.7109375" customWidth="1"/>
    <col min="38" max="41" width="6.7109375" customWidth="1"/>
    <col min="42" max="44" width="10.7109375" customWidth="1"/>
    <col min="45" max="45" width="17.42578125" customWidth="1"/>
    <col min="46" max="46" width="10.7109375" customWidth="1"/>
    <col min="47" max="50" width="6.7109375" customWidth="1"/>
    <col min="51" max="53" width="10.7109375" customWidth="1"/>
    <col min="54" max="54" width="17.42578125" customWidth="1"/>
    <col min="55" max="55" width="10.7109375" customWidth="1"/>
    <col min="56" max="59" width="6.7109375" customWidth="1"/>
    <col min="60" max="62" width="10.7109375" customWidth="1"/>
    <col min="63" max="63" width="17.42578125" customWidth="1"/>
    <col min="64" max="64" width="10.7109375" customWidth="1"/>
    <col min="65" max="68" width="6.7109375" customWidth="1"/>
    <col min="69" max="71" width="10.7109375" customWidth="1"/>
    <col min="72" max="72" width="17.42578125" customWidth="1"/>
    <col min="73" max="73" width="10.7109375" customWidth="1"/>
    <col min="74" max="77" width="6.7109375" customWidth="1"/>
    <col min="78" max="80" width="10.7109375" customWidth="1"/>
    <col min="81" max="81" width="17.42578125" customWidth="1"/>
    <col min="82" max="82" width="10.7109375" customWidth="1"/>
    <col min="83" max="86" width="6.7109375" customWidth="1"/>
    <col min="87" max="89" width="10.7109375" customWidth="1"/>
    <col min="90" max="90" width="17.42578125" customWidth="1"/>
    <col min="91" max="91" width="10.7109375" customWidth="1"/>
    <col min="92" max="95" width="6.7109375" customWidth="1"/>
    <col min="96" max="98" width="10.7109375" customWidth="1"/>
    <col min="99" max="99" width="17.42578125" customWidth="1"/>
    <col min="100" max="100" width="10.7109375" customWidth="1"/>
    <col min="101" max="104" width="6.7109375" customWidth="1"/>
    <col min="105" max="107" width="10.7109375" customWidth="1"/>
    <col min="108" max="108" width="17.42578125" customWidth="1"/>
    <col min="109" max="109" width="10.7109375" customWidth="1"/>
    <col min="110" max="113" width="6.7109375" customWidth="1"/>
    <col min="114" max="116" width="10.7109375" customWidth="1"/>
    <col min="117" max="117" width="17.42578125" customWidth="1"/>
    <col min="118" max="118" width="10.7109375" customWidth="1"/>
    <col min="119" max="122" width="6.7109375" customWidth="1"/>
    <col min="123" max="125" width="10.7109375" customWidth="1"/>
    <col min="126" max="126" width="17.42578125" customWidth="1"/>
    <col min="127" max="127" width="10.7109375" customWidth="1"/>
    <col min="128" max="131" width="6.7109375" customWidth="1"/>
    <col min="132" max="134" width="10.7109375" customWidth="1"/>
    <col min="135" max="135" width="17.42578125" customWidth="1"/>
    <col min="136" max="136" width="10.7109375" customWidth="1"/>
    <col min="137" max="140" width="6.7109375" customWidth="1"/>
    <col min="141" max="143" width="10.7109375" customWidth="1"/>
    <col min="144" max="144" width="17.42578125" customWidth="1"/>
    <col min="145" max="145" width="10.7109375" customWidth="1"/>
    <col min="146" max="149" width="6.7109375" customWidth="1"/>
    <col min="150" max="152" width="10.7109375" customWidth="1"/>
    <col min="153" max="153" width="17.42578125" customWidth="1"/>
    <col min="154" max="154" width="10.7109375" customWidth="1"/>
    <col min="155" max="158" width="6.7109375" customWidth="1"/>
    <col min="159" max="161" width="10.7109375" customWidth="1"/>
    <col min="162" max="162" width="17.42578125" customWidth="1"/>
    <col min="163" max="163" width="10.7109375" customWidth="1"/>
    <col min="164" max="167" width="6.7109375" customWidth="1"/>
    <col min="168" max="170" width="10.7109375" customWidth="1"/>
    <col min="171" max="171" width="17.42578125" customWidth="1"/>
    <col min="172" max="172" width="10.7109375" customWidth="1"/>
    <col min="173" max="176" width="6.7109375" customWidth="1"/>
    <col min="177" max="179" width="10.7109375" customWidth="1"/>
    <col min="180" max="180" width="17.42578125" customWidth="1"/>
    <col min="181" max="181" width="10.7109375" customWidth="1"/>
    <col min="182" max="185" width="6.7109375" customWidth="1"/>
    <col min="186" max="188" width="10.7109375" customWidth="1"/>
    <col min="189" max="189" width="17.42578125" customWidth="1"/>
    <col min="190" max="190" width="10.7109375" customWidth="1"/>
    <col min="191" max="194" width="6.7109375" customWidth="1"/>
    <col min="195" max="197" width="10.7109375" customWidth="1"/>
    <col min="198" max="198" width="17.42578125" customWidth="1"/>
    <col min="199" max="199" width="10.7109375" customWidth="1"/>
    <col min="200" max="203" width="6.7109375" customWidth="1"/>
    <col min="204" max="206" width="10.7109375" customWidth="1"/>
    <col min="207" max="207" width="17.42578125" customWidth="1"/>
    <col min="208" max="208" width="10.7109375" customWidth="1"/>
    <col min="209" max="212" width="6.7109375" customWidth="1"/>
    <col min="213" max="215" width="10.7109375" customWidth="1"/>
    <col min="216" max="216" width="17.42578125" customWidth="1"/>
    <col min="217" max="217" width="10.7109375" customWidth="1"/>
    <col min="218" max="221" width="6.7109375" customWidth="1"/>
    <col min="222" max="224" width="10.7109375" customWidth="1"/>
    <col min="225" max="225" width="17.42578125" customWidth="1"/>
    <col min="226" max="226" width="10.7109375" customWidth="1"/>
    <col min="227" max="230" width="6.7109375" customWidth="1"/>
    <col min="231" max="233" width="10.7109375" customWidth="1"/>
    <col min="234" max="234" width="17.42578125" customWidth="1"/>
    <col min="235" max="235" width="10.7109375" customWidth="1"/>
    <col min="236" max="239" width="6.7109375" customWidth="1"/>
    <col min="240" max="242" width="10.7109375" customWidth="1"/>
    <col min="243" max="243" width="17.42578125" customWidth="1"/>
    <col min="244" max="244" width="10.7109375" customWidth="1"/>
    <col min="245" max="248" width="6.7109375" customWidth="1"/>
    <col min="249" max="251" width="10.7109375" customWidth="1"/>
    <col min="252" max="252" width="17.42578125" customWidth="1"/>
    <col min="253" max="253" width="10.7109375" customWidth="1"/>
    <col min="254" max="257" width="6.7109375" customWidth="1"/>
    <col min="258" max="260" width="10.7109375" customWidth="1"/>
    <col min="261" max="261" width="17.42578125" customWidth="1"/>
    <col min="262" max="262" width="10.7109375" customWidth="1"/>
    <col min="263" max="266" width="6.7109375" customWidth="1"/>
    <col min="267" max="269" width="10.7109375" customWidth="1"/>
    <col min="270" max="270" width="17.42578125" customWidth="1"/>
    <col min="271" max="271" width="10.7109375" customWidth="1"/>
    <col min="272" max="275" width="6.7109375" customWidth="1"/>
    <col min="276" max="278" width="10.7109375" customWidth="1"/>
    <col min="279" max="279" width="17.42578125" customWidth="1"/>
    <col min="280" max="280" width="10.7109375" customWidth="1"/>
    <col min="281" max="284" width="6.7109375" customWidth="1"/>
    <col min="285" max="287" width="10.7109375" customWidth="1"/>
    <col min="288" max="288" width="17.42578125" customWidth="1"/>
    <col min="289" max="289" width="10.7109375" customWidth="1"/>
    <col min="290" max="293" width="6.7109375" customWidth="1"/>
    <col min="294" max="296" width="10.7109375" customWidth="1"/>
    <col min="297" max="297" width="17.42578125" customWidth="1"/>
    <col min="298" max="298" width="10.7109375" customWidth="1"/>
    <col min="299" max="302" width="6.7109375" customWidth="1"/>
    <col min="303" max="305" width="10.7109375" customWidth="1"/>
    <col min="306" max="306" width="17.42578125" customWidth="1"/>
    <col min="307" max="307" width="10.7109375" customWidth="1"/>
    <col min="308" max="311" width="6.7109375" customWidth="1"/>
    <col min="312" max="314" width="10.7109375" customWidth="1"/>
    <col min="315" max="315" width="17.42578125" customWidth="1"/>
    <col min="316" max="316" width="10.7109375" customWidth="1"/>
    <col min="317" max="320" width="6.7109375" customWidth="1"/>
    <col min="321" max="323" width="10.7109375" customWidth="1"/>
    <col min="324" max="324" width="17.42578125" customWidth="1"/>
    <col min="325" max="325" width="10.7109375" customWidth="1"/>
    <col min="326" max="329" width="6.7109375" customWidth="1"/>
    <col min="330" max="332" width="10.7109375" customWidth="1"/>
    <col min="333" max="333" width="17.42578125" customWidth="1"/>
    <col min="334" max="334" width="10.7109375" customWidth="1"/>
    <col min="335" max="338" width="6.7109375" customWidth="1"/>
    <col min="339" max="341" width="10.7109375" customWidth="1"/>
    <col min="342" max="342" width="17.42578125" customWidth="1"/>
    <col min="343" max="343" width="10.7109375" customWidth="1"/>
    <col min="344" max="347" width="6.7109375" customWidth="1"/>
    <col min="348" max="350" width="10.7109375" customWidth="1"/>
    <col min="351" max="351" width="17.42578125" customWidth="1"/>
    <col min="352" max="352" width="10.7109375" customWidth="1"/>
    <col min="353" max="356" width="6.7109375" customWidth="1"/>
    <col min="357" max="359" width="10.7109375" customWidth="1"/>
    <col min="360" max="360" width="17.42578125" customWidth="1"/>
    <col min="361" max="361" width="10.7109375" customWidth="1"/>
    <col min="362" max="365" width="6.7109375" customWidth="1"/>
    <col min="366" max="368" width="10.7109375" customWidth="1"/>
    <col min="369" max="369" width="17.42578125" customWidth="1"/>
    <col min="370" max="370" width="10.7109375" customWidth="1"/>
    <col min="371" max="374" width="6.7109375" customWidth="1"/>
    <col min="375" max="377" width="10.7109375" customWidth="1"/>
    <col min="378" max="378" width="17.42578125" customWidth="1"/>
    <col min="379" max="379" width="10.7109375" customWidth="1"/>
    <col min="380" max="383" width="6.7109375" customWidth="1"/>
    <col min="384" max="386" width="10.7109375" customWidth="1"/>
    <col min="387" max="387" width="17.42578125" customWidth="1"/>
    <col min="388" max="388" width="10.7109375" customWidth="1"/>
    <col min="389" max="392" width="6.7109375" customWidth="1"/>
    <col min="393" max="395" width="10.7109375" customWidth="1"/>
    <col min="396" max="396" width="17.42578125" customWidth="1"/>
    <col min="397" max="397" width="10.7109375" customWidth="1"/>
    <col min="398" max="401" width="6.7109375" customWidth="1"/>
    <col min="402" max="404" width="10.7109375" customWidth="1"/>
    <col min="405" max="405" width="17.42578125" customWidth="1"/>
    <col min="406" max="406" width="10.7109375" customWidth="1"/>
    <col min="407" max="410" width="6.7109375" customWidth="1"/>
    <col min="411" max="413" width="10.7109375" customWidth="1"/>
    <col min="414" max="414" width="17.42578125" customWidth="1"/>
    <col min="415" max="415" width="10.7109375" customWidth="1"/>
    <col min="416" max="419" width="6.7109375" customWidth="1"/>
    <col min="420" max="422" width="10.7109375" customWidth="1"/>
    <col min="423" max="423" width="17.42578125" customWidth="1"/>
    <col min="424" max="424" width="10.7109375" customWidth="1"/>
    <col min="425" max="428" width="6.7109375" customWidth="1"/>
    <col min="429" max="431" width="10.7109375" customWidth="1"/>
    <col min="432" max="432" width="17.42578125" customWidth="1"/>
    <col min="433" max="433" width="10.7109375" customWidth="1"/>
    <col min="434" max="437" width="6.7109375" customWidth="1"/>
    <col min="438" max="440" width="10.7109375" customWidth="1"/>
    <col min="441" max="441" width="17.42578125" customWidth="1"/>
    <col min="442" max="442" width="10.7109375" customWidth="1"/>
    <col min="443" max="446" width="6.7109375" customWidth="1"/>
    <col min="447" max="449" width="10.7109375" customWidth="1"/>
    <col min="450" max="450" width="17.42578125" customWidth="1"/>
    <col min="451" max="451" width="10.7109375" customWidth="1"/>
    <col min="452" max="455" width="6.7109375" customWidth="1"/>
    <col min="456" max="458" width="10.7109375" customWidth="1"/>
    <col min="459" max="459" width="17.42578125" customWidth="1"/>
    <col min="460" max="460" width="10.7109375" customWidth="1"/>
    <col min="461" max="464" width="6.7109375" customWidth="1"/>
    <col min="465" max="467" width="10.7109375" customWidth="1"/>
    <col min="468" max="468" width="17.42578125" customWidth="1"/>
    <col min="469" max="469" width="10.7109375" customWidth="1"/>
    <col min="470" max="473" width="6.7109375" customWidth="1"/>
    <col min="474" max="476" width="10.7109375" customWidth="1"/>
    <col min="477" max="477" width="17.42578125" customWidth="1"/>
    <col min="478" max="478" width="10.7109375" customWidth="1"/>
    <col min="479" max="482" width="6.7109375" customWidth="1"/>
    <col min="483" max="485" width="10.7109375" customWidth="1"/>
    <col min="486" max="486" width="17.42578125" customWidth="1"/>
    <col min="487" max="487" width="10.7109375" customWidth="1"/>
    <col min="488" max="491" width="6.7109375" customWidth="1"/>
    <col min="492" max="494" width="10.7109375" customWidth="1"/>
    <col min="495" max="495" width="17.42578125" customWidth="1"/>
    <col min="496" max="496" width="10.7109375" customWidth="1"/>
    <col min="497" max="500" width="6.7109375" customWidth="1"/>
    <col min="501" max="503" width="10.7109375" customWidth="1"/>
    <col min="504" max="504" width="17.42578125" customWidth="1"/>
    <col min="505" max="505" width="10.7109375" customWidth="1"/>
    <col min="506" max="509" width="6.7109375" customWidth="1"/>
    <col min="510" max="512" width="10.7109375" customWidth="1"/>
    <col min="513" max="513" width="17.42578125" customWidth="1"/>
    <col min="514" max="514" width="10.7109375" customWidth="1"/>
    <col min="515" max="518" width="6.7109375" customWidth="1"/>
    <col min="519" max="521" width="10.7109375" customWidth="1"/>
    <col min="522" max="522" width="17.42578125" customWidth="1"/>
    <col min="523" max="523" width="10.7109375" customWidth="1"/>
    <col min="524" max="527" width="6.7109375" customWidth="1"/>
    <col min="528" max="530" width="10.7109375" customWidth="1"/>
    <col min="531" max="531" width="17.42578125" customWidth="1"/>
    <col min="532" max="532" width="10.7109375" customWidth="1"/>
    <col min="533" max="536" width="6.7109375" customWidth="1"/>
    <col min="537" max="539" width="10.7109375" customWidth="1"/>
    <col min="540" max="540" width="17.42578125" customWidth="1"/>
    <col min="541" max="541" width="10.7109375" customWidth="1"/>
    <col min="542" max="545" width="6.7109375" customWidth="1"/>
    <col min="546" max="548" width="10.7109375" customWidth="1"/>
    <col min="549" max="549" width="17.42578125" customWidth="1"/>
    <col min="550" max="550" width="10.7109375" customWidth="1"/>
    <col min="551" max="554" width="6.7109375" customWidth="1"/>
    <col min="555" max="557" width="10.7109375" customWidth="1"/>
    <col min="558" max="558" width="17.42578125" customWidth="1"/>
    <col min="559" max="559" width="10.7109375" customWidth="1"/>
    <col min="560" max="563" width="6.7109375" customWidth="1"/>
    <col min="564" max="566" width="10.7109375" customWidth="1"/>
    <col min="567" max="567" width="17.42578125" customWidth="1"/>
    <col min="568" max="568" width="10.7109375" customWidth="1"/>
    <col min="569" max="572" width="6.7109375" customWidth="1"/>
    <col min="573" max="575" width="10.7109375" customWidth="1"/>
    <col min="576" max="576" width="17.42578125" customWidth="1"/>
    <col min="577" max="577" width="10.7109375" customWidth="1"/>
    <col min="578" max="581" width="6.7109375" customWidth="1"/>
    <col min="582" max="584" width="10.7109375" customWidth="1"/>
    <col min="585" max="585" width="17.42578125" customWidth="1"/>
    <col min="586" max="586" width="10.7109375" customWidth="1"/>
    <col min="587" max="590" width="6.7109375" customWidth="1"/>
    <col min="591" max="593" width="10.7109375" customWidth="1"/>
    <col min="594" max="594" width="17.42578125" customWidth="1"/>
    <col min="595" max="595" width="10.7109375" customWidth="1"/>
    <col min="596" max="599" width="6.7109375" customWidth="1"/>
    <col min="600" max="602" width="10.7109375" customWidth="1"/>
    <col min="603" max="603" width="17.42578125" customWidth="1"/>
    <col min="604" max="604" width="10.7109375" customWidth="1"/>
    <col min="605" max="608" width="6.7109375" customWidth="1"/>
    <col min="609" max="611" width="10.7109375" customWidth="1"/>
    <col min="612" max="612" width="17.42578125" customWidth="1"/>
    <col min="613" max="613" width="10.7109375" customWidth="1"/>
    <col min="614" max="617" width="6.7109375" customWidth="1"/>
    <col min="618" max="620" width="10.7109375" customWidth="1"/>
    <col min="621" max="621" width="17.42578125" customWidth="1"/>
    <col min="622" max="622" width="10.7109375" customWidth="1"/>
    <col min="623" max="626" width="6.7109375" customWidth="1"/>
    <col min="627" max="629" width="10.7109375" customWidth="1"/>
    <col min="630" max="630" width="17.42578125" customWidth="1"/>
    <col min="631" max="631" width="10.7109375" customWidth="1"/>
    <col min="632" max="635" width="6.7109375" customWidth="1"/>
    <col min="636" max="638" width="10.7109375" customWidth="1"/>
    <col min="639" max="639" width="17.42578125" customWidth="1"/>
    <col min="640" max="640" width="10.7109375" customWidth="1"/>
    <col min="641" max="644" width="6.7109375" customWidth="1"/>
    <col min="645" max="647" width="10.7109375" customWidth="1"/>
    <col min="648" max="648" width="17.42578125" customWidth="1"/>
    <col min="649" max="649" width="10.7109375" customWidth="1"/>
    <col min="650" max="653" width="6.7109375" customWidth="1"/>
    <col min="654" max="656" width="10.7109375" customWidth="1"/>
    <col min="657" max="657" width="17.42578125" customWidth="1"/>
    <col min="658" max="658" width="10.7109375" customWidth="1"/>
    <col min="659" max="662" width="6.7109375" customWidth="1"/>
    <col min="663" max="665" width="10.7109375" customWidth="1"/>
    <col min="666" max="666" width="17.42578125" customWidth="1"/>
    <col min="667" max="667" width="10.7109375" customWidth="1"/>
    <col min="668" max="671" width="6.7109375" customWidth="1"/>
    <col min="672" max="674" width="10.7109375" customWidth="1"/>
    <col min="675" max="675" width="17.42578125" customWidth="1"/>
    <col min="676" max="676" width="10.7109375" customWidth="1"/>
    <col min="677" max="680" width="6.7109375" customWidth="1"/>
    <col min="681" max="683" width="10.7109375" customWidth="1"/>
    <col min="684" max="684" width="17.42578125" customWidth="1"/>
    <col min="685" max="685" width="10.7109375" customWidth="1"/>
    <col min="686" max="689" width="6.7109375" customWidth="1"/>
    <col min="690" max="692" width="10.7109375" customWidth="1"/>
    <col min="693" max="693" width="17.42578125" customWidth="1"/>
    <col min="694" max="694" width="10.7109375" customWidth="1"/>
    <col min="695" max="698" width="6.7109375" customWidth="1"/>
    <col min="699" max="701" width="10.7109375" customWidth="1"/>
    <col min="702" max="702" width="17.42578125" customWidth="1"/>
  </cols>
  <sheetData>
    <row r="1" spans="1:11" ht="20.45" customHeight="1">
      <c r="A1" s="174" t="s">
        <v>0</v>
      </c>
      <c r="B1" s="175"/>
      <c r="C1" s="176">
        <v>45479</v>
      </c>
      <c r="D1" s="177"/>
      <c r="E1" s="178"/>
      <c r="F1" s="174" t="s">
        <v>1</v>
      </c>
      <c r="G1" s="175"/>
      <c r="H1" s="179" t="s">
        <v>171</v>
      </c>
      <c r="I1" s="180"/>
      <c r="J1" s="180"/>
      <c r="K1" s="181"/>
    </row>
    <row r="2" spans="1:11" ht="11.25" customHeight="1">
      <c r="A2" s="1"/>
      <c r="B2" s="2"/>
      <c r="C2" s="2"/>
      <c r="D2" s="2"/>
      <c r="E2" s="3"/>
      <c r="F2" s="3"/>
      <c r="G2" s="3"/>
      <c r="H2" s="2"/>
      <c r="I2" s="2"/>
      <c r="J2" s="2"/>
      <c r="K2" s="2"/>
    </row>
    <row r="3" spans="1:11" ht="27" customHeight="1">
      <c r="A3" s="182" t="s">
        <v>2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20.45" customHeight="1">
      <c r="A4" s="183" t="s">
        <v>3</v>
      </c>
      <c r="B4" s="184"/>
      <c r="C4" s="184"/>
      <c r="D4" s="184"/>
      <c r="E4" s="184"/>
      <c r="F4" s="184"/>
      <c r="G4" s="184"/>
      <c r="H4" s="184"/>
      <c r="I4" s="184"/>
      <c r="J4" s="184"/>
      <c r="K4" s="185"/>
    </row>
    <row r="5" spans="1:11" s="5" customFormat="1" ht="26.25" customHeight="1">
      <c r="A5" s="186" t="s">
        <v>4</v>
      </c>
      <c r="B5" s="188" t="s">
        <v>5</v>
      </c>
      <c r="C5" s="189"/>
      <c r="D5" s="189"/>
      <c r="E5" s="190"/>
      <c r="F5" s="191" t="s">
        <v>6</v>
      </c>
      <c r="G5" s="192"/>
      <c r="H5" s="192"/>
      <c r="I5" s="192"/>
      <c r="J5" s="192"/>
      <c r="K5" s="193"/>
    </row>
    <row r="6" spans="1:11" ht="20.25" customHeight="1">
      <c r="A6" s="187"/>
      <c r="B6" s="6" t="s">
        <v>7</v>
      </c>
      <c r="C6" s="6" t="s">
        <v>8</v>
      </c>
      <c r="D6" s="4" t="s">
        <v>9</v>
      </c>
      <c r="E6" s="7" t="s">
        <v>10</v>
      </c>
      <c r="F6" s="194"/>
      <c r="G6" s="195"/>
      <c r="H6" s="195"/>
      <c r="I6" s="195"/>
      <c r="J6" s="195"/>
      <c r="K6" s="196"/>
    </row>
    <row r="7" spans="1:11" ht="20.45" customHeight="1">
      <c r="A7" s="8">
        <v>41</v>
      </c>
      <c r="B7" s="9"/>
      <c r="C7" s="9">
        <v>34500</v>
      </c>
      <c r="D7" s="10"/>
      <c r="E7" s="11"/>
      <c r="F7" s="155" t="s">
        <v>172</v>
      </c>
      <c r="G7" s="156"/>
      <c r="H7" s="156"/>
      <c r="I7" s="156"/>
      <c r="J7" s="156"/>
      <c r="K7" s="157"/>
    </row>
    <row r="8" spans="1:11" ht="20.45" customHeight="1">
      <c r="A8" s="8"/>
      <c r="B8" s="9">
        <v>7500</v>
      </c>
      <c r="C8" s="9"/>
      <c r="D8" s="10"/>
      <c r="E8" s="11"/>
      <c r="F8" s="155" t="s">
        <v>173</v>
      </c>
      <c r="G8" s="156"/>
      <c r="H8" s="156"/>
      <c r="I8" s="156"/>
      <c r="J8" s="156"/>
      <c r="K8" s="157"/>
    </row>
    <row r="9" spans="1:11" ht="20.45" customHeight="1">
      <c r="A9" s="8"/>
      <c r="B9" s="9">
        <v>8000</v>
      </c>
      <c r="C9" s="9"/>
      <c r="D9" s="10"/>
      <c r="E9" s="11"/>
      <c r="F9" s="155" t="s">
        <v>174</v>
      </c>
      <c r="G9" s="156"/>
      <c r="H9" s="156"/>
      <c r="I9" s="156"/>
      <c r="J9" s="156"/>
      <c r="K9" s="157"/>
    </row>
    <row r="10" spans="1:11" ht="20.45" customHeight="1">
      <c r="A10" s="8">
        <v>42</v>
      </c>
      <c r="B10" s="9"/>
      <c r="C10" s="9">
        <v>24990</v>
      </c>
      <c r="D10" s="10"/>
      <c r="E10" s="11"/>
      <c r="F10" s="155" t="s">
        <v>175</v>
      </c>
      <c r="G10" s="156"/>
      <c r="H10" s="156"/>
      <c r="I10" s="156"/>
      <c r="J10" s="156"/>
      <c r="K10" s="157"/>
    </row>
    <row r="11" spans="1:11" ht="20.45" customHeight="1">
      <c r="A11" s="8">
        <v>43</v>
      </c>
      <c r="B11" s="9"/>
      <c r="C11" s="9">
        <v>17990</v>
      </c>
      <c r="D11" s="10"/>
      <c r="E11" s="11"/>
      <c r="F11" s="155" t="s">
        <v>70</v>
      </c>
      <c r="G11" s="156"/>
      <c r="H11" s="156"/>
      <c r="I11" s="156"/>
      <c r="J11" s="156"/>
      <c r="K11" s="157"/>
    </row>
    <row r="12" spans="1:11" ht="20.45" customHeight="1">
      <c r="A12" s="8">
        <v>66</v>
      </c>
      <c r="B12" s="9"/>
      <c r="C12" s="9">
        <v>5100</v>
      </c>
      <c r="D12" s="10"/>
      <c r="E12" s="11"/>
      <c r="F12" s="155" t="s">
        <v>176</v>
      </c>
      <c r="G12" s="156"/>
      <c r="H12" s="156"/>
      <c r="I12" s="156"/>
      <c r="J12" s="156"/>
      <c r="K12" s="157"/>
    </row>
    <row r="13" spans="1:11" ht="20.45" customHeight="1">
      <c r="A13" s="8"/>
      <c r="B13" s="9"/>
      <c r="C13" s="9"/>
      <c r="D13" s="10"/>
      <c r="E13" s="11"/>
      <c r="F13" s="155"/>
      <c r="G13" s="156"/>
      <c r="H13" s="156"/>
      <c r="I13" s="156"/>
      <c r="J13" s="156"/>
      <c r="K13" s="157"/>
    </row>
    <row r="14" spans="1:11" ht="20.45" customHeight="1">
      <c r="A14" s="8"/>
      <c r="B14" s="9"/>
      <c r="C14" s="9"/>
      <c r="D14" s="10"/>
      <c r="E14" s="11"/>
      <c r="F14" s="155"/>
      <c r="G14" s="156"/>
      <c r="H14" s="156"/>
      <c r="I14" s="156"/>
      <c r="J14" s="156"/>
      <c r="K14" s="157"/>
    </row>
    <row r="15" spans="1:11" ht="20.45" customHeight="1">
      <c r="A15" s="8"/>
      <c r="B15" s="9"/>
      <c r="C15" s="9"/>
      <c r="D15" s="10"/>
      <c r="E15" s="11"/>
      <c r="F15" s="155"/>
      <c r="G15" s="156"/>
      <c r="H15" s="156"/>
      <c r="I15" s="156"/>
      <c r="J15" s="156"/>
      <c r="K15" s="157"/>
    </row>
    <row r="16" spans="1:11" ht="20.45" customHeight="1">
      <c r="A16" s="8"/>
      <c r="B16" s="9"/>
      <c r="C16" s="9"/>
      <c r="D16" s="10"/>
      <c r="E16" s="11"/>
      <c r="F16" s="155"/>
      <c r="G16" s="156"/>
      <c r="H16" s="156"/>
      <c r="I16" s="156"/>
      <c r="J16" s="156"/>
      <c r="K16" s="157"/>
    </row>
    <row r="17" spans="1:11" ht="20.45" customHeight="1">
      <c r="A17" s="8"/>
      <c r="B17" s="9"/>
      <c r="C17" s="9"/>
      <c r="D17" s="10"/>
      <c r="E17" s="11"/>
      <c r="F17" s="155"/>
      <c r="G17" s="156"/>
      <c r="H17" s="156"/>
      <c r="I17" s="156"/>
      <c r="J17" s="156"/>
      <c r="K17" s="157"/>
    </row>
    <row r="18" spans="1:11" s="12" customFormat="1" ht="20.45" customHeight="1">
      <c r="A18" s="8"/>
      <c r="B18" s="9"/>
      <c r="C18" s="9"/>
      <c r="D18" s="10"/>
      <c r="E18" s="11"/>
      <c r="F18" s="155"/>
      <c r="G18" s="156"/>
      <c r="H18" s="156"/>
      <c r="I18" s="156"/>
      <c r="J18" s="156"/>
      <c r="K18" s="157"/>
    </row>
    <row r="19" spans="1:11" ht="20.45" customHeight="1">
      <c r="A19" s="8"/>
      <c r="B19" s="9"/>
      <c r="C19" s="9"/>
      <c r="D19" s="10"/>
      <c r="E19" s="11"/>
      <c r="F19" s="155"/>
      <c r="G19" s="156"/>
      <c r="H19" s="156"/>
      <c r="I19" s="156"/>
      <c r="J19" s="156"/>
      <c r="K19" s="157"/>
    </row>
    <row r="20" spans="1:11" s="12" customFormat="1" ht="20.45" customHeight="1">
      <c r="A20" s="8"/>
      <c r="B20" s="9"/>
      <c r="C20" s="9"/>
      <c r="D20" s="10"/>
      <c r="E20" s="11"/>
      <c r="F20" s="155"/>
      <c r="G20" s="156"/>
      <c r="H20" s="156"/>
      <c r="I20" s="156"/>
      <c r="J20" s="156"/>
      <c r="K20" s="157"/>
    </row>
    <row r="21" spans="1:11" ht="20.45" customHeight="1">
      <c r="A21" s="8"/>
      <c r="B21" s="9"/>
      <c r="C21" s="9"/>
      <c r="D21" s="10"/>
      <c r="E21" s="11"/>
      <c r="F21" s="155"/>
      <c r="G21" s="156"/>
      <c r="H21" s="156"/>
      <c r="I21" s="156"/>
      <c r="J21" s="156"/>
      <c r="K21" s="157"/>
    </row>
    <row r="22" spans="1:11" ht="20.45" customHeight="1">
      <c r="A22" s="8"/>
      <c r="B22" s="9"/>
      <c r="C22" s="9"/>
      <c r="D22" s="10"/>
      <c r="E22" s="11"/>
      <c r="F22" s="155"/>
      <c r="G22" s="156"/>
      <c r="H22" s="156"/>
      <c r="I22" s="156"/>
      <c r="J22" s="156"/>
      <c r="K22" s="157"/>
    </row>
    <row r="23" spans="1:11" ht="20.45" customHeight="1">
      <c r="A23" s="8"/>
      <c r="B23" s="9"/>
      <c r="C23" s="9"/>
      <c r="D23" s="10"/>
      <c r="E23" s="11"/>
      <c r="F23" s="155"/>
      <c r="G23" s="156"/>
      <c r="H23" s="156"/>
      <c r="I23" s="156"/>
      <c r="J23" s="156"/>
      <c r="K23" s="157"/>
    </row>
    <row r="24" spans="1:11" ht="20.25" customHeight="1">
      <c r="A24" s="14" t="s">
        <v>11</v>
      </c>
      <c r="B24" s="15">
        <f>SUM($B7:$B23)</f>
        <v>15500</v>
      </c>
      <c r="C24" s="15">
        <f>SUM($C7:$C23)</f>
        <v>82580</v>
      </c>
      <c r="D24" s="15">
        <f>SUM($D7:$D23)</f>
        <v>0</v>
      </c>
      <c r="E24" s="15">
        <f>SUM($E7:$E23)</f>
        <v>0</v>
      </c>
      <c r="F24" s="106"/>
      <c r="G24" s="107"/>
      <c r="H24" s="108"/>
      <c r="I24" s="108"/>
      <c r="J24" s="108"/>
      <c r="K24" s="108"/>
    </row>
    <row r="25" spans="1:11" ht="3.75" customHeight="1">
      <c r="A25" s="13"/>
      <c r="B25" s="17"/>
      <c r="C25" s="17"/>
      <c r="D25" s="17"/>
      <c r="E25" s="18"/>
      <c r="F25" s="16"/>
      <c r="G25" s="16"/>
      <c r="H25" s="19"/>
      <c r="I25" s="19"/>
      <c r="J25" s="105"/>
      <c r="K25" s="19"/>
    </row>
    <row r="26" spans="1:11" ht="21.75" customHeight="1">
      <c r="A26" s="13"/>
      <c r="B26" s="17"/>
      <c r="C26" s="17"/>
      <c r="D26" s="17"/>
      <c r="E26" s="18"/>
      <c r="F26" s="16"/>
      <c r="G26" s="16"/>
      <c r="H26" s="19"/>
      <c r="I26" s="20"/>
      <c r="J26" s="21" t="s">
        <v>12</v>
      </c>
      <c r="K26" s="22">
        <f>$B$24+$C$24+$D$24+$E$24</f>
        <v>98080</v>
      </c>
    </row>
    <row r="27" spans="1:11" ht="12" customHeight="1">
      <c r="A27" s="13"/>
      <c r="B27" s="17"/>
      <c r="C27" s="17"/>
      <c r="D27" s="17"/>
      <c r="E27" s="18"/>
      <c r="F27" s="23"/>
      <c r="G27" s="23"/>
      <c r="H27" s="17"/>
      <c r="I27" s="17"/>
      <c r="J27" s="17"/>
      <c r="K27" s="24"/>
    </row>
    <row r="28" spans="1:11" ht="26.25" customHeight="1">
      <c r="A28" s="25"/>
      <c r="B28" s="27"/>
      <c r="C28" s="27"/>
      <c r="D28" s="27"/>
      <c r="E28" s="28"/>
      <c r="F28" s="26"/>
      <c r="G28" s="28" t="s">
        <v>13</v>
      </c>
      <c r="H28" s="27"/>
      <c r="I28" s="27"/>
      <c r="J28" s="27"/>
      <c r="K28" s="27"/>
    </row>
    <row r="29" spans="1:11" ht="19.5" customHeight="1">
      <c r="A29" s="158" t="s">
        <v>14</v>
      </c>
      <c r="B29" s="159"/>
      <c r="C29" s="29"/>
      <c r="D29" s="30" t="s">
        <v>15</v>
      </c>
      <c r="E29" s="31"/>
      <c r="F29" s="164" t="s">
        <v>16</v>
      </c>
      <c r="G29" s="164"/>
      <c r="H29" s="159"/>
      <c r="I29" s="166" t="s">
        <v>17</v>
      </c>
      <c r="J29" s="167"/>
      <c r="K29" s="168"/>
    </row>
    <row r="30" spans="1:11" ht="18.75" customHeight="1">
      <c r="A30" s="160"/>
      <c r="B30" s="161"/>
      <c r="C30" s="169" t="s">
        <v>18</v>
      </c>
      <c r="D30" s="170"/>
      <c r="E30" s="32" t="s">
        <v>19</v>
      </c>
      <c r="F30" s="165"/>
      <c r="G30" s="165"/>
      <c r="H30" s="161"/>
      <c r="I30" s="169" t="s">
        <v>18</v>
      </c>
      <c r="J30" s="170"/>
      <c r="K30" s="32" t="s">
        <v>19</v>
      </c>
    </row>
    <row r="31" spans="1:11" ht="15.75" customHeight="1">
      <c r="A31" s="160"/>
      <c r="B31" s="161"/>
      <c r="C31" s="33" t="s">
        <v>20</v>
      </c>
      <c r="D31" s="34"/>
      <c r="E31" s="35">
        <f>B24</f>
        <v>15500</v>
      </c>
      <c r="F31" s="165"/>
      <c r="G31" s="165"/>
      <c r="H31" s="161"/>
      <c r="I31" s="33" t="s">
        <v>7</v>
      </c>
      <c r="J31" s="34"/>
      <c r="K31" s="36">
        <v>17000</v>
      </c>
    </row>
    <row r="32" spans="1:11" ht="15.75" customHeight="1">
      <c r="A32" s="160"/>
      <c r="B32" s="161"/>
      <c r="C32" s="33" t="s">
        <v>21</v>
      </c>
      <c r="D32" s="37"/>
      <c r="E32" s="35">
        <f>C24</f>
        <v>82580</v>
      </c>
      <c r="F32" s="165"/>
      <c r="G32" s="165"/>
      <c r="H32" s="161"/>
      <c r="I32" s="38" t="s">
        <v>22</v>
      </c>
      <c r="J32" s="39"/>
      <c r="K32" s="40"/>
    </row>
    <row r="33" spans="1:11" ht="15.75" customHeight="1">
      <c r="A33" s="160"/>
      <c r="B33" s="161"/>
      <c r="C33" s="33" t="s">
        <v>23</v>
      </c>
      <c r="D33" s="37"/>
      <c r="E33" s="35">
        <f>D24</f>
        <v>0</v>
      </c>
      <c r="F33" s="165"/>
      <c r="G33" s="165"/>
      <c r="H33" s="161"/>
      <c r="I33" s="38" t="s">
        <v>24</v>
      </c>
      <c r="J33" s="39"/>
      <c r="K33" s="40"/>
    </row>
    <row r="34" spans="1:11" ht="15.75" customHeight="1">
      <c r="A34" s="160"/>
      <c r="B34" s="161"/>
      <c r="C34" s="33" t="s">
        <v>25</v>
      </c>
      <c r="D34" s="37"/>
      <c r="E34" s="35">
        <f>E24</f>
        <v>0</v>
      </c>
      <c r="F34" s="165"/>
      <c r="G34" s="165"/>
      <c r="H34" s="161"/>
      <c r="I34" s="38"/>
      <c r="J34" s="39"/>
      <c r="K34" s="40"/>
    </row>
    <row r="35" spans="1:11" ht="15.75" customHeight="1">
      <c r="A35" s="160"/>
      <c r="B35" s="161"/>
      <c r="C35" s="41" t="s">
        <v>12</v>
      </c>
      <c r="D35" s="42"/>
      <c r="E35" s="43">
        <f>SUM(E31:E34)</f>
        <v>98080</v>
      </c>
      <c r="F35" s="165"/>
      <c r="G35" s="165"/>
      <c r="H35" s="161"/>
      <c r="I35" s="38"/>
      <c r="J35" s="39"/>
      <c r="K35" s="40"/>
    </row>
    <row r="36" spans="1:11" ht="15.75" customHeight="1">
      <c r="A36" s="160"/>
      <c r="B36" s="161"/>
      <c r="C36" s="171" t="s">
        <v>26</v>
      </c>
      <c r="D36" s="172"/>
      <c r="E36" s="173"/>
      <c r="F36" s="165"/>
      <c r="G36" s="165"/>
      <c r="H36" s="161"/>
      <c r="I36" s="38"/>
      <c r="J36" s="39"/>
      <c r="K36" s="40"/>
    </row>
    <row r="37" spans="1:11" ht="15.75" customHeight="1">
      <c r="A37" s="160"/>
      <c r="B37" s="161"/>
      <c r="C37" s="169" t="s">
        <v>18</v>
      </c>
      <c r="D37" s="170"/>
      <c r="E37" s="32" t="s">
        <v>19</v>
      </c>
      <c r="F37" s="165"/>
      <c r="G37" s="165"/>
      <c r="H37" s="161"/>
      <c r="I37" s="38"/>
      <c r="J37" s="39"/>
      <c r="K37" s="40"/>
    </row>
    <row r="38" spans="1:11" ht="15.75" customHeight="1">
      <c r="A38" s="160"/>
      <c r="B38" s="161"/>
      <c r="C38" s="44" t="s">
        <v>7</v>
      </c>
      <c r="D38" s="45"/>
      <c r="E38" s="46"/>
      <c r="F38" s="165"/>
      <c r="G38" s="165"/>
      <c r="H38" s="161"/>
      <c r="I38" s="41" t="s">
        <v>27</v>
      </c>
      <c r="J38" s="42"/>
      <c r="K38" s="43">
        <f>SUM(K31:K37)</f>
        <v>17000</v>
      </c>
    </row>
    <row r="39" spans="1:11" ht="15.75" customHeight="1">
      <c r="A39" s="160"/>
      <c r="B39" s="161"/>
      <c r="C39" s="47" t="s">
        <v>24</v>
      </c>
      <c r="D39" s="48"/>
      <c r="E39" s="49"/>
      <c r="F39" s="165"/>
      <c r="G39" s="165"/>
      <c r="H39" s="161"/>
      <c r="I39" s="166" t="s">
        <v>28</v>
      </c>
      <c r="J39" s="167"/>
      <c r="K39" s="168"/>
    </row>
    <row r="40" spans="1:11" ht="18.75" customHeight="1">
      <c r="A40" s="162"/>
      <c r="B40" s="163"/>
      <c r="C40" s="41" t="s">
        <v>29</v>
      </c>
      <c r="D40" s="42"/>
      <c r="E40" s="43">
        <f>SUM(E38:E39)</f>
        <v>0</v>
      </c>
      <c r="F40" s="165"/>
      <c r="G40" s="165"/>
      <c r="H40" s="161"/>
      <c r="I40" s="38" t="s">
        <v>30</v>
      </c>
      <c r="J40" s="48"/>
      <c r="K40" s="49"/>
    </row>
    <row r="41" spans="1:11" ht="15.75" customHeight="1">
      <c r="A41" s="13"/>
      <c r="B41" s="50"/>
      <c r="C41" s="51"/>
      <c r="D41" s="52" t="s">
        <v>31</v>
      </c>
      <c r="E41" s="53">
        <f>E35+E40</f>
        <v>98080</v>
      </c>
      <c r="F41" s="54"/>
      <c r="G41" s="54"/>
      <c r="H41" s="55"/>
      <c r="I41" s="51"/>
      <c r="J41" s="52" t="s">
        <v>32</v>
      </c>
      <c r="K41" s="53">
        <f>K38+K40</f>
        <v>17000</v>
      </c>
    </row>
    <row r="42" spans="1:11" ht="11.25" customHeight="1">
      <c r="A42" s="13"/>
      <c r="B42" s="18"/>
      <c r="C42" s="18"/>
      <c r="D42" s="18"/>
      <c r="E42" s="18"/>
      <c r="F42" s="57"/>
      <c r="G42" s="57"/>
      <c r="H42" s="135"/>
      <c r="I42" s="135"/>
      <c r="J42" s="17"/>
      <c r="K42" s="17"/>
    </row>
    <row r="43" spans="1:11" ht="28.5">
      <c r="A43" s="25"/>
      <c r="B43" s="27"/>
      <c r="C43" s="27"/>
      <c r="D43" s="27"/>
      <c r="E43" s="28"/>
      <c r="F43" s="26"/>
      <c r="G43" s="28" t="s">
        <v>33</v>
      </c>
      <c r="H43" s="27"/>
      <c r="I43" s="27"/>
      <c r="J43" s="27"/>
      <c r="K43" s="27"/>
    </row>
    <row r="44" spans="1:11" ht="17.100000000000001" customHeight="1">
      <c r="A44" s="136" t="s">
        <v>34</v>
      </c>
      <c r="B44" s="137"/>
      <c r="C44" s="58" t="s">
        <v>35</v>
      </c>
      <c r="D44" s="58" t="s">
        <v>36</v>
      </c>
      <c r="E44" s="59" t="s">
        <v>19</v>
      </c>
      <c r="F44" s="142" t="s">
        <v>37</v>
      </c>
      <c r="G44" s="143"/>
      <c r="H44" s="137"/>
      <c r="I44" s="58" t="s">
        <v>35</v>
      </c>
      <c r="J44" s="58" t="s">
        <v>36</v>
      </c>
      <c r="K44" s="58" t="s">
        <v>19</v>
      </c>
    </row>
    <row r="45" spans="1:11" ht="17.100000000000001" customHeight="1">
      <c r="A45" s="138"/>
      <c r="B45" s="139"/>
      <c r="C45" s="60">
        <v>20000</v>
      </c>
      <c r="D45" s="61">
        <v>1</v>
      </c>
      <c r="E45" s="62">
        <f>C45*D45</f>
        <v>20000</v>
      </c>
      <c r="F45" s="144"/>
      <c r="G45" s="145"/>
      <c r="H45" s="139"/>
      <c r="I45" s="60">
        <v>500</v>
      </c>
      <c r="J45" s="61">
        <v>3</v>
      </c>
      <c r="K45" s="63">
        <f>I45*J45</f>
        <v>1500</v>
      </c>
    </row>
    <row r="46" spans="1:11" ht="17.100000000000001" customHeight="1">
      <c r="A46" s="138"/>
      <c r="B46" s="139"/>
      <c r="C46" s="60">
        <v>10000</v>
      </c>
      <c r="D46" s="61">
        <v>1</v>
      </c>
      <c r="E46" s="62">
        <f>C46*D46</f>
        <v>10000</v>
      </c>
      <c r="F46" s="144"/>
      <c r="G46" s="145"/>
      <c r="H46" s="139"/>
      <c r="I46" s="60">
        <v>100</v>
      </c>
      <c r="J46" s="61">
        <v>26</v>
      </c>
      <c r="K46" s="63">
        <f>I46*J46</f>
        <v>2600</v>
      </c>
    </row>
    <row r="47" spans="1:11" ht="17.100000000000001" customHeight="1">
      <c r="A47" s="138"/>
      <c r="B47" s="139"/>
      <c r="C47" s="60">
        <v>5000</v>
      </c>
      <c r="D47" s="61">
        <v>4</v>
      </c>
      <c r="E47" s="62">
        <f>C47*D47</f>
        <v>20000</v>
      </c>
      <c r="F47" s="144"/>
      <c r="G47" s="145"/>
      <c r="H47" s="139"/>
      <c r="I47" s="60">
        <v>50</v>
      </c>
      <c r="J47" s="61">
        <v>8</v>
      </c>
      <c r="K47" s="63">
        <f>I47*J47</f>
        <v>400</v>
      </c>
    </row>
    <row r="48" spans="1:11" ht="17.100000000000001" customHeight="1">
      <c r="A48" s="138"/>
      <c r="B48" s="139"/>
      <c r="C48" s="60">
        <v>2000</v>
      </c>
      <c r="D48" s="61"/>
      <c r="E48" s="62">
        <f>C48*D48</f>
        <v>0</v>
      </c>
      <c r="F48" s="144"/>
      <c r="G48" s="145"/>
      <c r="H48" s="139"/>
      <c r="I48" s="60">
        <v>10</v>
      </c>
      <c r="J48" s="61">
        <v>15</v>
      </c>
      <c r="K48" s="63">
        <f>I48*J48</f>
        <v>150</v>
      </c>
    </row>
    <row r="49" spans="1:11" ht="17.100000000000001" customHeight="1">
      <c r="A49" s="140"/>
      <c r="B49" s="141"/>
      <c r="C49" s="60">
        <v>1000</v>
      </c>
      <c r="D49" s="61">
        <v>21</v>
      </c>
      <c r="E49" s="62">
        <f>C49*D49</f>
        <v>21000</v>
      </c>
      <c r="F49" s="146"/>
      <c r="G49" s="147"/>
      <c r="H49" s="141"/>
      <c r="I49" s="60"/>
      <c r="J49" s="64"/>
      <c r="K49" s="63"/>
    </row>
    <row r="50" spans="1:11" ht="18.75">
      <c r="A50" s="13"/>
      <c r="B50" s="65"/>
      <c r="C50" s="66"/>
      <c r="D50" s="67" t="s">
        <v>38</v>
      </c>
      <c r="E50" s="68">
        <f>SUM(E45:E49)</f>
        <v>71000</v>
      </c>
      <c r="F50" s="54"/>
      <c r="G50" s="54"/>
      <c r="H50" s="55"/>
      <c r="I50" s="66"/>
      <c r="J50" s="67" t="s">
        <v>39</v>
      </c>
      <c r="K50" s="68">
        <f>SUM(K45:K49)</f>
        <v>4650</v>
      </c>
    </row>
    <row r="51" spans="1:11" ht="18.75">
      <c r="A51" s="13"/>
      <c r="B51" s="18"/>
      <c r="C51" s="18"/>
      <c r="D51" s="18"/>
      <c r="E51" s="18"/>
      <c r="F51" s="16"/>
      <c r="G51" s="16"/>
      <c r="H51" s="65"/>
      <c r="I51" s="65"/>
      <c r="J51" s="17"/>
      <c r="K51" s="17"/>
    </row>
    <row r="52" spans="1:11" ht="18" customHeight="1">
      <c r="A52" s="13"/>
      <c r="B52" s="18"/>
      <c r="C52" s="18"/>
      <c r="D52" s="18"/>
      <c r="E52" s="18"/>
      <c r="F52" s="69"/>
      <c r="G52" s="69"/>
      <c r="H52" s="70" t="s">
        <v>40</v>
      </c>
      <c r="I52" s="71"/>
      <c r="J52" s="69"/>
      <c r="K52" s="17"/>
    </row>
    <row r="53" spans="1:11" ht="4.5" customHeight="1">
      <c r="A53" s="13"/>
      <c r="B53" s="18"/>
      <c r="C53" s="18"/>
      <c r="D53" s="18"/>
      <c r="E53" s="18"/>
      <c r="F53" s="16"/>
      <c r="G53" s="16"/>
      <c r="H53" s="17"/>
      <c r="I53" s="17"/>
      <c r="J53" s="17"/>
      <c r="K53" s="17"/>
    </row>
    <row r="54" spans="1:11" ht="15" customHeight="1">
      <c r="A54" s="72"/>
      <c r="B54" s="148" t="s">
        <v>41</v>
      </c>
      <c r="C54" s="149"/>
      <c r="D54" s="150"/>
      <c r="E54" s="18"/>
      <c r="F54" s="73"/>
      <c r="G54" s="73"/>
      <c r="H54" s="74" t="s">
        <v>42</v>
      </c>
      <c r="I54" s="75">
        <v>77150</v>
      </c>
      <c r="J54" s="76"/>
      <c r="K54" s="17"/>
    </row>
    <row r="55" spans="1:11" ht="4.5" customHeight="1">
      <c r="A55" s="72"/>
      <c r="B55" s="151"/>
      <c r="C55" s="152"/>
      <c r="D55" s="153"/>
      <c r="E55" s="18"/>
      <c r="F55" s="16"/>
      <c r="G55" s="16"/>
      <c r="H55" s="17"/>
      <c r="I55" s="77"/>
      <c r="J55" s="17"/>
      <c r="K55" s="17"/>
    </row>
    <row r="56" spans="1:11" ht="18.75" customHeight="1">
      <c r="A56" s="78"/>
      <c r="B56" s="154" t="s">
        <v>177</v>
      </c>
      <c r="C56" s="154"/>
      <c r="D56" s="154"/>
      <c r="E56" s="18"/>
      <c r="F56" s="79"/>
      <c r="G56" s="79"/>
      <c r="H56" s="80" t="s">
        <v>43</v>
      </c>
      <c r="I56" s="81">
        <f>E50+K50</f>
        <v>75650</v>
      </c>
      <c r="J56" s="82"/>
      <c r="K56" s="17"/>
    </row>
    <row r="57" spans="1:11" ht="4.5" customHeight="1">
      <c r="A57" s="78"/>
      <c r="B57" s="154"/>
      <c r="C57" s="154"/>
      <c r="D57" s="154"/>
      <c r="E57" s="18"/>
      <c r="F57" s="56"/>
      <c r="G57" s="56"/>
      <c r="H57" s="57"/>
      <c r="I57" s="83"/>
      <c r="J57" s="65"/>
      <c r="K57" s="17"/>
    </row>
    <row r="58" spans="1:11" ht="18.75">
      <c r="A58" s="78"/>
      <c r="B58" s="154"/>
      <c r="C58" s="154"/>
      <c r="D58" s="154"/>
      <c r="E58" s="18"/>
      <c r="F58" s="79"/>
      <c r="G58" s="79"/>
      <c r="H58" s="80" t="s">
        <v>12</v>
      </c>
      <c r="I58" s="81">
        <f>K26</f>
        <v>98080</v>
      </c>
      <c r="J58" s="82"/>
      <c r="K58" s="24"/>
    </row>
    <row r="59" spans="1:11" ht="4.5" customHeight="1">
      <c r="A59" s="78"/>
      <c r="B59" s="154"/>
      <c r="C59" s="154"/>
      <c r="D59" s="154"/>
      <c r="E59" s="18"/>
      <c r="F59" s="56"/>
      <c r="G59" s="56"/>
      <c r="H59" s="57"/>
      <c r="I59" s="83"/>
      <c r="J59" s="18"/>
      <c r="K59" s="17"/>
    </row>
    <row r="60" spans="1:11" ht="18.75">
      <c r="A60" s="78"/>
      <c r="B60" s="154"/>
      <c r="C60" s="154"/>
      <c r="D60" s="154"/>
      <c r="E60" s="18"/>
      <c r="F60" s="84"/>
      <c r="G60" s="84"/>
      <c r="H60" s="85" t="s">
        <v>26</v>
      </c>
      <c r="I60" s="86">
        <f>E38</f>
        <v>0</v>
      </c>
      <c r="J60" s="82"/>
      <c r="K60" s="17"/>
    </row>
    <row r="61" spans="1:11" ht="4.5" customHeight="1">
      <c r="A61" s="78"/>
      <c r="B61" s="154"/>
      <c r="C61" s="154"/>
      <c r="D61" s="154"/>
      <c r="E61" s="18"/>
      <c r="F61" s="13"/>
      <c r="G61" s="13"/>
      <c r="H61" s="16"/>
      <c r="I61" s="77"/>
      <c r="J61" s="17"/>
      <c r="K61" s="17"/>
    </row>
    <row r="62" spans="1:11" ht="18.75">
      <c r="A62" s="78"/>
      <c r="B62" s="154"/>
      <c r="C62" s="154"/>
      <c r="D62" s="154"/>
      <c r="E62" s="18"/>
      <c r="F62" s="84"/>
      <c r="G62" s="84"/>
      <c r="H62" s="85" t="s">
        <v>17</v>
      </c>
      <c r="I62" s="86">
        <f>K31+K40</f>
        <v>17000</v>
      </c>
      <c r="J62" s="82"/>
      <c r="K62" s="17"/>
    </row>
    <row r="63" spans="1:11" ht="4.5" customHeight="1">
      <c r="A63" s="78"/>
      <c r="B63" s="154"/>
      <c r="C63" s="154"/>
      <c r="D63" s="154"/>
      <c r="E63" s="18"/>
      <c r="F63" s="13"/>
      <c r="G63" s="13"/>
      <c r="H63" s="16"/>
      <c r="I63" s="77"/>
      <c r="J63" s="17"/>
      <c r="K63" s="17"/>
    </row>
    <row r="64" spans="1:11" ht="18.75">
      <c r="A64" s="78"/>
      <c r="B64" s="154"/>
      <c r="C64" s="154"/>
      <c r="D64" s="154"/>
      <c r="E64" s="18"/>
      <c r="F64" s="84"/>
      <c r="G64" s="84"/>
      <c r="H64" s="85" t="s">
        <v>44</v>
      </c>
      <c r="I64" s="86">
        <f>I54+I58+I60-I62</f>
        <v>158230</v>
      </c>
      <c r="J64" s="87"/>
      <c r="K64" s="17"/>
    </row>
    <row r="65" spans="1:11" ht="4.5" customHeight="1">
      <c r="A65" s="13"/>
      <c r="B65" s="154"/>
      <c r="C65" s="154"/>
      <c r="D65" s="154"/>
      <c r="E65" s="18"/>
      <c r="F65" s="16"/>
      <c r="G65" s="16"/>
      <c r="H65" s="18"/>
      <c r="I65" s="77"/>
      <c r="J65" s="17"/>
      <c r="K65" s="17"/>
    </row>
    <row r="66" spans="1:11" ht="18.75">
      <c r="A66" s="13"/>
      <c r="B66" s="154"/>
      <c r="C66" s="154"/>
      <c r="D66" s="154"/>
      <c r="E66" s="18"/>
      <c r="F66" s="73"/>
      <c r="G66" s="73"/>
      <c r="H66" s="74" t="s">
        <v>45</v>
      </c>
      <c r="I66" s="86">
        <f>I64-I54</f>
        <v>81080</v>
      </c>
      <c r="J66" s="88"/>
      <c r="K66" s="17"/>
    </row>
    <row r="67" spans="1:11" ht="4.5" customHeight="1">
      <c r="A67" s="78"/>
      <c r="B67" s="154"/>
      <c r="C67" s="154"/>
      <c r="D67" s="154"/>
      <c r="E67" s="18"/>
      <c r="F67" s="16"/>
      <c r="G67" s="16"/>
      <c r="H67" s="16"/>
      <c r="I67" s="77"/>
      <c r="J67" s="17"/>
      <c r="K67" s="17"/>
    </row>
    <row r="68" spans="1:11" ht="18.75">
      <c r="A68" s="13"/>
      <c r="B68" s="154"/>
      <c r="C68" s="154"/>
      <c r="D68" s="154"/>
      <c r="E68" s="18"/>
      <c r="F68" s="79"/>
      <c r="G68" s="79"/>
      <c r="H68" s="80" t="s">
        <v>46</v>
      </c>
      <c r="I68" s="86">
        <f>I54+E31+(E38-(K31+K40))</f>
        <v>75650</v>
      </c>
      <c r="J68" s="88"/>
      <c r="K68" s="17"/>
    </row>
    <row r="69" spans="1:11" ht="4.5" customHeight="1">
      <c r="A69" s="78"/>
      <c r="B69" s="154"/>
      <c r="C69" s="154"/>
      <c r="D69" s="154"/>
      <c r="E69" s="18"/>
      <c r="F69" s="16"/>
      <c r="G69" s="16"/>
      <c r="H69" s="16"/>
      <c r="I69" s="77"/>
      <c r="J69" s="17"/>
      <c r="K69" s="17"/>
    </row>
    <row r="70" spans="1:11" ht="18.75" customHeight="1">
      <c r="A70" s="78"/>
      <c r="B70" s="154"/>
      <c r="C70" s="154"/>
      <c r="D70" s="154"/>
      <c r="E70" s="18"/>
      <c r="F70" s="79"/>
      <c r="G70" s="79"/>
      <c r="H70" s="80" t="s">
        <v>47</v>
      </c>
      <c r="I70" s="89">
        <f>I56-I68</f>
        <v>0</v>
      </c>
      <c r="J70" s="90"/>
      <c r="K70" s="17"/>
    </row>
    <row r="71" spans="1:11" ht="15" customHeight="1">
      <c r="A71" s="91"/>
      <c r="B71" s="92"/>
      <c r="C71" s="92"/>
      <c r="D71" s="92"/>
      <c r="E71" s="93"/>
      <c r="F71" s="94"/>
      <c r="G71" s="94"/>
      <c r="H71" s="95"/>
      <c r="I71" s="95"/>
      <c r="J71" s="95"/>
      <c r="K71" s="95"/>
    </row>
    <row r="72" spans="1:11" ht="15" customHeight="1">
      <c r="A72" s="91"/>
      <c r="B72" s="92"/>
      <c r="C72" s="92"/>
      <c r="D72" s="92"/>
      <c r="E72" s="93"/>
      <c r="F72" s="94"/>
      <c r="G72" s="94"/>
      <c r="H72" s="95"/>
      <c r="I72" s="95"/>
      <c r="J72" s="95"/>
      <c r="K72" s="95"/>
    </row>
    <row r="73" spans="1:11" ht="15" customHeight="1">
      <c r="A73" s="91"/>
      <c r="B73" s="92"/>
      <c r="C73" s="92"/>
      <c r="D73" s="92"/>
      <c r="E73" s="93"/>
      <c r="F73" s="94"/>
      <c r="G73" s="94"/>
      <c r="H73" s="95"/>
      <c r="I73" s="95"/>
      <c r="J73" s="95"/>
      <c r="K73" s="95"/>
    </row>
    <row r="74" spans="1:11" ht="15" customHeight="1">
      <c r="A74" s="91"/>
      <c r="B74" s="92"/>
      <c r="C74" s="92"/>
      <c r="D74" s="92"/>
      <c r="E74" s="93"/>
      <c r="F74" s="94"/>
      <c r="G74" s="94"/>
      <c r="H74" s="95"/>
      <c r="I74" s="95"/>
      <c r="J74" s="95"/>
      <c r="K74" s="95"/>
    </row>
    <row r="75" spans="1:11" ht="15.75" customHeight="1">
      <c r="A75" s="91"/>
      <c r="B75" s="92"/>
      <c r="C75" s="92"/>
      <c r="D75" s="92"/>
      <c r="E75" s="93"/>
      <c r="F75" s="94"/>
      <c r="G75" s="94"/>
      <c r="H75" s="95"/>
      <c r="I75" s="95"/>
      <c r="J75" s="95"/>
      <c r="K75" s="95"/>
    </row>
    <row r="76" spans="1:11" ht="14.25" customHeight="1">
      <c r="A76" s="91"/>
      <c r="B76" s="92"/>
      <c r="C76" s="92"/>
      <c r="D76" s="92"/>
      <c r="E76" s="93"/>
      <c r="F76" s="94"/>
      <c r="G76" s="94"/>
      <c r="H76" s="95"/>
      <c r="I76" s="95"/>
      <c r="J76" s="95"/>
      <c r="K76" s="95"/>
    </row>
    <row r="77" spans="1:11">
      <c r="A77" s="96"/>
      <c r="B77" s="98"/>
      <c r="C77" s="98"/>
      <c r="D77" s="98"/>
      <c r="E77" s="98"/>
      <c r="F77" s="97"/>
      <c r="G77" s="97"/>
      <c r="H77" s="99"/>
      <c r="I77" s="99"/>
      <c r="J77" s="99"/>
      <c r="K77" s="99"/>
    </row>
    <row r="78" spans="1:11">
      <c r="D78" s="102"/>
      <c r="E78" s="102"/>
    </row>
    <row r="79" spans="1:11">
      <c r="D79" s="102"/>
      <c r="E79" s="102"/>
      <c r="H79" s="102"/>
    </row>
    <row r="80" spans="1:11">
      <c r="D80" s="102"/>
      <c r="E80" s="102"/>
      <c r="H80" s="102"/>
    </row>
    <row r="81" spans="4:11">
      <c r="D81" s="102"/>
      <c r="E81" s="102"/>
      <c r="H81" s="102"/>
      <c r="I81" s="102"/>
      <c r="J81" s="102"/>
      <c r="K81" s="102"/>
    </row>
    <row r="82" spans="4:11">
      <c r="D82" s="102"/>
      <c r="E82" s="102"/>
      <c r="H82" s="102"/>
      <c r="I82" s="102"/>
      <c r="J82" s="102"/>
      <c r="K82" s="102"/>
    </row>
    <row r="83" spans="4:11">
      <c r="D83" s="102"/>
      <c r="E83" s="102"/>
      <c r="H83" s="102"/>
      <c r="I83" s="102"/>
      <c r="J83" s="102"/>
      <c r="K83" s="102"/>
    </row>
    <row r="84" spans="4:11">
      <c r="D84" s="102"/>
      <c r="E84" s="102"/>
      <c r="H84" s="102"/>
      <c r="I84" s="102"/>
      <c r="J84" s="102"/>
      <c r="K84" s="102"/>
    </row>
    <row r="85" spans="4:11">
      <c r="D85" s="102"/>
      <c r="E85" s="102"/>
      <c r="H85" s="102"/>
      <c r="I85" s="102"/>
      <c r="J85" s="102"/>
      <c r="K85" s="102"/>
    </row>
    <row r="86" spans="4:11">
      <c r="D86" s="102"/>
      <c r="E86" s="102"/>
      <c r="H86" s="102"/>
      <c r="I86" s="102"/>
      <c r="J86" s="102"/>
      <c r="K86" s="102"/>
    </row>
    <row r="87" spans="4:11">
      <c r="D87" s="102"/>
      <c r="E87" s="102"/>
      <c r="H87" s="102"/>
      <c r="I87" s="102"/>
      <c r="J87" s="102"/>
      <c r="K87" s="102"/>
    </row>
    <row r="88" spans="4:11">
      <c r="D88" s="102"/>
      <c r="E88" s="102"/>
      <c r="H88" s="102"/>
      <c r="I88" s="102"/>
      <c r="J88" s="102"/>
      <c r="K88" s="102"/>
    </row>
  </sheetData>
  <mergeCells count="39">
    <mergeCell ref="F9:K9"/>
    <mergeCell ref="A1:B1"/>
    <mergeCell ref="C1:E1"/>
    <mergeCell ref="F1:G1"/>
    <mergeCell ref="H1:K1"/>
    <mergeCell ref="A3:K3"/>
    <mergeCell ref="A4:K4"/>
    <mergeCell ref="A5:A6"/>
    <mergeCell ref="B5:E5"/>
    <mergeCell ref="F5:K6"/>
    <mergeCell ref="F7:K7"/>
    <mergeCell ref="F8:K8"/>
    <mergeCell ref="F21:K21"/>
    <mergeCell ref="F10:K10"/>
    <mergeCell ref="F11:K11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22:K22"/>
    <mergeCell ref="F23:K23"/>
    <mergeCell ref="A29:B40"/>
    <mergeCell ref="F29:H40"/>
    <mergeCell ref="I29:K29"/>
    <mergeCell ref="C30:D30"/>
    <mergeCell ref="I30:J30"/>
    <mergeCell ref="C36:E36"/>
    <mergeCell ref="C37:D37"/>
    <mergeCell ref="I39:K39"/>
    <mergeCell ref="H42:I42"/>
    <mergeCell ref="A44:B49"/>
    <mergeCell ref="F44:H49"/>
    <mergeCell ref="B54:D55"/>
    <mergeCell ref="B56:D70"/>
  </mergeCells>
  <conditionalFormatting sqref="I70">
    <cfRule type="expression" dxfId="5" priority="1">
      <formula>$I70=0</formula>
    </cfRule>
    <cfRule type="expression" dxfId="4" priority="2">
      <formula>$I70&gt;=1</formula>
    </cfRule>
    <cfRule type="expression" dxfId="3" priority="3">
      <formula>$I70&lt;=-1</formula>
    </cfRule>
  </conditionalFormatting>
  <pageMargins left="0.25" right="0.25" top="0.75" bottom="0.75" header="0.3" footer="0.3"/>
  <pageSetup paperSize="9" scale="60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A520-7EA8-4BFC-8D10-3B317621D6C4}">
  <sheetPr>
    <tabColor theme="6"/>
    <pageSetUpPr fitToPage="1"/>
  </sheetPr>
  <dimension ref="A1:K88"/>
  <sheetViews>
    <sheetView showWhiteSpace="0" view="pageLayout" zoomScale="80" zoomScaleNormal="80" zoomScalePageLayoutView="80" workbookViewId="0">
      <selection activeCell="E16" sqref="E16"/>
    </sheetView>
  </sheetViews>
  <sheetFormatPr defaultColWidth="20.7109375" defaultRowHeight="15"/>
  <cols>
    <col min="1" max="1" width="13.5703125" style="100" customWidth="1"/>
    <col min="2" max="3" width="13.7109375" style="102" customWidth="1"/>
    <col min="4" max="4" width="13.7109375" style="103" customWidth="1"/>
    <col min="5" max="5" width="16.7109375" style="104" customWidth="1"/>
    <col min="6" max="7" width="13.7109375" style="101" customWidth="1"/>
    <col min="8" max="10" width="13.7109375" style="103" customWidth="1"/>
    <col min="11" max="11" width="28.140625" style="124" customWidth="1"/>
    <col min="12" max="14" width="6.7109375" customWidth="1"/>
    <col min="15" max="17" width="10.7109375" customWidth="1"/>
    <col min="18" max="18" width="17.42578125" customWidth="1"/>
    <col min="19" max="19" width="10.7109375" customWidth="1"/>
    <col min="20" max="23" width="6.7109375" customWidth="1"/>
    <col min="24" max="26" width="10.7109375" customWidth="1"/>
    <col min="27" max="27" width="17.42578125" customWidth="1"/>
    <col min="28" max="28" width="10.7109375" customWidth="1"/>
    <col min="29" max="32" width="6.7109375" customWidth="1"/>
    <col min="33" max="35" width="10.7109375" customWidth="1"/>
    <col min="36" max="36" width="17.42578125" customWidth="1"/>
    <col min="37" max="37" width="10.7109375" customWidth="1"/>
    <col min="38" max="41" width="6.7109375" customWidth="1"/>
    <col min="42" max="44" width="10.7109375" customWidth="1"/>
    <col min="45" max="45" width="17.42578125" customWidth="1"/>
    <col min="46" max="46" width="10.7109375" customWidth="1"/>
    <col min="47" max="50" width="6.7109375" customWidth="1"/>
    <col min="51" max="53" width="10.7109375" customWidth="1"/>
    <col min="54" max="54" width="17.42578125" customWidth="1"/>
    <col min="55" max="55" width="10.7109375" customWidth="1"/>
    <col min="56" max="59" width="6.7109375" customWidth="1"/>
    <col min="60" max="62" width="10.7109375" customWidth="1"/>
    <col min="63" max="63" width="17.42578125" customWidth="1"/>
    <col min="64" max="64" width="10.7109375" customWidth="1"/>
    <col min="65" max="68" width="6.7109375" customWidth="1"/>
    <col min="69" max="71" width="10.7109375" customWidth="1"/>
    <col min="72" max="72" width="17.42578125" customWidth="1"/>
    <col min="73" max="73" width="10.7109375" customWidth="1"/>
    <col min="74" max="77" width="6.7109375" customWidth="1"/>
    <col min="78" max="80" width="10.7109375" customWidth="1"/>
    <col min="81" max="81" width="17.42578125" customWidth="1"/>
    <col min="82" max="82" width="10.7109375" customWidth="1"/>
    <col min="83" max="86" width="6.7109375" customWidth="1"/>
    <col min="87" max="89" width="10.7109375" customWidth="1"/>
    <col min="90" max="90" width="17.42578125" customWidth="1"/>
    <col min="91" max="91" width="10.7109375" customWidth="1"/>
    <col min="92" max="95" width="6.7109375" customWidth="1"/>
    <col min="96" max="98" width="10.7109375" customWidth="1"/>
    <col min="99" max="99" width="17.42578125" customWidth="1"/>
    <col min="100" max="100" width="10.7109375" customWidth="1"/>
    <col min="101" max="104" width="6.7109375" customWidth="1"/>
    <col min="105" max="107" width="10.7109375" customWidth="1"/>
    <col min="108" max="108" width="17.42578125" customWidth="1"/>
    <col min="109" max="109" width="10.7109375" customWidth="1"/>
    <col min="110" max="113" width="6.7109375" customWidth="1"/>
    <col min="114" max="116" width="10.7109375" customWidth="1"/>
    <col min="117" max="117" width="17.42578125" customWidth="1"/>
    <col min="118" max="118" width="10.7109375" customWidth="1"/>
    <col min="119" max="122" width="6.7109375" customWidth="1"/>
    <col min="123" max="125" width="10.7109375" customWidth="1"/>
    <col min="126" max="126" width="17.42578125" customWidth="1"/>
    <col min="127" max="127" width="10.7109375" customWidth="1"/>
    <col min="128" max="131" width="6.7109375" customWidth="1"/>
    <col min="132" max="134" width="10.7109375" customWidth="1"/>
    <col min="135" max="135" width="17.42578125" customWidth="1"/>
    <col min="136" max="136" width="10.7109375" customWidth="1"/>
    <col min="137" max="140" width="6.7109375" customWidth="1"/>
    <col min="141" max="143" width="10.7109375" customWidth="1"/>
    <col min="144" max="144" width="17.42578125" customWidth="1"/>
    <col min="145" max="145" width="10.7109375" customWidth="1"/>
    <col min="146" max="149" width="6.7109375" customWidth="1"/>
    <col min="150" max="152" width="10.7109375" customWidth="1"/>
    <col min="153" max="153" width="17.42578125" customWidth="1"/>
    <col min="154" max="154" width="10.7109375" customWidth="1"/>
    <col min="155" max="158" width="6.7109375" customWidth="1"/>
    <col min="159" max="161" width="10.7109375" customWidth="1"/>
    <col min="162" max="162" width="17.42578125" customWidth="1"/>
    <col min="163" max="163" width="10.7109375" customWidth="1"/>
    <col min="164" max="167" width="6.7109375" customWidth="1"/>
    <col min="168" max="170" width="10.7109375" customWidth="1"/>
    <col min="171" max="171" width="17.42578125" customWidth="1"/>
    <col min="172" max="172" width="10.7109375" customWidth="1"/>
    <col min="173" max="176" width="6.7109375" customWidth="1"/>
    <col min="177" max="179" width="10.7109375" customWidth="1"/>
    <col min="180" max="180" width="17.42578125" customWidth="1"/>
    <col min="181" max="181" width="10.7109375" customWidth="1"/>
    <col min="182" max="185" width="6.7109375" customWidth="1"/>
    <col min="186" max="188" width="10.7109375" customWidth="1"/>
    <col min="189" max="189" width="17.42578125" customWidth="1"/>
    <col min="190" max="190" width="10.7109375" customWidth="1"/>
    <col min="191" max="194" width="6.7109375" customWidth="1"/>
    <col min="195" max="197" width="10.7109375" customWidth="1"/>
    <col min="198" max="198" width="17.42578125" customWidth="1"/>
    <col min="199" max="199" width="10.7109375" customWidth="1"/>
    <col min="200" max="203" width="6.7109375" customWidth="1"/>
    <col min="204" max="206" width="10.7109375" customWidth="1"/>
    <col min="207" max="207" width="17.42578125" customWidth="1"/>
    <col min="208" max="208" width="10.7109375" customWidth="1"/>
    <col min="209" max="212" width="6.7109375" customWidth="1"/>
    <col min="213" max="215" width="10.7109375" customWidth="1"/>
    <col min="216" max="216" width="17.42578125" customWidth="1"/>
    <col min="217" max="217" width="10.7109375" customWidth="1"/>
    <col min="218" max="221" width="6.7109375" customWidth="1"/>
    <col min="222" max="224" width="10.7109375" customWidth="1"/>
    <col min="225" max="225" width="17.42578125" customWidth="1"/>
    <col min="226" max="226" width="10.7109375" customWidth="1"/>
    <col min="227" max="230" width="6.7109375" customWidth="1"/>
    <col min="231" max="233" width="10.7109375" customWidth="1"/>
    <col min="234" max="234" width="17.42578125" customWidth="1"/>
    <col min="235" max="235" width="10.7109375" customWidth="1"/>
    <col min="236" max="239" width="6.7109375" customWidth="1"/>
    <col min="240" max="242" width="10.7109375" customWidth="1"/>
    <col min="243" max="243" width="17.42578125" customWidth="1"/>
    <col min="244" max="244" width="10.7109375" customWidth="1"/>
    <col min="245" max="248" width="6.7109375" customWidth="1"/>
    <col min="249" max="251" width="10.7109375" customWidth="1"/>
    <col min="252" max="252" width="17.42578125" customWidth="1"/>
    <col min="253" max="253" width="10.7109375" customWidth="1"/>
    <col min="254" max="257" width="6.7109375" customWidth="1"/>
    <col min="258" max="260" width="10.7109375" customWidth="1"/>
    <col min="261" max="261" width="17.42578125" customWidth="1"/>
    <col min="262" max="262" width="10.7109375" customWidth="1"/>
    <col min="263" max="266" width="6.7109375" customWidth="1"/>
    <col min="267" max="269" width="10.7109375" customWidth="1"/>
    <col min="270" max="270" width="17.42578125" customWidth="1"/>
    <col min="271" max="271" width="10.7109375" customWidth="1"/>
    <col min="272" max="275" width="6.7109375" customWidth="1"/>
    <col min="276" max="278" width="10.7109375" customWidth="1"/>
    <col min="279" max="279" width="17.42578125" customWidth="1"/>
    <col min="280" max="280" width="10.7109375" customWidth="1"/>
    <col min="281" max="284" width="6.7109375" customWidth="1"/>
    <col min="285" max="287" width="10.7109375" customWidth="1"/>
    <col min="288" max="288" width="17.42578125" customWidth="1"/>
    <col min="289" max="289" width="10.7109375" customWidth="1"/>
    <col min="290" max="293" width="6.7109375" customWidth="1"/>
    <col min="294" max="296" width="10.7109375" customWidth="1"/>
    <col min="297" max="297" width="17.42578125" customWidth="1"/>
    <col min="298" max="298" width="10.7109375" customWidth="1"/>
    <col min="299" max="302" width="6.7109375" customWidth="1"/>
    <col min="303" max="305" width="10.7109375" customWidth="1"/>
    <col min="306" max="306" width="17.42578125" customWidth="1"/>
    <col min="307" max="307" width="10.7109375" customWidth="1"/>
    <col min="308" max="311" width="6.7109375" customWidth="1"/>
    <col min="312" max="314" width="10.7109375" customWidth="1"/>
    <col min="315" max="315" width="17.42578125" customWidth="1"/>
    <col min="316" max="316" width="10.7109375" customWidth="1"/>
    <col min="317" max="320" width="6.7109375" customWidth="1"/>
    <col min="321" max="323" width="10.7109375" customWidth="1"/>
    <col min="324" max="324" width="17.42578125" customWidth="1"/>
    <col min="325" max="325" width="10.7109375" customWidth="1"/>
    <col min="326" max="329" width="6.7109375" customWidth="1"/>
    <col min="330" max="332" width="10.7109375" customWidth="1"/>
    <col min="333" max="333" width="17.42578125" customWidth="1"/>
    <col min="334" max="334" width="10.7109375" customWidth="1"/>
    <col min="335" max="338" width="6.7109375" customWidth="1"/>
    <col min="339" max="341" width="10.7109375" customWidth="1"/>
    <col min="342" max="342" width="17.42578125" customWidth="1"/>
    <col min="343" max="343" width="10.7109375" customWidth="1"/>
    <col min="344" max="347" width="6.7109375" customWidth="1"/>
    <col min="348" max="350" width="10.7109375" customWidth="1"/>
    <col min="351" max="351" width="17.42578125" customWidth="1"/>
    <col min="352" max="352" width="10.7109375" customWidth="1"/>
    <col min="353" max="356" width="6.7109375" customWidth="1"/>
    <col min="357" max="359" width="10.7109375" customWidth="1"/>
    <col min="360" max="360" width="17.42578125" customWidth="1"/>
    <col min="361" max="361" width="10.7109375" customWidth="1"/>
    <col min="362" max="365" width="6.7109375" customWidth="1"/>
    <col min="366" max="368" width="10.7109375" customWidth="1"/>
    <col min="369" max="369" width="17.42578125" customWidth="1"/>
    <col min="370" max="370" width="10.7109375" customWidth="1"/>
    <col min="371" max="374" width="6.7109375" customWidth="1"/>
    <col min="375" max="377" width="10.7109375" customWidth="1"/>
    <col min="378" max="378" width="17.42578125" customWidth="1"/>
    <col min="379" max="379" width="10.7109375" customWidth="1"/>
    <col min="380" max="383" width="6.7109375" customWidth="1"/>
    <col min="384" max="386" width="10.7109375" customWidth="1"/>
    <col min="387" max="387" width="17.42578125" customWidth="1"/>
    <col min="388" max="388" width="10.7109375" customWidth="1"/>
    <col min="389" max="392" width="6.7109375" customWidth="1"/>
    <col min="393" max="395" width="10.7109375" customWidth="1"/>
    <col min="396" max="396" width="17.42578125" customWidth="1"/>
    <col min="397" max="397" width="10.7109375" customWidth="1"/>
    <col min="398" max="401" width="6.7109375" customWidth="1"/>
    <col min="402" max="404" width="10.7109375" customWidth="1"/>
    <col min="405" max="405" width="17.42578125" customWidth="1"/>
    <col min="406" max="406" width="10.7109375" customWidth="1"/>
    <col min="407" max="410" width="6.7109375" customWidth="1"/>
    <col min="411" max="413" width="10.7109375" customWidth="1"/>
    <col min="414" max="414" width="17.42578125" customWidth="1"/>
    <col min="415" max="415" width="10.7109375" customWidth="1"/>
    <col min="416" max="419" width="6.7109375" customWidth="1"/>
    <col min="420" max="422" width="10.7109375" customWidth="1"/>
    <col min="423" max="423" width="17.42578125" customWidth="1"/>
    <col min="424" max="424" width="10.7109375" customWidth="1"/>
    <col min="425" max="428" width="6.7109375" customWidth="1"/>
    <col min="429" max="431" width="10.7109375" customWidth="1"/>
    <col min="432" max="432" width="17.42578125" customWidth="1"/>
    <col min="433" max="433" width="10.7109375" customWidth="1"/>
    <col min="434" max="437" width="6.7109375" customWidth="1"/>
    <col min="438" max="440" width="10.7109375" customWidth="1"/>
    <col min="441" max="441" width="17.42578125" customWidth="1"/>
    <col min="442" max="442" width="10.7109375" customWidth="1"/>
    <col min="443" max="446" width="6.7109375" customWidth="1"/>
    <col min="447" max="449" width="10.7109375" customWidth="1"/>
    <col min="450" max="450" width="17.42578125" customWidth="1"/>
    <col min="451" max="451" width="10.7109375" customWidth="1"/>
    <col min="452" max="455" width="6.7109375" customWidth="1"/>
    <col min="456" max="458" width="10.7109375" customWidth="1"/>
    <col min="459" max="459" width="17.42578125" customWidth="1"/>
    <col min="460" max="460" width="10.7109375" customWidth="1"/>
    <col min="461" max="464" width="6.7109375" customWidth="1"/>
    <col min="465" max="467" width="10.7109375" customWidth="1"/>
    <col min="468" max="468" width="17.42578125" customWidth="1"/>
    <col min="469" max="469" width="10.7109375" customWidth="1"/>
    <col min="470" max="473" width="6.7109375" customWidth="1"/>
    <col min="474" max="476" width="10.7109375" customWidth="1"/>
    <col min="477" max="477" width="17.42578125" customWidth="1"/>
    <col min="478" max="478" width="10.7109375" customWidth="1"/>
    <col min="479" max="482" width="6.7109375" customWidth="1"/>
    <col min="483" max="485" width="10.7109375" customWidth="1"/>
    <col min="486" max="486" width="17.42578125" customWidth="1"/>
    <col min="487" max="487" width="10.7109375" customWidth="1"/>
    <col min="488" max="491" width="6.7109375" customWidth="1"/>
    <col min="492" max="494" width="10.7109375" customWidth="1"/>
    <col min="495" max="495" width="17.42578125" customWidth="1"/>
    <col min="496" max="496" width="10.7109375" customWidth="1"/>
    <col min="497" max="500" width="6.7109375" customWidth="1"/>
    <col min="501" max="503" width="10.7109375" customWidth="1"/>
    <col min="504" max="504" width="17.42578125" customWidth="1"/>
    <col min="505" max="505" width="10.7109375" customWidth="1"/>
    <col min="506" max="509" width="6.7109375" customWidth="1"/>
    <col min="510" max="512" width="10.7109375" customWidth="1"/>
    <col min="513" max="513" width="17.42578125" customWidth="1"/>
    <col min="514" max="514" width="10.7109375" customWidth="1"/>
    <col min="515" max="518" width="6.7109375" customWidth="1"/>
    <col min="519" max="521" width="10.7109375" customWidth="1"/>
    <col min="522" max="522" width="17.42578125" customWidth="1"/>
    <col min="523" max="523" width="10.7109375" customWidth="1"/>
    <col min="524" max="527" width="6.7109375" customWidth="1"/>
    <col min="528" max="530" width="10.7109375" customWidth="1"/>
    <col min="531" max="531" width="17.42578125" customWidth="1"/>
    <col min="532" max="532" width="10.7109375" customWidth="1"/>
    <col min="533" max="536" width="6.7109375" customWidth="1"/>
    <col min="537" max="539" width="10.7109375" customWidth="1"/>
    <col min="540" max="540" width="17.42578125" customWidth="1"/>
    <col min="541" max="541" width="10.7109375" customWidth="1"/>
    <col min="542" max="545" width="6.7109375" customWidth="1"/>
    <col min="546" max="548" width="10.7109375" customWidth="1"/>
    <col min="549" max="549" width="17.42578125" customWidth="1"/>
    <col min="550" max="550" width="10.7109375" customWidth="1"/>
    <col min="551" max="554" width="6.7109375" customWidth="1"/>
    <col min="555" max="557" width="10.7109375" customWidth="1"/>
    <col min="558" max="558" width="17.42578125" customWidth="1"/>
    <col min="559" max="559" width="10.7109375" customWidth="1"/>
    <col min="560" max="563" width="6.7109375" customWidth="1"/>
    <col min="564" max="566" width="10.7109375" customWidth="1"/>
    <col min="567" max="567" width="17.42578125" customWidth="1"/>
    <col min="568" max="568" width="10.7109375" customWidth="1"/>
    <col min="569" max="572" width="6.7109375" customWidth="1"/>
    <col min="573" max="575" width="10.7109375" customWidth="1"/>
    <col min="576" max="576" width="17.42578125" customWidth="1"/>
    <col min="577" max="577" width="10.7109375" customWidth="1"/>
    <col min="578" max="581" width="6.7109375" customWidth="1"/>
    <col min="582" max="584" width="10.7109375" customWidth="1"/>
    <col min="585" max="585" width="17.42578125" customWidth="1"/>
    <col min="586" max="586" width="10.7109375" customWidth="1"/>
    <col min="587" max="590" width="6.7109375" customWidth="1"/>
    <col min="591" max="593" width="10.7109375" customWidth="1"/>
    <col min="594" max="594" width="17.42578125" customWidth="1"/>
    <col min="595" max="595" width="10.7109375" customWidth="1"/>
    <col min="596" max="599" width="6.7109375" customWidth="1"/>
    <col min="600" max="602" width="10.7109375" customWidth="1"/>
    <col min="603" max="603" width="17.42578125" customWidth="1"/>
    <col min="604" max="604" width="10.7109375" customWidth="1"/>
    <col min="605" max="608" width="6.7109375" customWidth="1"/>
    <col min="609" max="611" width="10.7109375" customWidth="1"/>
    <col min="612" max="612" width="17.42578125" customWidth="1"/>
    <col min="613" max="613" width="10.7109375" customWidth="1"/>
    <col min="614" max="617" width="6.7109375" customWidth="1"/>
    <col min="618" max="620" width="10.7109375" customWidth="1"/>
    <col min="621" max="621" width="17.42578125" customWidth="1"/>
    <col min="622" max="622" width="10.7109375" customWidth="1"/>
    <col min="623" max="626" width="6.7109375" customWidth="1"/>
    <col min="627" max="629" width="10.7109375" customWidth="1"/>
    <col min="630" max="630" width="17.42578125" customWidth="1"/>
    <col min="631" max="631" width="10.7109375" customWidth="1"/>
    <col min="632" max="635" width="6.7109375" customWidth="1"/>
    <col min="636" max="638" width="10.7109375" customWidth="1"/>
    <col min="639" max="639" width="17.42578125" customWidth="1"/>
    <col min="640" max="640" width="10.7109375" customWidth="1"/>
    <col min="641" max="644" width="6.7109375" customWidth="1"/>
    <col min="645" max="647" width="10.7109375" customWidth="1"/>
    <col min="648" max="648" width="17.42578125" customWidth="1"/>
    <col min="649" max="649" width="10.7109375" customWidth="1"/>
    <col min="650" max="653" width="6.7109375" customWidth="1"/>
    <col min="654" max="656" width="10.7109375" customWidth="1"/>
    <col min="657" max="657" width="17.42578125" customWidth="1"/>
    <col min="658" max="658" width="10.7109375" customWidth="1"/>
    <col min="659" max="662" width="6.7109375" customWidth="1"/>
    <col min="663" max="665" width="10.7109375" customWidth="1"/>
    <col min="666" max="666" width="17.42578125" customWidth="1"/>
    <col min="667" max="667" width="10.7109375" customWidth="1"/>
    <col min="668" max="671" width="6.7109375" customWidth="1"/>
    <col min="672" max="674" width="10.7109375" customWidth="1"/>
    <col min="675" max="675" width="17.42578125" customWidth="1"/>
    <col min="676" max="676" width="10.7109375" customWidth="1"/>
    <col min="677" max="680" width="6.7109375" customWidth="1"/>
    <col min="681" max="683" width="10.7109375" customWidth="1"/>
    <col min="684" max="684" width="17.42578125" customWidth="1"/>
    <col min="685" max="685" width="10.7109375" customWidth="1"/>
    <col min="686" max="689" width="6.7109375" customWidth="1"/>
    <col min="690" max="692" width="10.7109375" customWidth="1"/>
    <col min="693" max="693" width="17.42578125" customWidth="1"/>
    <col min="694" max="694" width="10.7109375" customWidth="1"/>
    <col min="695" max="698" width="6.7109375" customWidth="1"/>
    <col min="699" max="701" width="10.7109375" customWidth="1"/>
    <col min="702" max="702" width="17.42578125" customWidth="1"/>
  </cols>
  <sheetData>
    <row r="1" spans="1:11" ht="20.45" customHeight="1">
      <c r="A1" s="174" t="s">
        <v>0</v>
      </c>
      <c r="B1" s="175"/>
      <c r="C1" s="176">
        <v>45465</v>
      </c>
      <c r="D1" s="177"/>
      <c r="E1" s="178"/>
      <c r="F1" s="174" t="s">
        <v>1</v>
      </c>
      <c r="G1" s="175"/>
      <c r="H1" s="179" t="s">
        <v>178</v>
      </c>
      <c r="I1" s="180"/>
      <c r="J1" s="180"/>
      <c r="K1" s="181"/>
    </row>
    <row r="2" spans="1:11" ht="11.25" customHeight="1">
      <c r="A2" s="1"/>
      <c r="B2" s="2"/>
      <c r="C2" s="2"/>
      <c r="D2" s="2"/>
      <c r="E2" s="3"/>
      <c r="F2" s="3"/>
      <c r="G2" s="3"/>
      <c r="H2" s="2"/>
      <c r="I2" s="2"/>
      <c r="J2" s="2"/>
      <c r="K2" s="2"/>
    </row>
    <row r="3" spans="1:11" ht="27" customHeight="1">
      <c r="A3" s="182" t="s">
        <v>2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20.45" customHeight="1">
      <c r="A4" s="208" t="s">
        <v>179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</row>
    <row r="5" spans="1:11" s="5" customFormat="1" ht="26.25" customHeight="1">
      <c r="A5" s="207" t="s">
        <v>4</v>
      </c>
      <c r="B5" s="211" t="s">
        <v>5</v>
      </c>
      <c r="C5" s="211"/>
      <c r="D5" s="211"/>
      <c r="E5" s="211"/>
      <c r="F5" s="207" t="s">
        <v>6</v>
      </c>
      <c r="G5" s="207"/>
      <c r="H5" s="207"/>
      <c r="I5" s="207"/>
      <c r="J5" s="207"/>
      <c r="K5" s="207" t="s">
        <v>180</v>
      </c>
    </row>
    <row r="6" spans="1:11" ht="20.25" customHeight="1">
      <c r="A6" s="207"/>
      <c r="B6" s="6" t="s">
        <v>7</v>
      </c>
      <c r="C6" s="6" t="s">
        <v>8</v>
      </c>
      <c r="D6" s="6" t="s">
        <v>9</v>
      </c>
      <c r="E6" s="126" t="s">
        <v>22</v>
      </c>
      <c r="F6" s="207"/>
      <c r="G6" s="207"/>
      <c r="H6" s="207"/>
      <c r="I6" s="207"/>
      <c r="J6" s="207"/>
      <c r="K6" s="207"/>
    </row>
    <row r="7" spans="1:11" ht="20.45" customHeight="1">
      <c r="A7" s="127"/>
      <c r="B7" s="9"/>
      <c r="C7" s="9"/>
      <c r="D7" s="9"/>
      <c r="E7" s="9">
        <v>74500</v>
      </c>
      <c r="F7" s="206" t="s">
        <v>181</v>
      </c>
      <c r="G7" s="206"/>
      <c r="H7" s="206"/>
      <c r="I7" s="206"/>
      <c r="J7" s="206"/>
      <c r="K7" s="127" t="s">
        <v>178</v>
      </c>
    </row>
    <row r="8" spans="1:11" ht="20.45" customHeight="1">
      <c r="A8" s="127"/>
      <c r="B8" s="9"/>
      <c r="C8" s="9">
        <v>20000</v>
      </c>
      <c r="D8" s="9"/>
      <c r="E8" s="9"/>
      <c r="F8" s="206" t="s">
        <v>182</v>
      </c>
      <c r="G8" s="206"/>
      <c r="H8" s="206"/>
      <c r="I8" s="206"/>
      <c r="J8" s="206"/>
      <c r="K8" s="127" t="s">
        <v>178</v>
      </c>
    </row>
    <row r="9" spans="1:11" ht="20.45" customHeight="1">
      <c r="A9" s="127"/>
      <c r="B9" s="9">
        <v>17990</v>
      </c>
      <c r="C9" s="9"/>
      <c r="D9" s="9"/>
      <c r="E9" s="9"/>
      <c r="F9" s="206" t="s">
        <v>183</v>
      </c>
      <c r="G9" s="206"/>
      <c r="H9" s="206"/>
      <c r="I9" s="206"/>
      <c r="J9" s="206"/>
      <c r="K9" s="127" t="s">
        <v>178</v>
      </c>
    </row>
    <row r="10" spans="1:11" ht="20.45" customHeight="1">
      <c r="A10" s="127"/>
      <c r="B10" s="9"/>
      <c r="C10" s="9">
        <v>17990</v>
      </c>
      <c r="D10" s="9"/>
      <c r="E10" s="9"/>
      <c r="F10" s="206" t="s">
        <v>184</v>
      </c>
      <c r="G10" s="206"/>
      <c r="H10" s="206"/>
      <c r="I10" s="206"/>
      <c r="J10" s="206"/>
      <c r="K10" s="127" t="s">
        <v>178</v>
      </c>
    </row>
    <row r="11" spans="1:11" ht="20.45" customHeight="1">
      <c r="A11" s="127"/>
      <c r="B11" s="9"/>
      <c r="C11" s="9"/>
      <c r="D11" s="9"/>
      <c r="E11" s="9"/>
      <c r="F11" s="206"/>
      <c r="G11" s="206"/>
      <c r="H11" s="206"/>
      <c r="I11" s="206"/>
      <c r="J11" s="206"/>
      <c r="K11" s="127"/>
    </row>
    <row r="12" spans="1:11" ht="20.45" customHeight="1">
      <c r="A12" s="127"/>
      <c r="B12" s="9"/>
      <c r="C12" s="9"/>
      <c r="D12" s="9"/>
      <c r="E12" s="9"/>
      <c r="F12" s="206"/>
      <c r="G12" s="206"/>
      <c r="H12" s="206"/>
      <c r="I12" s="206"/>
      <c r="J12" s="206"/>
      <c r="K12" s="127"/>
    </row>
    <row r="13" spans="1:11" ht="20.45" customHeight="1">
      <c r="A13" s="127"/>
      <c r="B13" s="9"/>
      <c r="C13" s="9"/>
      <c r="D13" s="9"/>
      <c r="E13" s="9"/>
      <c r="F13" s="206"/>
      <c r="G13" s="206"/>
      <c r="H13" s="206"/>
      <c r="I13" s="206"/>
      <c r="J13" s="206"/>
      <c r="K13" s="127"/>
    </row>
    <row r="14" spans="1:11" ht="20.45" customHeight="1">
      <c r="A14" s="127"/>
      <c r="B14" s="9"/>
      <c r="C14" s="9"/>
      <c r="D14" s="9"/>
      <c r="E14" s="9"/>
      <c r="F14" s="206"/>
      <c r="G14" s="206"/>
      <c r="H14" s="206"/>
      <c r="I14" s="206"/>
      <c r="J14" s="206"/>
      <c r="K14" s="127"/>
    </row>
    <row r="15" spans="1:11" ht="20.45" customHeight="1">
      <c r="A15" s="127"/>
      <c r="B15" s="9"/>
      <c r="C15" s="9"/>
      <c r="D15" s="9"/>
      <c r="E15" s="9"/>
      <c r="F15" s="206"/>
      <c r="G15" s="206"/>
      <c r="H15" s="206"/>
      <c r="I15" s="206"/>
      <c r="J15" s="206"/>
      <c r="K15" s="127"/>
    </row>
    <row r="16" spans="1:11" ht="20.45" customHeight="1">
      <c r="A16" s="127"/>
      <c r="B16" s="9"/>
      <c r="C16" s="9"/>
      <c r="D16" s="9"/>
      <c r="E16" s="9"/>
      <c r="F16" s="206"/>
      <c r="G16" s="206"/>
      <c r="H16" s="206"/>
      <c r="I16" s="206"/>
      <c r="J16" s="206"/>
      <c r="K16" s="127"/>
    </row>
    <row r="17" spans="1:11" ht="20.45" customHeight="1">
      <c r="A17" s="127"/>
      <c r="B17" s="9"/>
      <c r="C17" s="9"/>
      <c r="D17" s="9"/>
      <c r="E17" s="9"/>
      <c r="F17" s="206"/>
      <c r="G17" s="206"/>
      <c r="H17" s="206"/>
      <c r="I17" s="206"/>
      <c r="J17" s="206"/>
      <c r="K17" s="127"/>
    </row>
    <row r="18" spans="1:11" s="12" customFormat="1" ht="20.45" customHeight="1">
      <c r="A18" s="127"/>
      <c r="B18" s="9"/>
      <c r="C18" s="9"/>
      <c r="D18" s="9"/>
      <c r="E18" s="9"/>
      <c r="F18" s="206"/>
      <c r="G18" s="206"/>
      <c r="H18" s="206"/>
      <c r="I18" s="206"/>
      <c r="J18" s="206"/>
      <c r="K18" s="127"/>
    </row>
    <row r="19" spans="1:11" ht="20.45" customHeight="1">
      <c r="A19" s="127"/>
      <c r="B19" s="9"/>
      <c r="C19" s="9"/>
      <c r="D19" s="9"/>
      <c r="E19" s="9"/>
      <c r="F19" s="206"/>
      <c r="G19" s="206"/>
      <c r="H19" s="206"/>
      <c r="I19" s="206"/>
      <c r="J19" s="206"/>
      <c r="K19" s="127"/>
    </row>
    <row r="20" spans="1:11" s="12" customFormat="1" ht="20.45" customHeight="1">
      <c r="A20" s="127"/>
      <c r="B20" s="9"/>
      <c r="C20" s="9"/>
      <c r="D20" s="9"/>
      <c r="E20" s="9"/>
      <c r="F20" s="206"/>
      <c r="G20" s="206"/>
      <c r="H20" s="206"/>
      <c r="I20" s="206"/>
      <c r="J20" s="206"/>
      <c r="K20" s="127"/>
    </row>
    <row r="21" spans="1:11" ht="20.45" customHeight="1">
      <c r="A21" s="127"/>
      <c r="B21" s="9"/>
      <c r="C21" s="9"/>
      <c r="D21" s="9"/>
      <c r="E21" s="9"/>
      <c r="F21" s="206"/>
      <c r="G21" s="206"/>
      <c r="H21" s="206"/>
      <c r="I21" s="206"/>
      <c r="J21" s="206"/>
      <c r="K21" s="127"/>
    </row>
    <row r="22" spans="1:11" ht="20.45" customHeight="1">
      <c r="A22" s="127"/>
      <c r="B22" s="9"/>
      <c r="C22" s="9"/>
      <c r="D22" s="9"/>
      <c r="E22" s="9"/>
      <c r="F22" s="206"/>
      <c r="G22" s="206"/>
      <c r="H22" s="206"/>
      <c r="I22" s="206"/>
      <c r="J22" s="206"/>
      <c r="K22" s="127"/>
    </row>
    <row r="23" spans="1:11" ht="20.45" customHeight="1">
      <c r="A23" s="127"/>
      <c r="B23" s="9"/>
      <c r="C23" s="9"/>
      <c r="D23" s="9"/>
      <c r="E23" s="9"/>
      <c r="F23" s="206"/>
      <c r="G23" s="206"/>
      <c r="H23" s="206"/>
      <c r="I23" s="206"/>
      <c r="J23" s="206"/>
      <c r="K23" s="127"/>
    </row>
    <row r="24" spans="1:11" ht="20.25" customHeight="1">
      <c r="A24" s="14" t="s">
        <v>11</v>
      </c>
      <c r="B24" s="15">
        <f>SUM($B7:$B23)</f>
        <v>17990</v>
      </c>
      <c r="C24" s="15">
        <f>SUM($C7:$C23)</f>
        <v>37990</v>
      </c>
      <c r="D24" s="15">
        <f>SUM($D7:$D23)</f>
        <v>0</v>
      </c>
      <c r="E24" s="15">
        <f>SUM($E7:$E23)</f>
        <v>74500</v>
      </c>
      <c r="F24" s="106"/>
      <c r="G24" s="107"/>
      <c r="H24" s="108"/>
      <c r="I24" s="108"/>
      <c r="J24" s="108"/>
      <c r="K24" s="109"/>
    </row>
    <row r="25" spans="1:11" ht="3.75" customHeight="1">
      <c r="A25" s="13"/>
      <c r="B25" s="17"/>
      <c r="C25" s="17"/>
      <c r="D25" s="17"/>
      <c r="E25" s="18"/>
      <c r="F25" s="16"/>
      <c r="G25" s="16"/>
      <c r="H25" s="19"/>
      <c r="I25" s="19"/>
      <c r="J25" s="105"/>
      <c r="K25" s="110"/>
    </row>
    <row r="26" spans="1:11" ht="21.75" customHeight="1">
      <c r="A26" s="13"/>
      <c r="B26" s="17"/>
      <c r="C26" s="17"/>
      <c r="D26" s="17"/>
      <c r="E26" s="18"/>
      <c r="F26" s="16"/>
      <c r="G26" s="16"/>
      <c r="H26" s="19"/>
      <c r="I26" s="20"/>
      <c r="J26" s="21" t="s">
        <v>12</v>
      </c>
      <c r="K26" s="111">
        <f>$B$24+$C$24+$D$24+$E$24</f>
        <v>130480</v>
      </c>
    </row>
    <row r="27" spans="1:11" ht="12" customHeight="1">
      <c r="A27" s="13"/>
      <c r="B27" s="17"/>
      <c r="C27" s="17"/>
      <c r="D27" s="17"/>
      <c r="E27" s="18"/>
      <c r="F27" s="23"/>
      <c r="G27" s="23"/>
      <c r="H27" s="17"/>
      <c r="I27" s="17"/>
      <c r="J27" s="17"/>
      <c r="K27" s="112"/>
    </row>
    <row r="28" spans="1:11" ht="26.25" customHeight="1">
      <c r="A28" s="25"/>
      <c r="B28" s="27"/>
      <c r="C28" s="27"/>
      <c r="D28" s="27"/>
      <c r="E28" s="28"/>
      <c r="F28" s="26"/>
      <c r="G28" s="28" t="s">
        <v>13</v>
      </c>
      <c r="H28" s="27"/>
      <c r="I28" s="27"/>
      <c r="J28" s="27"/>
      <c r="K28" s="113"/>
    </row>
    <row r="29" spans="1:11" ht="19.5" customHeight="1">
      <c r="A29" s="158" t="s">
        <v>14</v>
      </c>
      <c r="B29" s="159"/>
      <c r="C29" s="29"/>
      <c r="D29" s="30" t="s">
        <v>15</v>
      </c>
      <c r="E29" s="31"/>
      <c r="F29" s="164" t="s">
        <v>16</v>
      </c>
      <c r="G29" s="164"/>
      <c r="H29" s="159"/>
      <c r="I29" s="166" t="s">
        <v>17</v>
      </c>
      <c r="J29" s="167"/>
      <c r="K29" s="168"/>
    </row>
    <row r="30" spans="1:11" ht="18.75" customHeight="1">
      <c r="A30" s="160"/>
      <c r="B30" s="161"/>
      <c r="C30" s="169" t="s">
        <v>18</v>
      </c>
      <c r="D30" s="170"/>
      <c r="E30" s="32" t="s">
        <v>19</v>
      </c>
      <c r="F30" s="165"/>
      <c r="G30" s="165"/>
      <c r="H30" s="161"/>
      <c r="I30" s="169" t="s">
        <v>18</v>
      </c>
      <c r="J30" s="170"/>
      <c r="K30" s="32" t="s">
        <v>19</v>
      </c>
    </row>
    <row r="31" spans="1:11" ht="15.75" customHeight="1">
      <c r="A31" s="160"/>
      <c r="B31" s="161"/>
      <c r="C31" s="33" t="s">
        <v>20</v>
      </c>
      <c r="D31" s="34"/>
      <c r="E31" s="35">
        <f>B24</f>
        <v>17990</v>
      </c>
      <c r="F31" s="165"/>
      <c r="G31" s="165"/>
      <c r="H31" s="161"/>
      <c r="I31" s="33" t="s">
        <v>7</v>
      </c>
      <c r="J31" s="34"/>
      <c r="K31" s="114"/>
    </row>
    <row r="32" spans="1:11" ht="15.75" customHeight="1">
      <c r="A32" s="160"/>
      <c r="B32" s="161"/>
      <c r="C32" s="33" t="s">
        <v>21</v>
      </c>
      <c r="D32" s="37"/>
      <c r="E32" s="35">
        <f>C24</f>
        <v>37990</v>
      </c>
      <c r="F32" s="165"/>
      <c r="G32" s="165"/>
      <c r="H32" s="161"/>
      <c r="I32" s="38" t="s">
        <v>22</v>
      </c>
      <c r="J32" s="39"/>
      <c r="K32" s="115"/>
    </row>
    <row r="33" spans="1:11" ht="15.75" customHeight="1">
      <c r="A33" s="160"/>
      <c r="B33" s="161"/>
      <c r="C33" s="33" t="s">
        <v>23</v>
      </c>
      <c r="D33" s="37"/>
      <c r="E33" s="35">
        <f>D24</f>
        <v>0</v>
      </c>
      <c r="F33" s="165"/>
      <c r="G33" s="165"/>
      <c r="H33" s="161"/>
      <c r="I33" s="38" t="s">
        <v>24</v>
      </c>
      <c r="J33" s="39"/>
      <c r="K33" s="115"/>
    </row>
    <row r="34" spans="1:11" ht="15.75" customHeight="1">
      <c r="A34" s="160"/>
      <c r="B34" s="161"/>
      <c r="C34" s="33" t="s">
        <v>25</v>
      </c>
      <c r="D34" s="37"/>
      <c r="E34" s="35">
        <f>E24</f>
        <v>74500</v>
      </c>
      <c r="F34" s="165"/>
      <c r="G34" s="165"/>
      <c r="H34" s="161"/>
      <c r="I34" s="38"/>
      <c r="J34" s="39"/>
      <c r="K34" s="115"/>
    </row>
    <row r="35" spans="1:11" ht="15.75" customHeight="1">
      <c r="A35" s="160"/>
      <c r="B35" s="161"/>
      <c r="C35" s="41" t="s">
        <v>12</v>
      </c>
      <c r="D35" s="42"/>
      <c r="E35" s="43">
        <f>SUM(E31:E34)</f>
        <v>130480</v>
      </c>
      <c r="F35" s="165"/>
      <c r="G35" s="165"/>
      <c r="H35" s="161"/>
      <c r="I35" s="38"/>
      <c r="J35" s="39"/>
      <c r="K35" s="115"/>
    </row>
    <row r="36" spans="1:11" ht="15.75" customHeight="1">
      <c r="A36" s="160"/>
      <c r="B36" s="161"/>
      <c r="C36" s="171" t="s">
        <v>26</v>
      </c>
      <c r="D36" s="172"/>
      <c r="E36" s="173"/>
      <c r="F36" s="165"/>
      <c r="G36" s="165"/>
      <c r="H36" s="161"/>
      <c r="I36" s="38"/>
      <c r="J36" s="39"/>
      <c r="K36" s="115"/>
    </row>
    <row r="37" spans="1:11" ht="15.75" customHeight="1">
      <c r="A37" s="160"/>
      <c r="B37" s="161"/>
      <c r="C37" s="169" t="s">
        <v>18</v>
      </c>
      <c r="D37" s="170"/>
      <c r="E37" s="32" t="s">
        <v>19</v>
      </c>
      <c r="F37" s="165"/>
      <c r="G37" s="165"/>
      <c r="H37" s="161"/>
      <c r="I37" s="38"/>
      <c r="J37" s="39"/>
      <c r="K37" s="115"/>
    </row>
    <row r="38" spans="1:11" ht="15.75" customHeight="1">
      <c r="A38" s="160"/>
      <c r="B38" s="161"/>
      <c r="C38" s="44" t="s">
        <v>7</v>
      </c>
      <c r="D38" s="45"/>
      <c r="E38" s="46"/>
      <c r="F38" s="165"/>
      <c r="G38" s="165"/>
      <c r="H38" s="161"/>
      <c r="I38" s="41" t="s">
        <v>27</v>
      </c>
      <c r="J38" s="42"/>
      <c r="K38" s="116">
        <f>SUM(K31:K37)</f>
        <v>0</v>
      </c>
    </row>
    <row r="39" spans="1:11" ht="15.75" customHeight="1">
      <c r="A39" s="160"/>
      <c r="B39" s="161"/>
      <c r="C39" s="47" t="s">
        <v>24</v>
      </c>
      <c r="D39" s="48"/>
      <c r="E39" s="49"/>
      <c r="F39" s="165"/>
      <c r="G39" s="165"/>
      <c r="H39" s="161"/>
      <c r="I39" s="166" t="s">
        <v>28</v>
      </c>
      <c r="J39" s="167"/>
      <c r="K39" s="168"/>
    </row>
    <row r="40" spans="1:11" ht="18.75" customHeight="1">
      <c r="A40" s="162"/>
      <c r="B40" s="163"/>
      <c r="C40" s="41" t="s">
        <v>29</v>
      </c>
      <c r="D40" s="42"/>
      <c r="E40" s="43">
        <f>SUM(E38:E39)</f>
        <v>0</v>
      </c>
      <c r="F40" s="165"/>
      <c r="G40" s="165"/>
      <c r="H40" s="161"/>
      <c r="I40" s="38" t="s">
        <v>30</v>
      </c>
      <c r="J40" s="48"/>
      <c r="K40" s="117"/>
    </row>
    <row r="41" spans="1:11" ht="15.75" customHeight="1">
      <c r="A41" s="13"/>
      <c r="B41" s="50"/>
      <c r="C41" s="51"/>
      <c r="D41" s="52" t="s">
        <v>31</v>
      </c>
      <c r="E41" s="53">
        <f>E35+E40</f>
        <v>130480</v>
      </c>
      <c r="F41" s="54"/>
      <c r="G41" s="54"/>
      <c r="H41" s="55"/>
      <c r="I41" s="51"/>
      <c r="J41" s="52" t="s">
        <v>32</v>
      </c>
      <c r="K41" s="118">
        <f>K38+K40</f>
        <v>0</v>
      </c>
    </row>
    <row r="42" spans="1:11" ht="11.25" customHeight="1">
      <c r="A42" s="13"/>
      <c r="B42" s="18"/>
      <c r="C42" s="18"/>
      <c r="D42" s="18"/>
      <c r="E42" s="18"/>
      <c r="F42" s="57"/>
      <c r="G42" s="57"/>
      <c r="H42" s="135"/>
      <c r="I42" s="135"/>
      <c r="J42" s="17"/>
      <c r="K42" s="119"/>
    </row>
    <row r="43" spans="1:11" ht="28.5">
      <c r="A43" s="25"/>
      <c r="B43" s="27"/>
      <c r="C43" s="27"/>
      <c r="D43" s="27"/>
      <c r="E43" s="28"/>
      <c r="F43" s="26"/>
      <c r="G43" s="28" t="s">
        <v>33</v>
      </c>
      <c r="H43" s="27"/>
      <c r="I43" s="27"/>
      <c r="J43" s="27"/>
      <c r="K43" s="113"/>
    </row>
    <row r="44" spans="1:11" ht="17.100000000000001" customHeight="1">
      <c r="A44" s="136" t="s">
        <v>34</v>
      </c>
      <c r="B44" s="137"/>
      <c r="C44" s="58" t="s">
        <v>35</v>
      </c>
      <c r="D44" s="58" t="s">
        <v>36</v>
      </c>
      <c r="E44" s="59" t="s">
        <v>19</v>
      </c>
      <c r="F44" s="142" t="s">
        <v>37</v>
      </c>
      <c r="G44" s="143"/>
      <c r="H44" s="137"/>
      <c r="I44" s="58" t="s">
        <v>35</v>
      </c>
      <c r="J44" s="58" t="s">
        <v>36</v>
      </c>
      <c r="K44" s="58" t="s">
        <v>19</v>
      </c>
    </row>
    <row r="45" spans="1:11" ht="17.100000000000001" customHeight="1">
      <c r="A45" s="138"/>
      <c r="B45" s="139"/>
      <c r="C45" s="60">
        <v>20000</v>
      </c>
      <c r="D45" s="61"/>
      <c r="E45" s="62">
        <f>C45*D45</f>
        <v>0</v>
      </c>
      <c r="F45" s="144"/>
      <c r="G45" s="145"/>
      <c r="H45" s="139"/>
      <c r="I45" s="60">
        <v>500</v>
      </c>
      <c r="J45" s="61"/>
      <c r="K45" s="120">
        <f>I45*J45</f>
        <v>0</v>
      </c>
    </row>
    <row r="46" spans="1:11" ht="17.100000000000001" customHeight="1">
      <c r="A46" s="138"/>
      <c r="B46" s="139"/>
      <c r="C46" s="60">
        <v>10000</v>
      </c>
      <c r="D46" s="61"/>
      <c r="E46" s="62">
        <f>C46*D46</f>
        <v>0</v>
      </c>
      <c r="F46" s="144"/>
      <c r="G46" s="145"/>
      <c r="H46" s="139"/>
      <c r="I46" s="60">
        <v>100</v>
      </c>
      <c r="J46" s="61"/>
      <c r="K46" s="120">
        <f>I46*J46</f>
        <v>0</v>
      </c>
    </row>
    <row r="47" spans="1:11" ht="17.100000000000001" customHeight="1">
      <c r="A47" s="138"/>
      <c r="B47" s="139"/>
      <c r="C47" s="60">
        <v>5000</v>
      </c>
      <c r="D47" s="61"/>
      <c r="E47" s="62">
        <f>C47*D47</f>
        <v>0</v>
      </c>
      <c r="F47" s="144"/>
      <c r="G47" s="145"/>
      <c r="H47" s="139"/>
      <c r="I47" s="60">
        <v>50</v>
      </c>
      <c r="J47" s="61"/>
      <c r="K47" s="120">
        <f>I47*J47</f>
        <v>0</v>
      </c>
    </row>
    <row r="48" spans="1:11" ht="17.100000000000001" customHeight="1">
      <c r="A48" s="138"/>
      <c r="B48" s="139"/>
      <c r="C48" s="60">
        <v>2000</v>
      </c>
      <c r="D48" s="61"/>
      <c r="E48" s="62">
        <f>C48*D48</f>
        <v>0</v>
      </c>
      <c r="F48" s="144"/>
      <c r="G48" s="145"/>
      <c r="H48" s="139"/>
      <c r="I48" s="60">
        <v>10</v>
      </c>
      <c r="J48" s="61"/>
      <c r="K48" s="120">
        <f>I48*J48</f>
        <v>0</v>
      </c>
    </row>
    <row r="49" spans="1:11" ht="17.100000000000001" customHeight="1">
      <c r="A49" s="140"/>
      <c r="B49" s="141"/>
      <c r="C49" s="60">
        <v>1000</v>
      </c>
      <c r="D49" s="61"/>
      <c r="E49" s="62">
        <f>C49*D49</f>
        <v>0</v>
      </c>
      <c r="F49" s="146"/>
      <c r="G49" s="147"/>
      <c r="H49" s="141"/>
      <c r="I49" s="60"/>
      <c r="J49" s="64"/>
      <c r="K49" s="120"/>
    </row>
    <row r="50" spans="1:11" ht="18.75">
      <c r="A50" s="13"/>
      <c r="B50" s="65"/>
      <c r="C50" s="66"/>
      <c r="D50" s="67" t="s">
        <v>38</v>
      </c>
      <c r="E50" s="68">
        <f>SUM(E45:E49)</f>
        <v>0</v>
      </c>
      <c r="F50" s="54"/>
      <c r="G50" s="54"/>
      <c r="H50" s="55"/>
      <c r="I50" s="66"/>
      <c r="J50" s="67" t="s">
        <v>39</v>
      </c>
      <c r="K50" s="121">
        <f>SUM(K45:K49)</f>
        <v>0</v>
      </c>
    </row>
    <row r="51" spans="1:11" ht="18.75">
      <c r="A51" s="13"/>
      <c r="B51" s="18"/>
      <c r="C51" s="18"/>
      <c r="D51" s="18"/>
      <c r="E51" s="18"/>
      <c r="F51" s="16"/>
      <c r="G51" s="16"/>
      <c r="H51" s="65"/>
      <c r="I51" s="65"/>
      <c r="J51" s="17"/>
      <c r="K51" s="119"/>
    </row>
    <row r="52" spans="1:11" ht="18" customHeight="1">
      <c r="A52" s="13"/>
      <c r="B52" s="18"/>
      <c r="C52" s="18"/>
      <c r="D52" s="18"/>
      <c r="E52" s="18"/>
      <c r="F52" s="69"/>
      <c r="G52" s="69"/>
      <c r="H52" s="70" t="s">
        <v>40</v>
      </c>
      <c r="I52" s="71"/>
      <c r="J52" s="69"/>
      <c r="K52" s="119"/>
    </row>
    <row r="53" spans="1:11" ht="4.5" customHeight="1">
      <c r="A53" s="13"/>
      <c r="B53" s="18"/>
      <c r="C53" s="18"/>
      <c r="D53" s="18"/>
      <c r="E53" s="18"/>
      <c r="F53" s="16"/>
      <c r="G53" s="16"/>
      <c r="H53" s="17"/>
      <c r="I53" s="17"/>
      <c r="J53" s="17"/>
      <c r="K53" s="119"/>
    </row>
    <row r="54" spans="1:11" ht="15" customHeight="1">
      <c r="A54" s="72"/>
      <c r="B54" s="148" t="s">
        <v>41</v>
      </c>
      <c r="C54" s="149"/>
      <c r="D54" s="150"/>
      <c r="E54" s="18"/>
      <c r="F54" s="73"/>
      <c r="G54" s="73"/>
      <c r="H54" s="74" t="s">
        <v>42</v>
      </c>
      <c r="I54" s="75">
        <v>0</v>
      </c>
      <c r="J54" s="76"/>
      <c r="K54" s="119"/>
    </row>
    <row r="55" spans="1:11" ht="4.5" customHeight="1">
      <c r="A55" s="72"/>
      <c r="B55" s="151"/>
      <c r="C55" s="152"/>
      <c r="D55" s="153"/>
      <c r="E55" s="18"/>
      <c r="F55" s="16"/>
      <c r="G55" s="16"/>
      <c r="H55" s="17"/>
      <c r="I55" s="77"/>
      <c r="J55" s="17"/>
      <c r="K55" s="119"/>
    </row>
    <row r="56" spans="1:11" ht="18.75" customHeight="1">
      <c r="A56" s="78"/>
      <c r="B56" s="154"/>
      <c r="C56" s="154"/>
      <c r="D56" s="154"/>
      <c r="E56" s="18"/>
      <c r="F56" s="79"/>
      <c r="G56" s="79"/>
      <c r="H56" s="80" t="s">
        <v>43</v>
      </c>
      <c r="I56" s="81">
        <f>E50+K50</f>
        <v>0</v>
      </c>
      <c r="J56" s="82"/>
      <c r="K56" s="119"/>
    </row>
    <row r="57" spans="1:11" ht="4.5" customHeight="1">
      <c r="A57" s="78"/>
      <c r="B57" s="154"/>
      <c r="C57" s="154"/>
      <c r="D57" s="154"/>
      <c r="E57" s="18"/>
      <c r="F57" s="56"/>
      <c r="G57" s="56"/>
      <c r="H57" s="57"/>
      <c r="I57" s="83"/>
      <c r="J57" s="65"/>
      <c r="K57" s="119"/>
    </row>
    <row r="58" spans="1:11" ht="18.75">
      <c r="A58" s="78"/>
      <c r="B58" s="154"/>
      <c r="C58" s="154"/>
      <c r="D58" s="154"/>
      <c r="E58" s="18"/>
      <c r="F58" s="79"/>
      <c r="G58" s="79"/>
      <c r="H58" s="80" t="s">
        <v>12</v>
      </c>
      <c r="I58" s="81">
        <f>K26</f>
        <v>130480</v>
      </c>
      <c r="J58" s="82"/>
      <c r="K58" s="112"/>
    </row>
    <row r="59" spans="1:11" ht="4.5" customHeight="1">
      <c r="A59" s="78"/>
      <c r="B59" s="154"/>
      <c r="C59" s="154"/>
      <c r="D59" s="154"/>
      <c r="E59" s="18"/>
      <c r="F59" s="56"/>
      <c r="G59" s="56"/>
      <c r="H59" s="57"/>
      <c r="I59" s="83"/>
      <c r="J59" s="18"/>
      <c r="K59" s="119"/>
    </row>
    <row r="60" spans="1:11" ht="18.75">
      <c r="A60" s="78"/>
      <c r="B60" s="154"/>
      <c r="C60" s="154"/>
      <c r="D60" s="154"/>
      <c r="E60" s="18"/>
      <c r="F60" s="84"/>
      <c r="G60" s="84"/>
      <c r="H60" s="85" t="s">
        <v>26</v>
      </c>
      <c r="I60" s="86">
        <f>E38</f>
        <v>0</v>
      </c>
      <c r="J60" s="82"/>
      <c r="K60" s="119"/>
    </row>
    <row r="61" spans="1:11" ht="4.5" customHeight="1">
      <c r="A61" s="78"/>
      <c r="B61" s="154"/>
      <c r="C61" s="154"/>
      <c r="D61" s="154"/>
      <c r="E61" s="18"/>
      <c r="F61" s="13"/>
      <c r="G61" s="13"/>
      <c r="H61" s="16"/>
      <c r="I61" s="77"/>
      <c r="J61" s="17"/>
      <c r="K61" s="119"/>
    </row>
    <row r="62" spans="1:11" ht="18.75">
      <c r="A62" s="78"/>
      <c r="B62" s="154"/>
      <c r="C62" s="154"/>
      <c r="D62" s="154"/>
      <c r="E62" s="18"/>
      <c r="F62" s="84"/>
      <c r="G62" s="84"/>
      <c r="H62" s="85" t="s">
        <v>17</v>
      </c>
      <c r="I62" s="86">
        <f>K31+K40</f>
        <v>0</v>
      </c>
      <c r="J62" s="82"/>
      <c r="K62" s="119"/>
    </row>
    <row r="63" spans="1:11" ht="4.5" customHeight="1">
      <c r="A63" s="78"/>
      <c r="B63" s="154"/>
      <c r="C63" s="154"/>
      <c r="D63" s="154"/>
      <c r="E63" s="18"/>
      <c r="F63" s="13"/>
      <c r="G63" s="13"/>
      <c r="H63" s="16"/>
      <c r="I63" s="77"/>
      <c r="J63" s="17"/>
      <c r="K63" s="119"/>
    </row>
    <row r="64" spans="1:11" ht="18.75">
      <c r="A64" s="78"/>
      <c r="B64" s="154"/>
      <c r="C64" s="154"/>
      <c r="D64" s="154"/>
      <c r="E64" s="18"/>
      <c r="F64" s="84"/>
      <c r="G64" s="84"/>
      <c r="H64" s="85" t="s">
        <v>44</v>
      </c>
      <c r="I64" s="86">
        <f>I54+I58+I60-I62</f>
        <v>130480</v>
      </c>
      <c r="J64" s="87"/>
      <c r="K64" s="119"/>
    </row>
    <row r="65" spans="1:11" ht="4.5" customHeight="1">
      <c r="A65" s="13"/>
      <c r="B65" s="154"/>
      <c r="C65" s="154"/>
      <c r="D65" s="154"/>
      <c r="E65" s="18"/>
      <c r="F65" s="16"/>
      <c r="G65" s="16"/>
      <c r="H65" s="18"/>
      <c r="I65" s="77"/>
      <c r="J65" s="17"/>
      <c r="K65" s="119"/>
    </row>
    <row r="66" spans="1:11" ht="18.75">
      <c r="A66" s="13"/>
      <c r="B66" s="154"/>
      <c r="C66" s="154"/>
      <c r="D66" s="154"/>
      <c r="E66" s="18"/>
      <c r="F66" s="73"/>
      <c r="G66" s="73"/>
      <c r="H66" s="74" t="s">
        <v>45</v>
      </c>
      <c r="I66" s="86">
        <f>I64-I54</f>
        <v>130480</v>
      </c>
      <c r="J66" s="88"/>
      <c r="K66" s="119"/>
    </row>
    <row r="67" spans="1:11" ht="4.5" customHeight="1">
      <c r="A67" s="78"/>
      <c r="B67" s="154"/>
      <c r="C67" s="154"/>
      <c r="D67" s="154"/>
      <c r="E67" s="18"/>
      <c r="F67" s="16"/>
      <c r="G67" s="16"/>
      <c r="H67" s="16"/>
      <c r="I67" s="77"/>
      <c r="J67" s="17"/>
      <c r="K67" s="119"/>
    </row>
    <row r="68" spans="1:11" ht="18.75">
      <c r="A68" s="13"/>
      <c r="B68" s="154"/>
      <c r="C68" s="154"/>
      <c r="D68" s="154"/>
      <c r="E68" s="18"/>
      <c r="F68" s="79"/>
      <c r="G68" s="79"/>
      <c r="H68" s="80" t="s">
        <v>46</v>
      </c>
      <c r="I68" s="86">
        <f>I54+E31+(E38-(K31+K40))</f>
        <v>17990</v>
      </c>
      <c r="J68" s="88"/>
      <c r="K68" s="119"/>
    </row>
    <row r="69" spans="1:11" ht="4.5" customHeight="1">
      <c r="A69" s="78"/>
      <c r="B69" s="154"/>
      <c r="C69" s="154"/>
      <c r="D69" s="154"/>
      <c r="E69" s="18"/>
      <c r="F69" s="16"/>
      <c r="G69" s="16"/>
      <c r="H69" s="16"/>
      <c r="I69" s="77"/>
      <c r="J69" s="17"/>
      <c r="K69" s="119"/>
    </row>
    <row r="70" spans="1:11" ht="18.75" customHeight="1">
      <c r="A70" s="78"/>
      <c r="B70" s="154"/>
      <c r="C70" s="154"/>
      <c r="D70" s="154"/>
      <c r="E70" s="18"/>
      <c r="F70" s="79"/>
      <c r="G70" s="79"/>
      <c r="H70" s="80" t="s">
        <v>47</v>
      </c>
      <c r="I70" s="89">
        <f>I56-I68</f>
        <v>-17990</v>
      </c>
      <c r="J70" s="90"/>
      <c r="K70" s="119"/>
    </row>
    <row r="71" spans="1:11" ht="15" customHeight="1">
      <c r="A71" s="91"/>
      <c r="B71" s="92"/>
      <c r="C71" s="92"/>
      <c r="D71" s="92"/>
      <c r="E71" s="93"/>
      <c r="F71" s="94"/>
      <c r="G71" s="94"/>
      <c r="H71" s="95"/>
      <c r="I71" s="95"/>
      <c r="J71" s="95"/>
      <c r="K71" s="122"/>
    </row>
    <row r="72" spans="1:11" ht="15" customHeight="1">
      <c r="A72" s="91"/>
      <c r="B72" s="92"/>
      <c r="C72" s="92"/>
      <c r="D72" s="92"/>
      <c r="E72" s="93"/>
      <c r="F72" s="94"/>
      <c r="G72" s="94"/>
      <c r="H72" s="95"/>
      <c r="I72" s="95"/>
      <c r="J72" s="95"/>
      <c r="K72" s="122"/>
    </row>
    <row r="73" spans="1:11" ht="15" customHeight="1">
      <c r="A73" s="91"/>
      <c r="B73" s="92"/>
      <c r="C73" s="92"/>
      <c r="D73" s="92"/>
      <c r="E73" s="93"/>
      <c r="F73" s="94"/>
      <c r="G73" s="94"/>
      <c r="H73" s="95"/>
      <c r="I73" s="95"/>
      <c r="J73" s="95"/>
      <c r="K73" s="122"/>
    </row>
    <row r="74" spans="1:11" ht="15" customHeight="1">
      <c r="A74" s="91"/>
      <c r="B74" s="92"/>
      <c r="C74" s="92"/>
      <c r="D74" s="92"/>
      <c r="E74" s="93"/>
      <c r="F74" s="94"/>
      <c r="G74" s="94"/>
      <c r="H74" s="95"/>
      <c r="I74" s="95"/>
      <c r="J74" s="95"/>
      <c r="K74" s="122"/>
    </row>
    <row r="75" spans="1:11" ht="15.75" customHeight="1">
      <c r="A75" s="91"/>
      <c r="B75" s="92"/>
      <c r="C75" s="92"/>
      <c r="D75" s="92"/>
      <c r="E75" s="93"/>
      <c r="F75" s="94"/>
      <c r="G75" s="94"/>
      <c r="H75" s="95"/>
      <c r="I75" s="95"/>
      <c r="J75" s="95"/>
      <c r="K75" s="122"/>
    </row>
    <row r="76" spans="1:11" ht="14.25" customHeight="1">
      <c r="A76" s="91"/>
      <c r="B76" s="92"/>
      <c r="C76" s="92"/>
      <c r="D76" s="92"/>
      <c r="E76" s="93"/>
      <c r="F76" s="94"/>
      <c r="G76" s="94"/>
      <c r="H76" s="95"/>
      <c r="I76" s="95"/>
      <c r="J76" s="95"/>
      <c r="K76" s="122"/>
    </row>
    <row r="77" spans="1:11">
      <c r="A77" s="96"/>
      <c r="B77" s="98"/>
      <c r="C77" s="98"/>
      <c r="D77" s="98"/>
      <c r="E77" s="98"/>
      <c r="F77" s="97"/>
      <c r="G77" s="97"/>
      <c r="H77" s="99"/>
      <c r="I77" s="99"/>
      <c r="J77" s="99"/>
      <c r="K77" s="123"/>
    </row>
    <row r="78" spans="1:11">
      <c r="D78" s="102"/>
      <c r="E78" s="102"/>
    </row>
    <row r="79" spans="1:11">
      <c r="D79" s="102"/>
      <c r="E79" s="102"/>
      <c r="H79" s="102"/>
    </row>
    <row r="80" spans="1:11">
      <c r="D80" s="102"/>
      <c r="E80" s="102"/>
      <c r="H80" s="102"/>
    </row>
    <row r="81" spans="4:11">
      <c r="D81" s="102"/>
      <c r="E81" s="102"/>
      <c r="H81" s="102"/>
      <c r="I81" s="102"/>
      <c r="J81" s="102"/>
      <c r="K81" s="125"/>
    </row>
    <row r="82" spans="4:11">
      <c r="D82" s="102"/>
      <c r="E82" s="102"/>
      <c r="H82" s="102"/>
      <c r="I82" s="102"/>
      <c r="J82" s="102"/>
      <c r="K82" s="125"/>
    </row>
    <row r="83" spans="4:11">
      <c r="D83" s="102"/>
      <c r="E83" s="102"/>
      <c r="H83" s="102"/>
      <c r="I83" s="102"/>
      <c r="J83" s="102"/>
      <c r="K83" s="125"/>
    </row>
    <row r="84" spans="4:11">
      <c r="D84" s="102"/>
      <c r="E84" s="102"/>
      <c r="H84" s="102"/>
      <c r="I84" s="102"/>
      <c r="J84" s="102"/>
      <c r="K84" s="125"/>
    </row>
    <row r="85" spans="4:11">
      <c r="D85" s="102"/>
      <c r="E85" s="102"/>
      <c r="H85" s="102"/>
      <c r="I85" s="102"/>
      <c r="J85" s="102"/>
      <c r="K85" s="125"/>
    </row>
    <row r="86" spans="4:11">
      <c r="D86" s="102"/>
      <c r="E86" s="102"/>
      <c r="H86" s="102"/>
      <c r="I86" s="102"/>
      <c r="J86" s="102"/>
      <c r="K86" s="125"/>
    </row>
    <row r="87" spans="4:11">
      <c r="D87" s="102"/>
      <c r="E87" s="102"/>
      <c r="H87" s="102"/>
      <c r="I87" s="102"/>
      <c r="J87" s="102"/>
      <c r="K87" s="125"/>
    </row>
    <row r="88" spans="4:11">
      <c r="D88" s="102"/>
      <c r="E88" s="102"/>
      <c r="H88" s="102"/>
      <c r="I88" s="102"/>
      <c r="J88" s="102"/>
      <c r="K88" s="125"/>
    </row>
  </sheetData>
  <mergeCells count="40">
    <mergeCell ref="F15:J15"/>
    <mergeCell ref="F16:J16"/>
    <mergeCell ref="F17:J17"/>
    <mergeCell ref="F10:J10"/>
    <mergeCell ref="F11:J11"/>
    <mergeCell ref="F12:J12"/>
    <mergeCell ref="F13:J13"/>
    <mergeCell ref="F14:J14"/>
    <mergeCell ref="B56:D70"/>
    <mergeCell ref="A4:K4"/>
    <mergeCell ref="A29:B40"/>
    <mergeCell ref="F29:H40"/>
    <mergeCell ref="I29:K29"/>
    <mergeCell ref="C30:D30"/>
    <mergeCell ref="I30:J30"/>
    <mergeCell ref="C36:E36"/>
    <mergeCell ref="C37:D37"/>
    <mergeCell ref="I39:K39"/>
    <mergeCell ref="A5:A6"/>
    <mergeCell ref="B5:E5"/>
    <mergeCell ref="H42:I42"/>
    <mergeCell ref="A44:B49"/>
    <mergeCell ref="F44:H49"/>
    <mergeCell ref="B54:D55"/>
    <mergeCell ref="F23:J23"/>
    <mergeCell ref="F1:G1"/>
    <mergeCell ref="C1:E1"/>
    <mergeCell ref="A3:K3"/>
    <mergeCell ref="F18:J18"/>
    <mergeCell ref="F19:J19"/>
    <mergeCell ref="F20:J20"/>
    <mergeCell ref="F21:J21"/>
    <mergeCell ref="F22:J22"/>
    <mergeCell ref="A1:B1"/>
    <mergeCell ref="H1:K1"/>
    <mergeCell ref="F5:J6"/>
    <mergeCell ref="K5:K6"/>
    <mergeCell ref="F7:J7"/>
    <mergeCell ref="F8:J8"/>
    <mergeCell ref="F9:J9"/>
  </mergeCells>
  <conditionalFormatting sqref="I70">
    <cfRule type="expression" dxfId="2" priority="1">
      <formula>$I70=0</formula>
    </cfRule>
    <cfRule type="expression" dxfId="1" priority="2">
      <formula>$I70&gt;=1</formula>
    </cfRule>
    <cfRule type="expression" dxfId="0" priority="3">
      <formula>$I70&lt;=-1</formula>
    </cfRule>
  </conditionalFormatting>
  <pageMargins left="0.25" right="0.25" top="0.75" bottom="0.75" header="0.3" footer="0.3"/>
  <pageSetup paperSize="9" scale="58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 Exotic Administracion</dc:creator>
  <cp:keywords/>
  <dc:description/>
  <cp:lastModifiedBy>Pet Exotic</cp:lastModifiedBy>
  <cp:revision/>
  <dcterms:created xsi:type="dcterms:W3CDTF">2024-06-22T17:46:07Z</dcterms:created>
  <dcterms:modified xsi:type="dcterms:W3CDTF">2024-08-09T03:59:13Z</dcterms:modified>
  <cp:category/>
  <cp:contentStatus/>
</cp:coreProperties>
</file>